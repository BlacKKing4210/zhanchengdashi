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b5ec6c951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b7904bce62841c4"/>
    <x:sheet xmlns:r="http://schemas.openxmlformats.org/officeDocument/2006/relationships" name="流派定义" sheetId="2" r:id="R00ebe8a250d24222"/>
    <x:sheet xmlns:r="http://schemas.openxmlformats.org/officeDocument/2006/relationships" name="60只动物归属" sheetId="3" r:id="R45c81b49b079410d"/>
    <x:sheet xmlns:r="http://schemas.openxmlformats.org/officeDocument/2006/relationships" name="标准六位构筑" sheetId="4" r:id="R7e58bdb8e21a4c7e"/>
    <x:sheet xmlns:r="http://schemas.openxmlformats.org/officeDocument/2006/relationships" name="流派关系" sheetId="5" r:id="Rb0a9730fc5cb460c"/>
    <x:sheet xmlns:r="http://schemas.openxmlformats.org/officeDocument/2006/relationships" name="体验与深度" sheetId="6" r:id="R616b26dc641c4d61"/>
    <x:sheet xmlns:r="http://schemas.openxmlformats.org/officeDocument/2006/relationships" name="来源与边界" sheetId="7" r:id="Rd7424d5c1b21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4E79"/>
      <x:name val="Microsoft YaHei"/>
    </x:font>
    <x:font>
      <x:b/>
      <x:sz val="10"/>
      <x:color rgb="FFFFFFFF"/>
      <x:name val="Microsoft YaHei"/>
    </x:font>
    <x:font>
      <x:sz val="10"/>
      <x:color rgb="FF182433"/>
      <x:name val="Microsoft YaHei"/>
    </x:font>
    <x:font>
      <x:b/>
      <x:sz val="11"/>
      <x:color rgb="FF7F6000"/>
      <x:name val="Microsoft YaHei"/>
    </x:font>
    <x:font>
      <x:b/>
      <x:sz val="10"/>
      <x:color rgb="FF9C0006"/>
      <x:name val="Microsoft YaHei"/>
    </x:font>
    <x:font>
      <x:sz val="9"/>
      <x:color rgb="FF182433"/>
      <x:name val="Microsoft YaHei"/>
    </x:font>
    <x:font>
      <x:b/>
      <x:sz val="11"/>
      <x:color rgb="FF17365D"/>
      <x:name val="Microsoft YaHei"/>
    </x:font>
    <x:font>
      <x:b/>
      <x:sz val="10"/>
      <x:color rgb="FF17365D"/>
      <x:name val="Microsoft YaHei"/>
    </x:font>
    <x:font>
      <x:b/>
      <x:sz val="10"/>
      <x:color rgb="FF7F6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DF5FB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833C0C"/>
      </x:font>
      <x:fill>
        <x:patternFill patternType="solid">
          <x:bgColor rgb="FFF4B183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5e42b84704f68" /><Relationship Type="http://schemas.openxmlformats.org/officeDocument/2006/relationships/theme" Target="/xl/theme/theme1.xml" Id="R165bf23a892f4ad6" /><Relationship Type="http://schemas.openxmlformats.org/officeDocument/2006/relationships/sharedStrings" Target="/xl/sharedStrings.xml" Id="R8db790e4ed7c4562" /><Relationship Type="http://schemas.openxmlformats.org/officeDocument/2006/relationships/worksheet" Target="/xl/worksheets/sheet1.xml" Id="R1b7904bce62841c4" /><Relationship Type="http://schemas.openxmlformats.org/officeDocument/2006/relationships/worksheet" Target="/xl/worksheets/sheet2.xml" Id="R00ebe8a250d24222" /><Relationship Type="http://schemas.openxmlformats.org/officeDocument/2006/relationships/worksheet" Target="/xl/worksheets/sheet3.xml" Id="R45c81b49b079410d" /><Relationship Type="http://schemas.openxmlformats.org/officeDocument/2006/relationships/worksheet" Target="/xl/worksheets/sheet4.xml" Id="R7e58bdb8e21a4c7e" /><Relationship Type="http://schemas.openxmlformats.org/officeDocument/2006/relationships/worksheet" Target="/xl/worksheets/sheet5.xml" Id="Rb0a9730fc5cb460c" /><Relationship Type="http://schemas.openxmlformats.org/officeDocument/2006/relationships/worksheet" Target="/xl/worksheets/sheet6.xml" Id="R616b26dc641c4d61" /><Relationship Type="http://schemas.openxmlformats.org/officeDocument/2006/relationships/worksheet" Target="/xl/worksheets/sheet7.xml" Id="Rd7424d5c1b2148c1" /></Relationships>
</file>

<file path=xl/tables/table1.xml><?xml version="1.0" encoding="utf-8"?>
<x:table xmlns:x="http://schemas.openxmlformats.org/spreadsheetml/2006/main" id="1" name="ArchetypeDefinitionTable" displayName="ArchetypeDefinitionTable" ref="A4:P10" headerRowCount="1" totalsRowCount="0" totalsRowShown="0">
  <x:tableColumns count="16">
    <x:tableColumn id="1" name="流派"/>
    <x:tableColumn id="2" name="一句话记忆"/>
    <x:tableColumn id="3" name="Dota职责镜头"/>
    <x:tableColumn id="4" name="炉石构筑镜头"/>
    <x:tableColumn id="5" name="玩家幻想"/>
    <x:tableColumn id="6" name="核心循环"/>
    <x:tableColumn id="7" name="强势窗口"/>
    <x:tableColumn id="8" name="主要弱点"/>
    <x:tableColumn id="9" name="对手读法"/>
    <x:tableColumn id="10" name="入门"/>
    <x:tableColumn id="11" name="熟练点"/>
    <x:tableColumn id="12" name="高手点"/>
    <x:tableColumn id="13" name="核心2只"/>
    <x:tableColumn id="14" name="重要4只"/>
    <x:tableColumn id="15" name="交叉4只"/>
    <x:tableColumn id="16" name="推荐六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imalArchetypeTable" displayName="AnimalArchetypeTable" ref="A4:Q64" headerRowCount="1" totalsRowCount="0" totalsRowShown="0">
  <x:tableColumns count="17">
    <x:tableColumn id="1" name="序号"/>
    <x:tableColumn id="2" name="ID"/>
    <x:tableColumn id="3" name="动物"/>
    <x:tableColumn id="4" name="品质"/>
    <x:tableColumn id="5" name="主流派"/>
    <x:tableColumn id="6" name="层级"/>
    <x:tableColumn id="7" name="次流派"/>
    <x:tableColumn id="8" name="主机制"/>
    <x:tableColumn id="9" name="技能名"/>
    <x:tableColumn id="10" name="一句话技能草案"/>
    <x:tableColumn id="11" name="战斗定位"/>
    <x:tableColumn id="12" name="流派内功能 / 桥接作用"/>
    <x:tableColumn id="13" name="推荐搭档"/>
    <x:tableColumn id="14" name="主要反制"/>
    <x:tableColumn id="15" name="当前 trigger/effect"/>
    <x:tableColumn id="16" name="评审状态"/>
    <x:tableColumn id="17" name="ID出现次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mmendedDeckTable" displayName="RecommendedDeckTable" ref="A4:I10" headerRowCount="1" totalsRowCount="0" totalsRowShown="0">
  <x:tableColumns count="9">
    <x:tableColumn id="1" name="流派"/>
    <x:tableColumn id="2" name="核心1"/>
    <x:tableColumn id="3" name="核心2"/>
    <x:tableColumn id="4" name="重要1"/>
    <x:tableColumn id="5" name="重要2"/>
    <x:tableColumn id="6" name="交叉1"/>
    <x:tableColumn id="7" name="交叉2"/>
    <x:tableColumn id="8" name="六位循环"/>
    <x:tableColumn id="9" name="建议替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39de9a6a647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689f8c81f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2d394d7e13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2" hidden="0" customWidth="1"/>
    <x:col min="5" max="5" width="28" hidden="0" customWidth="1"/>
    <x:col min="6" max="6" width="34" hidden="0" customWidth="1"/>
    <x:col min="7" max="7" width="30" hidden="0" customWidth="1"/>
    <x:col min="8" max="8" width="30" hidden="0" customWidth="1"/>
  </x:cols>
  <x:sheetData>
    <x:row r="1" ht="34" customHeight="1">
      <x:c r="A1" s="4" t="str">
        <x:v>战城大师｜动物技能流派与交叉矩阵 v2.0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REVIEW_ONLY / NOT AUTHORIZED FOR IMPLEMENTATION｜六流派 × 每派10只 × 2核心/4重要/4交叉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校验项</x:v>
      </x:c>
      <x:c r="B4" s="14" t="str">
        <x:v>值</x:v>
      </x:c>
      <x:c r="D4" s="14" t="str">
        <x:v>构筑结论</x:v>
      </x:c>
      <x:c r="E4" s="14" t="str">
        <x:v>规则</x:v>
      </x:c>
      <x:c r="F4" s="14" t="str">
        <x:v>目的</x:v>
      </x:c>
      <x:c r="G4" s="14" t="str">
        <x:v>禁止事项</x:v>
      </x:c>
      <x:c r="H4" s="14" t="str">
        <x:v>下一门禁</x:v>
      </x:c>
    </x:row>
    <x:row r="5" ht="50" customHeight="1">
      <x:c r="A5" s="20" t="str">
        <x:v>动物归属行</x:v>
      </x:c>
      <x:c r="B5" s="20" t="n">
        <x:f>COUNTA('60只动物归属'!$B$5:$B$64)</x:f>
        <x:v>60</x:v>
      </x:c>
      <x:c r="D5" s="20" t="str">
        <x:v>标准动物位</x:v>
      </x:c>
      <x:c r="E5" s="20" t="str">
        <x:v>2核心 + 2重要 + 2交叉</x:v>
      </x:c>
      <x:c r="F5" s="20" t="str">
        <x:v>主身份清楚，同时保留第二路线</x:v>
      </x:c>
      <x:c r="G5" s="20" t="str">
        <x:v>不做凑标签加属性</x:v>
      </x:c>
      <x:c r="H5" s="20" t="str">
        <x:v>制作人批准流派方向</x:v>
      </x:c>
    </x:row>
    <x:row r="6" ht="50" customHeight="1">
      <x:c r="A6" s="21" t="str">
        <x:v>60只覆盖</x:v>
      </x:c>
      <x:c r="B6" s="21" t="str">
        <x:f>IF(B5=60,"PASS","FAIL")</x:f>
        <x:v>PASS</x:v>
      </x:c>
      <x:c r="D6" s="21" t="str">
        <x:v>核心</x:v>
      </x:c>
      <x:c r="E6" s="21" t="str">
        <x:v>固定2只</x:v>
      </x:c>
      <x:c r="F6" s="21" t="str">
        <x:v>用最短两步链表达流派</x:v>
      </x:c>
      <x:c r="G6" s="21" t="str">
        <x:v>不允许单卡包办全循环</x:v>
      </x:c>
      <x:c r="H6" s="21" t="str">
        <x:v>核心链可玩原型</x:v>
      </x:c>
    </x:row>
    <x:row r="7" ht="50" customHeight="1">
      <x:c r="A7" s="21" t="str">
        <x:v>主要流派数</x:v>
      </x:c>
      <x:c r="B7" s="21" t="n">
        <x:f>COUNTA('流派定义'!$A$5:$A$10)</x:f>
        <x:v>6</x:v>
      </x:c>
      <x:c r="D7" s="21" t="str">
        <x:v>重要</x:v>
      </x:c>
      <x:c r="E7" s="21" t="str">
        <x:v>从4只中选2只</x:v>
      </x:c>
      <x:c r="F7" s="21" t="str">
        <x:v>根据地图/对手补保护、资源、速度或终结</x:v>
      </x:c>
      <x:c r="G7" s="21" t="str">
        <x:v>不提供唯一胜率答案</x:v>
      </x:c>
      <x:c r="H7" s="21" t="str">
        <x:v>功能槽平衡测试</x:v>
      </x:c>
    </x:row>
    <x:row r="8" ht="50" customHeight="1">
      <x:c r="A8" s="21" t="str">
        <x:v>每派10只</x:v>
      </x:c>
      <x:c r="B8" s="21" t="str">
        <x:f>IF(AND(COUNTIF('60只动物归属'!$E$5:$E$64,"群潮推进")=10,COUNTIF('60只动物归属'!$E$5:$E$64,"遗响接棒")=10,COUNTIF('60只动物归属'!$E$5:$E$64,"护群反攻")=10,COUNTIF('60只动物归属'!$E$5:$E$64,"疾行拓地")=10,COUNTIF('60只动物归属'!$E$5:$E$64,"标记围猎")=10,COUNTIF('60只动物归属'!$E$5:$E$64,"控制围歼")=10),"PASS","FAIL")</x:f>
        <x:v>PASS</x:v>
      </x:c>
      <x:c r="D8" s="21" t="str">
        <x:v>交叉</x:v>
      </x:c>
      <x:c r="E8" s="21" t="str">
        <x:v>从4只中选2只</x:v>
      </x:c>
      <x:c r="F8" s="21" t="str">
        <x:v>连接第二流派或覆盖主流派弱点</x:v>
      </x:c>
      <x:c r="G8" s="21" t="str">
        <x:v>不额外增加卡面关键词</x:v>
      </x:c>
      <x:c r="H8" s="21" t="str">
        <x:v>跨流派触发顺序测试</x:v>
      </x:c>
    </x:row>
    <x:row r="9">
      <x:c r="A9" s="21" t="str">
        <x:v>核心动物数</x:v>
      </x:c>
      <x:c r="B9" s="21" t="n">
        <x:f>COUNTIF('60只动物归属'!$F$5:$F$64,"核心")</x:f>
        <x:v>12</x:v>
      </x:c>
    </x:row>
    <x:row r="10">
      <x:c r="A10" s="21" t="str">
        <x:v>重要动物数</x:v>
      </x:c>
      <x:c r="B10" s="21" t="n">
        <x:f>COUNTIF('60只动物归属'!$F$5:$F$64,"重要")</x:f>
        <x:v>24</x:v>
      </x:c>
      <x:c r="D10" s="25" t="str">
        <x:v>设计结论：六流派是玩家识别战斗计划的语言，不是后台羁绊。玩家先看懂两只核心如何接力，再通过两只重要动物调整功能，最后用两只交叉动物转向第二计划。</x:v>
      </x:c>
      <x:c r="E10" s="25"/>
      <x:c r="F10" s="25"/>
      <x:c r="G10" s="25"/>
      <x:c r="H10" s="25"/>
    </x:row>
    <x:row r="11">
      <x:c r="A11" s="21" t="str">
        <x:v>交叉动物数</x:v>
      </x:c>
      <x:c r="B11" s="21" t="n">
        <x:f>COUNTIF('60只动物归属'!$F$5:$F$64,"交叉")</x:f>
        <x:v>24</x:v>
      </x:c>
      <x:c r="D11" s="25"/>
      <x:c r="E11" s="25"/>
      <x:c r="F11" s="25"/>
      <x:c r="G11" s="25"/>
      <x:c r="H11" s="25"/>
    </x:row>
    <x:row r="12">
      <x:c r="A12" s="21" t="str">
        <x:v>交叉次流派已填写</x:v>
      </x:c>
      <x:c r="B12" s="21" t="n">
        <x:f>COUNTIFS('60只动物归属'!$F$5:$F$64,"交叉",'60只动物归属'!$G$5:$G$64,"&lt;&gt;")</x:f>
        <x:v>24</x:v>
      </x:c>
    </x:row>
    <x:row r="13">
      <x:c r="A13" s="21" t="str">
        <x:v>层级结构</x:v>
      </x:c>
      <x:c r="B13" s="21" t="str">
        <x:f>IF(AND(B9=12,B10=24,B11=24,B12=24),"PASS","FAIL")</x:f>
        <x:v>PASS</x:v>
      </x:c>
      <x:c r="D13" s="29" t="str">
        <x:v>边界：本表为 REVIEW_ONLY 设计候选，不能导入卡表或运行时。商业产品只提供职责、组牌和学习曲线方法；不得复制其名称、技能、数值、角色、卡面、UI或资产。</x:v>
      </x:c>
      <x:c r="E13" s="29"/>
      <x:c r="F13" s="29"/>
      <x:c r="G13" s="29"/>
      <x:c r="H13" s="29"/>
    </x:row>
    <x:row r="14">
      <x:c r="A14" s="21" t="str">
        <x:v>唯一ID覆盖</x:v>
      </x:c>
      <x:c r="B14" s="21" t="str">
        <x:f>IF(MAX('60只动物归属'!$Q$5:$Q$64)=1,"PASS","FAIL")</x:f>
        <x:v>PASS</x:v>
      </x:c>
      <x:c r="D14" s="29"/>
      <x:c r="E14" s="29"/>
      <x:c r="F14" s="29"/>
      <x:c r="G14" s="29"/>
      <x:c r="H14" s="29"/>
    </x:row>
    <x:row r="15">
      <x:c r="D15" s="29"/>
      <x:c r="E15" s="29"/>
      <x:c r="F15" s="29"/>
      <x:c r="G15" s="29"/>
      <x:c r="H15" s="29"/>
    </x:row>
  </x:sheetData>
  <x:mergeCells>
    <x:mergeCell ref="A1:H1"/>
    <x:mergeCell ref="A2:H2"/>
    <x:mergeCell ref="D10:H11"/>
    <x:mergeCell ref="D13:H15"/>
  </x:mergeCells>
  <x:conditionalFormatting sqref="B5:B1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  <x:col min="5" max="5" width="42" hidden="0" customWidth="1"/>
    <x:col min="6" max="6" width="58" hidden="0" customWidth="1"/>
    <x:col min="7" max="7" width="34" hidden="0" customWidth="1"/>
    <x:col min="8" max="8" width="40" hidden="0" customWidth="1"/>
    <x:col min="9" max="9" width="48" hidden="0" customWidth="1"/>
    <x:col min="10" max="10" width="10" hidden="0" customWidth="1"/>
    <x:col min="11" max="11" width="44" hidden="0" customWidth="1"/>
    <x:col min="12" max="12" width="48" hidden="0" customWidth="1"/>
    <x:col min="13" max="13" width="24" hidden="0" customWidth="1"/>
    <x:col min="14" max="14" width="36" hidden="0" customWidth="1"/>
    <x:col min="15" max="15" width="36" hidden="0" customWidth="1"/>
    <x:col min="16" max="16" width="40" hidden="0" customWidth="1"/>
  </x:cols>
  <x:sheetData>
    <x:row r="1" ht="34" customHeight="1">
      <x:c r="A1" s="4" t="str">
        <x:v>六个主要技能流派｜身份、循环、弱点与深度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8" t="str">
        <x:v>每个流派均为10只主要归属动物；标准构筑只选其中6只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2" customHeight="1">
      <x:c r="A4" s="14" t="str">
        <x:v>流派</x:v>
      </x:c>
      <x:c r="B4" s="14" t="str">
        <x:v>一句话记忆</x:v>
      </x:c>
      <x:c r="C4" s="14" t="str">
        <x:v>Dota职责镜头</x:v>
      </x:c>
      <x:c r="D4" s="14" t="str">
        <x:v>炉石构筑镜头</x:v>
      </x:c>
      <x:c r="E4" s="14" t="str">
        <x:v>玩家幻想</x:v>
      </x:c>
      <x:c r="F4" s="14" t="str">
        <x:v>核心循环</x:v>
      </x:c>
      <x:c r="G4" s="14" t="str">
        <x:v>强势窗口</x:v>
      </x:c>
      <x:c r="H4" s="14" t="str">
        <x:v>主要弱点</x:v>
      </x:c>
      <x:c r="I4" s="14" t="str">
        <x:v>对手读法</x:v>
      </x:c>
      <x:c r="J4" s="14" t="str">
        <x:v>入门</x:v>
      </x:c>
      <x:c r="K4" s="14" t="str">
        <x:v>熟练点</x:v>
      </x:c>
      <x:c r="L4" s="14" t="str">
        <x:v>高手点</x:v>
      </x:c>
      <x:c r="M4" s="14" t="str">
        <x:v>核心2只</x:v>
      </x:c>
      <x:c r="N4" s="14" t="str">
        <x:v>重要4只</x:v>
      </x:c>
      <x:c r="O4" s="14" t="str">
        <x:v>交叉4只</x:v>
      </x:c>
      <x:c r="P4" s="14" t="str">
        <x:v>推荐六位</x:v>
      </x:c>
    </x:row>
    <x:row r="5" ht="116" customHeight="1">
      <x:c r="A5" s="39" t="str">
        <x:v>群潮推进</x:v>
      </x:c>
      <x:c r="B5" s="35" t="str">
        <x:v>小动物一波接一波，把人数兑现成建筑压力与团队保护。</x:v>
      </x:c>
      <x:c r="C5" s="35" t="str">
        <x:v>推进 / 召唤 / 光环</x:v>
      </x:c>
      <x:c r="D5" s="35" t="str">
        <x:v>铺场 / 节奏</x:v>
      </x:c>
      <x:c r="E5" s="35" t="str">
        <x:v>从一个小单位开始形成可见群体，让对手必须在清群与拆核心之间选择。</x:v>
      </x:c>
      <x:c r="F5" s="35" t="str">
        <x:v>老鼠造出第一批数量 → 蚂蚁把数量转成拆建压力 → 兔子、羊、企鹅维持整波存活 → 鹦鹉或交叉动物复制节奏、覆盖弱点。</x:v>
      </x:c>
      <x:c r="G5" s="35" t="str">
        <x:v>前中期；在第一波数量形成、范围清场尚未到位时最强。</x:v>
      </x:c>
      <x:c r="H5" s="35" t="str">
        <x:v>范围伤害、击退打散、单位上限、先杀光环核心。</x:v>
      </x:c>
      <x:c r="I5" s="35" t="str">
        <x:v>看到密集幼体和蚂蚁光环时，先拆核心或等单位聚齐后清场；不要把单体爆发浪费在衍生物上。</x:v>
      </x:c>
      <x:c r="J5" s="35" t="str">
        <x:v>低</x:v>
      </x:c>
      <x:c r="K5" s="35" t="str">
        <x:v>选择先补保护还是继续铺量，并学会避开敌方范围控制窗口。</x:v>
      </x:c>
      <x:c r="L5" s="35" t="str">
        <x:v>用交叉位在护群与反制清场之间切换，让对手无法只靠一种答案。</x:v>
      </x:c>
      <x:c r="M5" s="35" t="str">
        <x:v>老鼠、蚂蚁</x:v>
      </x:c>
      <x:c r="N5" s="35" t="str">
        <x:v>兔子、羊、企鹅、鹦鹉</x:v>
      </x:c>
      <x:c r="O5" s="35" t="str">
        <x:v>猴子、蝌蚪、天鹅、猛犸象</x:v>
      </x:c>
      <x:c r="P5" s="35" t="str">
        <x:v>老鼠、蚂蚁、兔子、鹦鹉、天鹅、猛犸象</x:v>
      </x:c>
    </x:row>
    <x:row r="6" ht="116" customHeight="1">
      <x:c r="A6" s="40" t="str">
        <x:v>遗响接棒</x:v>
      </x:c>
      <x:c r="B6" s="36" t="str">
        <x:v>倒下一只，立刻留下下一拍。</x:v>
      </x:c>
      <x:c r="C6" s="36" t="str">
        <x:v>续航 / 召唤 / 资源转换</x:v>
      </x:c>
      <x:c r="D6" s="36" t="str">
        <x:v>亡语 / 价值</x:v>
      </x:c>
      <x:c r="E6" s="36" t="str">
        <x:v>允许玩家主动接受一次交换，把阵亡变成衍生物、标记、资源或下一名战士。</x:v>
      </x:c>
      <x:c r="F6" s="36" t="str">
        <x:v>低价值动物先交换 → 鸭、鸡、猪等留下遗响 → 水獭把友军阵亡转成额外收益 → 狮子、银背猩猩维持重型战线。</x:v>
      </x:c>
      <x:c r="G6" s="36" t="str">
        <x:v>中期消耗战；双方开始频繁交换但还不能一次清空所有衍生物时最强。</x:v>
      </x:c>
      <x:c r="H6" s="36" t="str">
        <x:v>延后击杀、拉开阵亡位置、同时清理本体与衍生物、压住水獭等结算引擎。</x:v>
      </x:c>
      <x:c r="I6" s="36" t="str">
        <x:v>先识别谁是价值引擎，再决定击杀顺序；必要时暂缓击杀低价值遗响单位。</x:v>
      </x:c>
      <x:c r="J6" s="36" t="str">
        <x:v>中</x:v>
      </x:c>
      <x:c r="K6" s="36" t="str">
        <x:v>安排谁先倒下、谁留到最后，并理解同一阵亡事件的结算顺序。</x:v>
      </x:c>
      <x:c r="L6" s="36" t="str">
        <x:v>用鸽子、鹿等交叉位把阵亡转成猎杀或转线，从被动换血切到主动进攻。</x:v>
      </x:c>
      <x:c r="M6" s="36" t="str">
        <x:v>鸭、水獭</x:v>
      </x:c>
      <x:c r="N6" s="36" t="str">
        <x:v>鸡、猪、狮子、银背猩猩</x:v>
      </x:c>
      <x:c r="O6" s="36" t="str">
        <x:v>鸽子、海豹、鹿、猫</x:v>
      </x:c>
      <x:c r="P6" s="36" t="str">
        <x:v>鸭、水獭、鸡、银背猩猩、鸽子、海豹</x:v>
      </x:c>
    </x:row>
    <x:row r="7" ht="116" customHeight="1">
      <x:c r="A7" s="40" t="str">
        <x:v>护群反攻</x:v>
      </x:c>
      <x:c r="B7" s="36" t="str">
        <x:v>先保住核心，再把承伤变成反击。</x:v>
      </x:c>
      <x:c r="C7" s="36" t="str">
        <x:v>耐久 / 支援 / 反先手</x:v>
      </x:c>
      <x:c r="D7" s="36" t="str">
        <x:v>中速 / 控制</x:v>
      </x:c>
      <x:c r="E7" s="36" t="str">
        <x:v>把敌人的第一轮爆发吸收到可见前排，再让反伤、成长和后排持续输出反推战线。</x:v>
      </x:c>
      <x:c r="F7" s="36" t="str">
        <x:v>狗吸引威胁、刺猬惩罚近战 → 乌龟与大象稳定承伤 → 鹤补回生命、猩猩把受伤转成反扑 → 交叉位补充群体屏障或控制耐性。</x:v>
      </x:c>
      <x:c r="G7" s="36" t="str">
        <x:v>中期正面接战；敌人依赖单点或连续近战输出时最强。</x:v>
      </x:c>
      <x:c r="H7" s="36" t="str">
        <x:v>击退保护者、多方向攻击、腐毒与高额单次伤害、绕开正面换线。</x:v>
      </x:c>
      <x:c r="I7" s="36" t="str">
        <x:v>看到狗/大象护群线时先移位或分角度进攻，不要把所有伤害灌进同一转伤窗口。</x:v>
      </x:c>
      <x:c r="J7" s="36" t="str">
        <x:v>低</x:v>
      </x:c>
      <x:c r="K7" s="36" t="str">
        <x:v>分辨保护范围、转伤优先级和反伤对象，避免把多个保护能力同时浪费。</x:v>
      </x:c>
      <x:c r="L7" s="36" t="str">
        <x:v>根据对手伤害结构，在群体屏障、反控制和后勤续航之间动态换交叉位。</x:v>
      </x:c>
      <x:c r="M7" s="36" t="str">
        <x:v>狗、刺猬</x:v>
      </x:c>
      <x:c r="N7" s="36" t="str">
        <x:v>乌龟、鹤、大象、大猩猩</x:v>
      </x:c>
      <x:c r="O7" s="36" t="str">
        <x:v>蜗牛、仓鼠、蓝鲸、北极熊</x:v>
      </x:c>
      <x:c r="P7" s="36" t="str">
        <x:v>狗、刺猬、乌龟、鹤、蜗牛、蓝鲸</x:v>
      </x:c>
    </x:row>
    <x:row r="8" ht="116" customHeight="1">
      <x:c r="A8" s="40" t="str">
        <x:v>疾行拓地</x:v>
      </x:c>
      <x:c r="B8" s="36" t="str">
        <x:v>占下一格，马上冲向下一格。</x:v>
      </x:c>
      <x:c r="C8" s="36" t="str">
        <x:v>先手 / 机动 / 推进</x:v>
      </x:c>
      <x:c r="D8" s="36" t="str">
        <x:v>节奏 / 主动权</x:v>
      </x:c>
      <x:c r="E8" s="36" t="str">
        <x:v>把一次占领成功转成下一次移动与占领优势，让玩家用路线而不是纯正面数值获胜。</x:v>
      </x:c>
      <x:c r="F8" s="36" t="str">
        <x:v>麻雀与松鼠完成第一次占领 → 马、斑马把速度转成推进或首击 → 牛、河马把新地块稳住 → 交叉位负责破阵或切后排。</x:v>
      </x:c>
      <x:c r="G8" s="36" t="str">
        <x:v>地图开放、边界尚未固化时；多条可争夺路线越多越强。</x:v>
      </x:c>
      <x:c r="H8" s="36" t="str">
        <x:v>减速、束缚、狭窄接壤、占领前截杀、迫使回防。</x:v>
      </x:c>
      <x:c r="I8" s="36" t="str">
        <x:v>不要追着加速单位跑；守住下一块必经地或从另一侧制造必须回防的压力。</x:v>
      </x:c>
      <x:c r="J8" s="36" t="str">
        <x:v>中</x:v>
      </x:c>
      <x:c r="K8" s="36" t="str">
        <x:v>判断何时继续转线、何时停下守点，并管理加速叠加上限。</x:v>
      </x:c>
      <x:c r="L8" s="36" t="str">
        <x:v>用猎鹰、犀牛等交叉位把路线优势瞬间转成后排击杀或阵型破口。</x:v>
      </x:c>
      <x:c r="M8" s="36" t="str">
        <x:v>麻雀、松鼠</x:v>
      </x:c>
      <x:c r="N8" s="36" t="str">
        <x:v>马、牛、斑马、河马</x:v>
      </x:c>
      <x:c r="O8" s="36" t="str">
        <x:v>河狸、长颈鹿、猎鹰、犀牛</x:v>
      </x:c>
      <x:c r="P8" s="36" t="str">
        <x:v>麻雀、松鼠、马、斑马、猎鹰、犀牛</x:v>
      </x:c>
    </x:row>
    <x:row r="9" ht="116" customHeight="1">
      <x:c r="A9" s="40" t="str">
        <x:v>标记围猎</x:v>
      </x:c>
      <x:c r="B9" s="36" t="str">
        <x:v>先指出猎物，再让捕食者连续收割。</x:v>
      </x:c>
      <x:c r="C9" s="36" t="str">
        <x:v>核心输出 / 游走击杀 / 爆发</x:v>
      </x:c>
      <x:c r="D9" s="36" t="str">
        <x:v>组合技 / 定向终结</x:v>
      </x:c>
      <x:c r="E9" s="36" t="str">
        <x:v>把分散火力收束到一个公开目标，在短窗口里完成击杀并寻找下一名猎物。</x:v>
      </x:c>
      <x:c r="F9" s="36" t="str">
        <x:v>狐狸或海豚建立公开标记 → 狼与虎鲸奖励同目标攻击 → 豹子、老鹰完成收割 → 交叉位负责首击、追血或控制。</x:v>
      </x:c>
      <x:c r="G9" s="36" t="str">
        <x:v>中后期；标记者与收割者同时在场，且敌方保护技能进入冷却时最强。</x:v>
      </x:c>
      <x:c r="H9" s="36" t="str">
        <x:v>护群转伤、治疗抬线、低价值诱饵、先杀标记者、迫使换目标。</x:v>
      </x:c>
      <x:c r="I9" s="36" t="str">
        <x:v>看到标记线后立即保护或抬高目标生命；让猎手被迫换目标就能重置大量价值。</x:v>
      </x:c>
      <x:c r="J9" s="36" t="str">
        <x:v>高</x:v>
      </x:c>
      <x:c r="K9" s="36" t="str">
        <x:v>读保护冷却和生命阈值，选择正确标记对象，而不是永远攻击最近单位。</x:v>
      </x:c>
      <x:c r="L9" s="36" t="str">
        <x:v>把交叉位当作第二套开局方式，在伏击、控制和反群聚之间伪装构筑意图。</x:v>
      </x:c>
      <x:c r="M9" s="36" t="str">
        <x:v>狐狸、狼</x:v>
      </x:c>
      <x:c r="N9" s="36" t="str">
        <x:v>海豚、豹子、老鹰、虎鲸</x:v>
      </x:c>
      <x:c r="O9" s="36" t="str">
        <x:v>袋鼠、猞猁、鲨鱼、金雕</x:v>
      </x:c>
      <x:c r="P9" s="36" t="str">
        <x:v>狐狸、狼、海豚、豹子、袋鼠、鲨鱼</x:v>
      </x:c>
    </x:row>
    <x:row r="10" ht="116" customHeight="1">
      <x:c r="A10" s="40" t="str">
        <x:v>控制围歼</x:v>
      </x:c>
      <x:c r="B10" s="36" t="str">
        <x:v>先让猎物慢下来，再完成连续控制与范围收束。</x:v>
      </x:c>
      <x:c r="C10" s="36" t="str">
        <x:v>控制 / 爆发 / 阵型塑造</x:v>
      </x:c>
      <x:c r="D10" s="36" t="str">
        <x:v>控制 / 组合技</x:v>
      </x:c>
      <x:c r="E10" s="36" t="str">
        <x:v>用减速和打断创造一个可预测窗口，再让连续攻击、束缚、腐毒或横扫兑现。</x:v>
      </x:c>
      <x:c r="F10" s="36" t="str">
        <x:v>青蛙减速 → 野猪或山羊打断第一拍 → 鳄鱼、巨蟒完成连续钳制 → 老虎或科莫多龙处理群体与巨兽。</x:v>
      </x:c>
      <x:c r="G10" s="36" t="str">
        <x:v>中后期狭窄战线；敌方必须成团通过同一接壤口时最强。</x:v>
      </x:c>
      <x:c r="H10" s="36" t="str">
        <x:v>分线推进、远程消耗、触发前击杀控制源、遗响单位把被击杀转成价值。</x:v>
      </x:c>
      <x:c r="I10" s="36" t="str">
        <x:v>不要把全队同时送进控制区；迫使控制者换目标或让它们在空地交出关键技能。</x:v>
      </x:c>
      <x:c r="J10" s="36" t="str">
        <x:v>高</x:v>
      </x:c>
      <x:c r="K10" s="36" t="str">
        <x:v>理解减速、眩晕、束缚与击退的顺序，避免控制重叠浪费。</x:v>
      </x:c>
      <x:c r="L10" s="36" t="str">
        <x:v>利用山羊、熊、孔雀等交叉位改变第一拍，针对对手路线与构筑安排控制链。</x:v>
      </x:c>
      <x:c r="M10" s="36" t="str">
        <x:v>青蛙、野猪</x:v>
      </x:c>
      <x:c r="N10" s="36" t="str">
        <x:v>老虎、鳄鱼、巨蟒、科莫多龙</x:v>
      </x:c>
      <x:c r="O10" s="36" t="str">
        <x:v>山羊、孔雀、熊、骆驼</x:v>
      </x:c>
      <x:c r="P10" s="36" t="str">
        <x:v>青蛙、野猪、鳄鱼、巨蟒、山羊、熊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bbb39de9a6a647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1" hidden="0" customWidth="1"/>
    <x:col min="4" max="4" width="9" hidden="0" customWidth="1"/>
    <x:col min="5" max="5" width="15" hidden="0" customWidth="1"/>
    <x:col min="6" max="6" width="10" hidden="0" customWidth="1"/>
    <x:col min="7" max="7" width="15" hidden="0" customWidth="1"/>
    <x:col min="8" max="8" width="11" hidden="0" customWidth="1"/>
    <x:col min="9" max="9" width="16" hidden="0" customWidth="1"/>
    <x:col min="10" max="10" width="48" hidden="0" customWidth="1"/>
    <x:col min="11" max="11" width="24" hidden="0" customWidth="1"/>
    <x:col min="12" max="12" width="50" hidden="0" customWidth="1"/>
    <x:col min="13" max="13" width="26" hidden="0" customWidth="1"/>
    <x:col min="14" max="14" width="40" hidden="0" customWidth="1"/>
    <x:col min="15" max="15" width="24" hidden="0" customWidth="1"/>
    <x:col min="16" max="16" width="20" hidden="0" customWidth="1"/>
    <x:col min="17" max="17" width="12" hidden="0" customWidth="1"/>
  </x:cols>
  <x:sheetData>
    <x:row r="1" ht="34" customHeight="1">
      <x:c r="A1" s="4" t="str">
        <x:v>60只动物归属｜核心、重要、交叉与技能功能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0" customHeight="1">
      <x:c r="A2" s="8" t="str">
        <x:v>流派层级是构筑职责；技能草案沿用v1提案并保持待评审状态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2" customHeight="1">
      <x:c r="A4" s="14" t="str">
        <x:v>序号</x:v>
      </x:c>
      <x:c r="B4" s="14" t="str">
        <x:v>ID</x:v>
      </x:c>
      <x:c r="C4" s="14" t="str">
        <x:v>动物</x:v>
      </x:c>
      <x:c r="D4" s="14" t="str">
        <x:v>品质</x:v>
      </x:c>
      <x:c r="E4" s="14" t="str">
        <x:v>主流派</x:v>
      </x:c>
      <x:c r="F4" s="14" t="str">
        <x:v>层级</x:v>
      </x:c>
      <x:c r="G4" s="14" t="str">
        <x:v>次流派</x:v>
      </x:c>
      <x:c r="H4" s="14" t="str">
        <x:v>主机制</x:v>
      </x:c>
      <x:c r="I4" s="14" t="str">
        <x:v>技能名</x:v>
      </x:c>
      <x:c r="J4" s="14" t="str">
        <x:v>一句话技能草案</x:v>
      </x:c>
      <x:c r="K4" s="14" t="str">
        <x:v>战斗定位</x:v>
      </x:c>
      <x:c r="L4" s="14" t="str">
        <x:v>流派内功能 / 桥接作用</x:v>
      </x:c>
      <x:c r="M4" s="14" t="str">
        <x:v>推荐搭档</x:v>
      </x:c>
      <x:c r="N4" s="14" t="str">
        <x:v>主要反制</x:v>
      </x:c>
      <x:c r="O4" s="14" t="str">
        <x:v>当前 trigger/effect</x:v>
      </x:c>
      <x:c r="P4" s="14" t="str">
        <x:v>评审状态</x:v>
      </x:c>
      <x:c r="Q4" s="14" t="str">
        <x:v>ID出现次数</x:v>
      </x:c>
    </x:row>
    <x:row r="5" ht="74" customHeight="1">
      <x:c r="A5" s="41" t="n">
        <x:v>1</x:v>
      </x:c>
      <x:c r="B5" s="35" t="str">
        <x:v>mouse</x:v>
      </x:c>
      <x:c r="C5" s="41" t="str">
        <x:v>老鼠</x:v>
      </x:c>
      <x:c r="D5" s="41" t="str">
        <x:v>普通</x:v>
      </x:c>
      <x:c r="E5" s="41" t="str">
        <x:v>群潮推进</x:v>
      </x:c>
      <x:c r="F5" s="41" t="str">
        <x:v>核心</x:v>
      </x:c>
      <x:c r="G5" s="41" t="str">
        <x:v>—</x:v>
      </x:c>
      <x:c r="H5" s="41" t="str">
        <x:v>战吼</x:v>
      </x:c>
      <x:c r="I5" s="41" t="str">
        <x:v>地道增援</x:v>
      </x:c>
      <x:c r="J5" s="35" t="str">
        <x:v>战吼：在自身后方召唤1只幼鼠；幼鼠继承部分基础属性且无技能。</x:v>
      </x:c>
      <x:c r="K5" s="35" t="str">
        <x:v>群聚启动 / 低费铺场</x:v>
      </x:c>
      <x:c r="L5" s="35" t="str">
        <x:v>数量发动机；与蚂蚁构成最短可读核心链。</x:v>
      </x:c>
      <x:c r="M5" s="35" t="str">
        <x:v>蚂蚁、羊、企鹅</x:v>
      </x:c>
      <x:c r="N5" s="35" t="str">
        <x:v>范围伤害与单位上限能同时压制本体和幼鼠。</x:v>
      </x:c>
      <x:c r="O5" s="35" t="str">
        <x:v>none / none</x:v>
      </x:c>
      <x:c r="P5" s="41" t="str">
        <x:v>提案｜待制作人评审</x:v>
      </x:c>
      <x:c r="Q5" s="41" t="n">
        <x:f>COUNTIF($B$5:$B$64,B5)</x:f>
        <x:v>1</x:v>
      </x:c>
    </x:row>
    <x:row r="6" ht="74" customHeight="1">
      <x:c r="A6" s="42" t="n">
        <x:v>2</x:v>
      </x:c>
      <x:c r="B6" s="36" t="str">
        <x:v>ant</x:v>
      </x:c>
      <x:c r="C6" s="42" t="str">
        <x:v>蚂蚁</x:v>
      </x:c>
      <x:c r="D6" s="42" t="str">
        <x:v>普通</x:v>
      </x:c>
      <x:c r="E6" s="42" t="str">
        <x:v>群潮推进</x:v>
      </x:c>
      <x:c r="F6" s="42" t="str">
        <x:v>核心</x:v>
      </x:c>
      <x:c r="G6" s="42" t="str">
        <x:v>—</x:v>
      </x:c>
      <x:c r="H6" s="42" t="str">
        <x:v>光环</x:v>
      </x:c>
      <x:c r="I6" s="42" t="str">
        <x:v>搬运队列</x:v>
      </x:c>
      <x:c r="J6" s="36" t="str">
        <x:v>光环：附近友军对建筑造成额外伤害；同名光环只取最高值。</x:v>
      </x:c>
      <x:c r="K6" s="36" t="str">
        <x:v>群聚拆建核心</x:v>
      </x:c>
      <x:c r="L6" s="36" t="str">
        <x:v>把友军数量兑现为拆建压力；是必须优先保护或击杀的公开核心。</x:v>
      </x:c>
      <x:c r="M6" s="36" t="str">
        <x:v>老鼠、兔子、河狸</x:v>
      </x:c>
      <x:c r="N6" s="36" t="str">
        <x:v>先击杀蚂蚁或击退打散阵型即可移除收益。</x:v>
      </x:c>
      <x:c r="O6" s="36" t="str">
        <x:v>aura / buff_attack</x:v>
      </x:c>
      <x:c r="P6" s="42" t="str">
        <x:v>提案｜待制作人评审</x:v>
      </x:c>
      <x:c r="Q6" s="42" t="n">
        <x:f>COUNTIF($B$5:$B$64,B6)</x:f>
        <x:v>1</x:v>
      </x:c>
    </x:row>
    <x:row r="7" ht="74" customHeight="1">
      <x:c r="A7" s="42" t="n">
        <x:v>3</x:v>
      </x:c>
      <x:c r="B7" s="36" t="str">
        <x:v>sparrow</x:v>
      </x:c>
      <x:c r="C7" s="42" t="str">
        <x:v>麻雀</x:v>
      </x:c>
      <x:c r="D7" s="42" t="str">
        <x:v>普通</x:v>
      </x:c>
      <x:c r="E7" s="42" t="str">
        <x:v>疾行拓地</x:v>
      </x:c>
      <x:c r="F7" s="42" t="str">
        <x:v>核心</x:v>
      </x:c>
      <x:c r="G7" s="42" t="str">
        <x:v>—</x:v>
      </x:c>
      <x:c r="H7" s="42" t="str">
        <x:v>占领</x:v>
      </x:c>
      <x:c r="I7" s="42" t="str">
        <x:v>掠线探路</x:v>
      </x:c>
      <x:c r="J7" s="36" t="str">
        <x:v>占领：首次参与完成地块占领后，自身与最近友军短时加速。</x:v>
      </x:c>
      <x:c r="K7" s="36" t="str">
        <x:v>高速侦察 / 夺地辅助</x:v>
      </x:c>
      <x:c r="L7" s="36" t="str">
        <x:v>完成占领后给下一段推进加速，负责启动转线。</x:v>
      </x:c>
      <x:c r="M7" s="36" t="str">
        <x:v>松鼠、马、斑马</x:v>
      </x:c>
      <x:c r="N7" s="36" t="str">
        <x:v>在占领完成前截杀，或用减速切断加速后的推进。</x:v>
      </x:c>
      <x:c r="O7" s="36" t="str">
        <x:v>none / none</x:v>
      </x:c>
      <x:c r="P7" s="42" t="str">
        <x:v>提案｜待制作人评审</x:v>
      </x:c>
      <x:c r="Q7" s="42" t="n">
        <x:f>COUNTIF($B$5:$B$64,B7)</x:f>
        <x:v>1</x:v>
      </x:c>
    </x:row>
    <x:row r="8" ht="74" customHeight="1">
      <x:c r="A8" s="42" t="n">
        <x:v>4</x:v>
      </x:c>
      <x:c r="B8" s="36" t="str">
        <x:v>frog</x:v>
      </x:c>
      <x:c r="C8" s="42" t="str">
        <x:v>青蛙</x:v>
      </x:c>
      <x:c r="D8" s="42" t="str">
        <x:v>普通</x:v>
      </x:c>
      <x:c r="E8" s="42" t="str">
        <x:v>控制围歼</x:v>
      </x:c>
      <x:c r="F8" s="42" t="str">
        <x:v>核心</x:v>
      </x:c>
      <x:c r="G8" s="42" t="str">
        <x:v>—</x:v>
      </x:c>
      <x:c r="H8" s="42" t="str">
        <x:v>追击</x:v>
      </x:c>
      <x:c r="I8" s="42" t="str">
        <x:v>泥沼舌击</x:v>
      </x:c>
      <x:c r="J8" s="36" t="str">
        <x:v>追击：普攻命中使目标减速；重复命中只刷新持续时间，不叠层。</x:v>
      </x:c>
      <x:c r="K8" s="36" t="str">
        <x:v>持续减速 / 集火铺垫</x:v>
      </x:c>
      <x:c r="L8" s="36" t="str">
        <x:v>普攻减速是最低成本的控制起点。</x:v>
      </x:c>
      <x:c r="M8" s="36" t="str">
        <x:v>狼、老鹰、巨蟒</x:v>
      </x:c>
      <x:c r="N8" s="36" t="str">
        <x:v>换目标、远程击杀青蛙或在减速前拉开距离。</x:v>
      </x:c>
      <x:c r="O8" s="36" t="str">
        <x:v>on_attack / slow</x:v>
      </x:c>
      <x:c r="P8" s="42" t="str">
        <x:v>提案｜待制作人评审</x:v>
      </x:c>
      <x:c r="Q8" s="42" t="n">
        <x:f>COUNTIF($B$5:$B$64,B8)</x:f>
        <x:v>1</x:v>
      </x:c>
    </x:row>
    <x:row r="9" ht="74" customHeight="1">
      <x:c r="A9" s="42" t="n">
        <x:v>5</x:v>
      </x:c>
      <x:c r="B9" s="36" t="str">
        <x:v>rabbit</x:v>
      </x:c>
      <x:c r="C9" s="42" t="str">
        <x:v>兔子</x:v>
      </x:c>
      <x:c r="D9" s="42" t="str">
        <x:v>普通</x:v>
      </x:c>
      <x:c r="E9" s="42" t="str">
        <x:v>群潮推进</x:v>
      </x:c>
      <x:c r="F9" s="42" t="str">
        <x:v>重要</x:v>
      </x:c>
      <x:c r="G9" s="42" t="str">
        <x:v>—</x:v>
      </x:c>
      <x:c r="H9" s="42" t="str">
        <x:v>战吼</x:v>
      </x:c>
      <x:c r="I9" s="42" t="str">
        <x:v>警觉蹬地</x:v>
      </x:c>
      <x:c r="J9" s="36" t="str">
        <x:v>战吼：自己与最近一名友军各获得1层屏障。</x:v>
      </x:c>
      <x:c r="K9" s="36" t="str">
        <x:v>低费保护 / 群聚缓冲</x:v>
      </x:c>
      <x:c r="L9" s="36" t="str">
        <x:v>用低成本屏障保护第一波数量。</x:v>
      </x:c>
      <x:c r="M9" s="36" t="str">
        <x:v>老鼠、蚂蚁、羊</x:v>
      </x:c>
      <x:c r="N9" s="36" t="str">
        <x:v>用小额攻击先破屏障，再进行集火。</x:v>
      </x:c>
      <x:c r="O9" s="36" t="str">
        <x:v>on_spawn / shield</x:v>
      </x:c>
      <x:c r="P9" s="42" t="str">
        <x:v>提案｜待制作人评审</x:v>
      </x:c>
      <x:c r="Q9" s="42" t="n">
        <x:f>COUNTIF($B$5:$B$64,B9)</x:f>
        <x:v>1</x:v>
      </x:c>
    </x:row>
    <x:row r="10" ht="74" customHeight="1">
      <x:c r="A10" s="42" t="n">
        <x:v>6</x:v>
      </x:c>
      <x:c r="B10" s="36" t="str">
        <x:v>chicken</x:v>
      </x:c>
      <x:c r="C10" s="42" t="str">
        <x:v>鸡</x:v>
      </x:c>
      <x:c r="D10" s="42" t="str">
        <x:v>普通</x:v>
      </x:c>
      <x:c r="E10" s="42" t="str">
        <x:v>遗响接棒</x:v>
      </x:c>
      <x:c r="F10" s="42" t="str">
        <x:v>重要</x:v>
      </x:c>
      <x:c r="G10" s="42" t="str">
        <x:v>—</x:v>
      </x:c>
      <x:c r="H10" s="42" t="str">
        <x:v>亡语</x:v>
      </x:c>
      <x:c r="I10" s="42" t="str">
        <x:v>落羽换粮</x:v>
      </x:c>
      <x:c r="J10" s="36" t="str">
        <x:v>亡语：为所属玩家提供少量金币。</x:v>
      </x:c>
      <x:c r="K10" s="36" t="str">
        <x:v>低费交换 / 阵亡返还</x:v>
      </x:c>
      <x:c r="L10" s="36" t="str">
        <x:v>低门槛阵亡返还，让玩家理解主动交换。</x:v>
      </x:c>
      <x:c r="M10" s="36" t="str">
        <x:v>水獭、猪、狮子</x:v>
      </x:c>
      <x:c r="N10" s="36" t="str">
        <x:v>延后击杀鸡，避免在对手急需金币时送出节奏。</x:v>
      </x:c>
      <x:c r="O10" s="36" t="str">
        <x:v>on_death / gold</x:v>
      </x:c>
      <x:c r="P10" s="42" t="str">
        <x:v>提案｜待制作人评审</x:v>
      </x:c>
      <x:c r="Q10" s="42" t="n">
        <x:f>COUNTIF($B$5:$B$64,B10)</x:f>
        <x:v>1</x:v>
      </x:c>
    </x:row>
    <x:row r="11" ht="74" customHeight="1">
      <x:c r="A11" s="42" t="n">
        <x:v>7</x:v>
      </x:c>
      <x:c r="B11" s="36" t="str">
        <x:v>pigeon</x:v>
      </x:c>
      <x:c r="C11" s="42" t="str">
        <x:v>鸽子</x:v>
      </x:c>
      <x:c r="D11" s="42" t="str">
        <x:v>普通</x:v>
      </x:c>
      <x:c r="E11" s="42" t="str">
        <x:v>遗响接棒</x:v>
      </x:c>
      <x:c r="F11" s="42" t="str">
        <x:v>交叉</x:v>
      </x:c>
      <x:c r="G11" s="42" t="str">
        <x:v>标记围猎</x:v>
      </x:c>
      <x:c r="H11" s="42" t="str">
        <x:v>亡语</x:v>
      </x:c>
      <x:c r="I11" s="42" t="str">
        <x:v>最后一封信</x:v>
      </x:c>
      <x:c r="J11" s="36" t="str">
        <x:v>亡语：标记击杀者；友军短时间优先攻击并更容易伤害该目标。</x:v>
      </x:c>
      <x:c r="K11" s="36" t="str">
        <x:v>阵亡指路 / 集火起点</x:v>
      </x:c>
      <x:c r="L11" s="36" t="str">
        <x:v>阵亡后标记击杀者，把被动损失变成围猎起点。</x:v>
      </x:c>
      <x:c r="M11" s="36" t="str">
        <x:v>狐狸、猎鹰、豹子</x:v>
      </x:c>
      <x:c r="N11" s="36" t="str">
        <x:v>用低价值单位完成击杀，或在标记期用护群转伤。</x:v>
      </x:c>
      <x:c r="O11" s="36" t="str">
        <x:v>on_death / gold</x:v>
      </x:c>
      <x:c r="P11" s="42" t="str">
        <x:v>提案｜待制作人评审</x:v>
      </x:c>
      <x:c r="Q11" s="42" t="n">
        <x:f>COUNTIF($B$5:$B$64,B11)</x:f>
        <x:v>1</x:v>
      </x:c>
    </x:row>
    <x:row r="12" ht="74" customHeight="1">
      <x:c r="A12" s="42" t="n">
        <x:v>8</x:v>
      </x:c>
      <x:c r="B12" s="36" t="str">
        <x:v>hamster</x:v>
      </x:c>
      <x:c r="C12" s="42" t="str">
        <x:v>仓鼠</x:v>
      </x:c>
      <x:c r="D12" s="42" t="str">
        <x:v>普通</x:v>
      </x:c>
      <x:c r="E12" s="42" t="str">
        <x:v>护群反攻</x:v>
      </x:c>
      <x:c r="F12" s="42" t="str">
        <x:v>交叉</x:v>
      </x:c>
      <x:c r="G12" s="42" t="str">
        <x:v>遗响接棒</x:v>
      </x:c>
      <x:c r="H12" s="42" t="str">
        <x:v>律动</x:v>
      </x:c>
      <x:c r="I12" s="42" t="str">
        <x:v>囤粮</x:v>
      </x:c>
      <x:c r="J12" s="36" t="str">
        <x:v>律动：存活每若干秒提供少量金币；本周期内受伤则跳过本次产出。</x:v>
      </x:c>
      <x:c r="K12" s="36" t="str">
        <x:v>后勤产金 / 长线目标</x:v>
      </x:c>
      <x:c r="L12" s="36" t="str">
        <x:v>要求保护完整周期，成功后把防守转成资源优势。</x:v>
      </x:c>
      <x:c r="M12" s="36" t="str">
        <x:v>狗、河狸、鹤</x:v>
      </x:c>
      <x:c r="N12" s="36" t="str">
        <x:v>周期前造成一次伤害即可延后产出，不必一定击杀。</x:v>
      </x:c>
      <x:c r="O12" s="36" t="str">
        <x:v>on_interval / gold</x:v>
      </x:c>
      <x:c r="P12" s="42" t="str">
        <x:v>提案｜待制作人评审</x:v>
      </x:c>
      <x:c r="Q12" s="42" t="n">
        <x:f>COUNTIF($B$5:$B$64,B12)</x:f>
        <x:v>1</x:v>
      </x:c>
    </x:row>
    <x:row r="13" ht="74" customHeight="1">
      <x:c r="A13" s="42" t="n">
        <x:v>9</x:v>
      </x:c>
      <x:c r="B13" s="36" t="str">
        <x:v>snail</x:v>
      </x:c>
      <x:c r="C13" s="42" t="str">
        <x:v>蜗牛</x:v>
      </x:c>
      <x:c r="D13" s="42" t="str">
        <x:v>普通</x:v>
      </x:c>
      <x:c r="E13" s="42" t="str">
        <x:v>护群反攻</x:v>
      </x:c>
      <x:c r="F13" s="42" t="str">
        <x:v>交叉</x:v>
      </x:c>
      <x:c r="G13" s="42" t="str">
        <x:v>群潮推进</x:v>
      </x:c>
      <x:c r="H13" s="42" t="str">
        <x:v>护群</x:v>
      </x:c>
      <x:c r="I13" s="42" t="str">
        <x:v>缩壳挡路</x:v>
      </x:c>
      <x:c r="J13" s="36" t="str">
        <x:v>护群：附近低生命友军将受到的首次伤害部分转移给蜗牛，每次召唤一次。</x:v>
      </x:c>
      <x:c r="K13" s="36" t="str">
        <x:v>纯防线 / 低费承伤</x:v>
      </x:c>
      <x:c r="L13" s="36" t="str">
        <x:v>替低生命群潮单位吃第一击，是低费桥接保护者。</x:v>
      </x:c>
      <x:c r="M13" s="36" t="str">
        <x:v>刺猬、仓鼠、鹤</x:v>
      </x:c>
      <x:c r="N13" s="36" t="str">
        <x:v>先用小额伤害消耗护群，再用重击处理后排。</x:v>
      </x:c>
      <x:c r="O13" s="36" t="str">
        <x:v>none / none</x:v>
      </x:c>
      <x:c r="P13" s="42" t="str">
        <x:v>提案｜待制作人评审</x:v>
      </x:c>
      <x:c r="Q13" s="42" t="n">
        <x:f>COUNTIF($B$5:$B$64,B13)</x:f>
        <x:v>1</x:v>
      </x:c>
    </x:row>
    <x:row r="14" ht="74" customHeight="1">
      <x:c r="A14" s="42" t="n">
        <x:v>10</x:v>
      </x:c>
      <x:c r="B14" s="36" t="str">
        <x:v>tadpole</x:v>
      </x:c>
      <x:c r="C14" s="42" t="str">
        <x:v>蝌蚪</x:v>
      </x:c>
      <x:c r="D14" s="42" t="str">
        <x:v>普通</x:v>
      </x:c>
      <x:c r="E14" s="42" t="str">
        <x:v>群潮推进</x:v>
      </x:c>
      <x:c r="F14" s="42" t="str">
        <x:v>交叉</x:v>
      </x:c>
      <x:c r="G14" s="42" t="str">
        <x:v>护群反攻</x:v>
      </x:c>
      <x:c r="H14" s="42" t="str">
        <x:v>蜕变</x:v>
      </x:c>
      <x:c r="I14" s="42" t="str">
        <x:v>长成了</x:v>
      </x:c>
      <x:c r="J14" s="36" t="str">
        <x:v>蜕变：存活达到时间后永久提高生命，并让普攻附带小幅减速；每次召唤一次。</x:v>
      </x:c>
      <x:c r="K14" s="36" t="str">
        <x:v>延迟成长 / 低谷换上限</x:v>
      </x:c>
      <x:c r="L14" s="36" t="str">
        <x:v>需要群体掩护撑过蜕变，同时成长后补减速。</x:v>
      </x:c>
      <x:c r="M14" s="36" t="str">
        <x:v>兔子、狗、鹤</x:v>
      </x:c>
      <x:c r="N14" s="36" t="str">
        <x:v>在蜕变完成前集中处理，或击退让其错过有效战线。</x:v>
      </x:c>
      <x:c r="O14" s="36" t="str">
        <x:v>none / none</x:v>
      </x:c>
      <x:c r="P14" s="42" t="str">
        <x:v>提案｜待制作人评审</x:v>
      </x:c>
      <x:c r="Q14" s="42" t="n">
        <x:f>COUNTIF($B$5:$B$64,B14)</x:f>
        <x:v>1</x:v>
      </x:c>
    </x:row>
    <x:row r="15" ht="74" customHeight="1">
      <x:c r="A15" s="42" t="n">
        <x:v>11</x:v>
      </x:c>
      <x:c r="B15" s="36" t="str">
        <x:v>cat</x:v>
      </x:c>
      <x:c r="C15" s="42" t="str">
        <x:v>猫</x:v>
      </x:c>
      <x:c r="D15" s="42" t="str">
        <x:v>稀有</x:v>
      </x:c>
      <x:c r="E15" s="42" t="str">
        <x:v>遗响接棒</x:v>
      </x:c>
      <x:c r="F15" s="42" t="str">
        <x:v>交叉</x:v>
      </x:c>
      <x:c r="G15" s="42" t="str">
        <x:v>标记围猎</x:v>
      </x:c>
      <x:c r="H15" s="42" t="str">
        <x:v>猎杀</x:v>
      </x:c>
      <x:c r="I15" s="42" t="str">
        <x:v>守株捕猎</x:v>
      </x:c>
      <x:c r="J15" s="36" t="str">
        <x:v>猎杀：击杀动物后提高攻击，最多叠加若干层。</x:v>
      </x:c>
      <x:c r="K15" s="36" t="str">
        <x:v>低血收割 / 小型成长核</x:v>
      </x:c>
      <x:c r="L15" s="36" t="str">
        <x:v>用遗响制造的残血目标开始击杀成长。</x:v>
      </x:c>
      <x:c r="M15" s="36" t="str">
        <x:v>青蛙、狐狸、海豚</x:v>
      </x:c>
      <x:c r="N15" s="36" t="str">
        <x:v>治疗残血单位、用护群抢走最后一击、优先控制猫。</x:v>
      </x:c>
      <x:c r="O15" s="36" t="str">
        <x:v>none / none</x:v>
      </x:c>
      <x:c r="P15" s="42" t="str">
        <x:v>提案｜待制作人评审</x:v>
      </x:c>
      <x:c r="Q15" s="42" t="n">
        <x:f>COUNTIF($B$5:$B$64,B15)</x:f>
        <x:v>1</x:v>
      </x:c>
    </x:row>
    <x:row r="16" ht="74" customHeight="1">
      <x:c r="A16" s="42" t="n">
        <x:v>12</x:v>
      </x:c>
      <x:c r="B16" s="36" t="str">
        <x:v>dog</x:v>
      </x:c>
      <x:c r="C16" s="42" t="str">
        <x:v>狗</x:v>
      </x:c>
      <x:c r="D16" s="42" t="str">
        <x:v>稀有</x:v>
      </x:c>
      <x:c r="E16" s="42" t="str">
        <x:v>护群反攻</x:v>
      </x:c>
      <x:c r="F16" s="42" t="str">
        <x:v>核心</x:v>
      </x:c>
      <x:c r="G16" s="42" t="str">
        <x:v>—</x:v>
      </x:c>
      <x:c r="H16" s="42" t="str">
        <x:v>护群</x:v>
      </x:c>
      <x:c r="I16" s="42" t="str">
        <x:v>护主狂吠</x:v>
      </x:c>
      <x:c r="J16" s="36" t="str">
        <x:v>护群：附近低生命友军受到攻击时，攻击者短暂转向狗；有触发冷却。</x:v>
      </x:c>
      <x:c r="K16" s="36" t="str">
        <x:v>近身护卫 / 后排保镖</x:v>
      </x:c>
      <x:c r="L16" s="36" t="str">
        <x:v>吸引低生命友军的威胁，是最清晰的保护开关。</x:v>
      </x:c>
      <x:c r="M16" s="36" t="str">
        <x:v>仓鼠、鹦鹉、鹤</x:v>
      </x:c>
      <x:c r="N16" s="36" t="str">
        <x:v>先击退或控制狗，再切后排；多方向攻击可绕开单次护卫。</x:v>
      </x:c>
      <x:c r="O16" s="36" t="str">
        <x:v>on_attack / gold</x:v>
      </x:c>
      <x:c r="P16" s="42" t="str">
        <x:v>提案｜待制作人评审</x:v>
      </x:c>
      <x:c r="Q16" s="42" t="n">
        <x:f>COUNTIF($B$5:$B$64,B16)</x:f>
        <x:v>1</x:v>
      </x:c>
    </x:row>
    <x:row r="17" ht="74" customHeight="1">
      <x:c r="A17" s="42" t="n">
        <x:v>13</x:v>
      </x:c>
      <x:c r="B17" s="36" t="str">
        <x:v>duck</x:v>
      </x:c>
      <x:c r="C17" s="42" t="str">
        <x:v>鸭</x:v>
      </x:c>
      <x:c r="D17" s="42" t="str">
        <x:v>稀有</x:v>
      </x:c>
      <x:c r="E17" s="42" t="str">
        <x:v>遗响接棒</x:v>
      </x:c>
      <x:c r="F17" s="42" t="str">
        <x:v>核心</x:v>
      </x:c>
      <x:c r="G17" s="42" t="str">
        <x:v>—</x:v>
      </x:c>
      <x:c r="H17" s="42" t="str">
        <x:v>亡语</x:v>
      </x:c>
      <x:c r="I17" s="42" t="str">
        <x:v>潜水接替</x:v>
      </x:c>
      <x:c r="J17" s="36" t="str">
        <x:v>亡语：在原位置召唤1只小鸭；小鸭属性较低且无技能。</x:v>
      </x:c>
      <x:c r="K17" s="36" t="str">
        <x:v>接棒铺场 / 战线续航</x:v>
      </x:c>
      <x:c r="L17" s="36" t="str">
        <x:v>最直观的阵亡接替样本；本体倒下仍留下下一拍。</x:v>
      </x:c>
      <x:c r="M17" s="36" t="str">
        <x:v>水獭、海豹、狮子</x:v>
      </x:c>
      <x:c r="N17" s="36" t="str">
        <x:v>范围伤害同时处理衍生物，或把鸭子拉离关键战线再击杀。</x:v>
      </x:c>
      <x:c r="O17" s="36" t="str">
        <x:v>on_death / summon</x:v>
      </x:c>
      <x:c r="P17" s="42" t="str">
        <x:v>提案｜待制作人评审</x:v>
      </x:c>
      <x:c r="Q17" s="42" t="n">
        <x:f>COUNTIF($B$5:$B$64,B17)</x:f>
        <x:v>1</x:v>
      </x:c>
    </x:row>
    <x:row r="18" ht="74" customHeight="1">
      <x:c r="A18" s="42" t="n">
        <x:v>14</x:v>
      </x:c>
      <x:c r="B18" s="36" t="str">
        <x:v>squirrel</x:v>
      </x:c>
      <x:c r="C18" s="42" t="str">
        <x:v>松鼠</x:v>
      </x:c>
      <x:c r="D18" s="42" t="str">
        <x:v>稀有</x:v>
      </x:c>
      <x:c r="E18" s="42" t="str">
        <x:v>疾行拓地</x:v>
      </x:c>
      <x:c r="F18" s="42" t="str">
        <x:v>核心</x:v>
      </x:c>
      <x:c r="G18" s="42" t="str">
        <x:v>—</x:v>
      </x:c>
      <x:c r="H18" s="42" t="str">
        <x:v>占领</x:v>
      </x:c>
      <x:c r="I18" s="42" t="str">
        <x:v>藏果路线</x:v>
      </x:c>
      <x:c r="J18" s="36" t="str">
        <x:v>占领：参与完成地块占领时获得金币；同一松鼠对同一地块只触发一次。</x:v>
      </x:c>
      <x:c r="K18" s="36" t="str">
        <x:v>夺地收益 / 快节奏产金</x:v>
      </x:c>
      <x:c r="L18" s="36" t="str">
        <x:v>把每次新占领转成资源，定义流派的地图收益。</x:v>
      </x:c>
      <x:c r="M18" s="36" t="str">
        <x:v>麻雀、马、牛</x:v>
      </x:c>
      <x:c r="N18" s="36" t="str">
        <x:v>在占领完成前阻断，或把战线拖到已触发过的地块。</x:v>
      </x:c>
      <x:c r="O18" s="36" t="str">
        <x:v>on_capture / gold</x:v>
      </x:c>
      <x:c r="P18" s="42" t="str">
        <x:v>提案｜待制作人评审</x:v>
      </x:c>
      <x:c r="Q18" s="42" t="n">
        <x:f>COUNTIF($B$5:$B$64,B18)</x:f>
        <x:v>1</x:v>
      </x:c>
    </x:row>
    <x:row r="19" ht="74" customHeight="1">
      <x:c r="A19" s="42" t="n">
        <x:v>15</x:v>
      </x:c>
      <x:c r="B19" s="36" t="str">
        <x:v>hedgehog</x:v>
      </x:c>
      <x:c r="C19" s="42" t="str">
        <x:v>刺猬</x:v>
      </x:c>
      <x:c r="D19" s="42" t="str">
        <x:v>稀有</x:v>
      </x:c>
      <x:c r="E19" s="42" t="str">
        <x:v>护群反攻</x:v>
      </x:c>
      <x:c r="F19" s="42" t="str">
        <x:v>核心</x:v>
      </x:c>
      <x:c r="G19" s="42" t="str">
        <x:v>—</x:v>
      </x:c>
      <x:c r="H19" s="42" t="str">
        <x:v>负伤</x:v>
      </x:c>
      <x:c r="I19" s="42" t="str">
        <x:v>竖刺</x:v>
      </x:c>
      <x:c r="J19" s="36" t="str">
        <x:v>负伤：受到近战伤害时对来源反弹固定伤害；同一来源有最短触发间隔。</x:v>
      </x:c>
      <x:c r="K19" s="36" t="str">
        <x:v>近战反制 / 小型前排</x:v>
      </x:c>
      <x:c r="L19" s="36" t="str">
        <x:v>把被保护后的近战承伤兑现为反伤，形成反攻第二拍。</x:v>
      </x:c>
      <x:c r="M19" s="36" t="str">
        <x:v>蜗牛、狗、大猩猩</x:v>
      </x:c>
      <x:c r="N19" s="36" t="str">
        <x:v>使用远程攻击、单次重击或先控制再集火。</x:v>
      </x:c>
      <x:c r="O19" s="36" t="str">
        <x:v>on_damage / thorns</x:v>
      </x:c>
      <x:c r="P19" s="42" t="str">
        <x:v>提案｜待制作人评审</x:v>
      </x:c>
      <x:c r="Q19" s="42" t="n">
        <x:f>COUNTIF($B$5:$B$64,B19)</x:f>
        <x:v>1</x:v>
      </x:c>
    </x:row>
    <x:row r="20" ht="74" customHeight="1">
      <x:c r="A20" s="42" t="n">
        <x:v>16</x:v>
      </x:c>
      <x:c r="B20" s="36" t="str">
        <x:v>turtle</x:v>
      </x:c>
      <x:c r="C20" s="42" t="str">
        <x:v>乌龟</x:v>
      </x:c>
      <x:c r="D20" s="42" t="str">
        <x:v>稀有</x:v>
      </x:c>
      <x:c r="E20" s="42" t="str">
        <x:v>护群反攻</x:v>
      </x:c>
      <x:c r="F20" s="42" t="str">
        <x:v>重要</x:v>
      </x:c>
      <x:c r="G20" s="42" t="str">
        <x:v>—</x:v>
      </x:c>
      <x:c r="H20" s="42" t="str">
        <x:v>负伤</x:v>
      </x:c>
      <x:c r="I20" s="42" t="str">
        <x:v>龟壳</x:v>
      </x:c>
      <x:c r="J20" s="36" t="str">
        <x:v>负伤：每次受到伤害减少固定值，但最终至少承受1点伤害。</x:v>
      </x:c>
      <x:c r="K20" s="36" t="str">
        <x:v>稳定减伤 / 低操作前排</x:v>
      </x:c>
      <x:c r="L20" s="36" t="str">
        <x:v>稳定减伤，降低流派的操作门槛。</x:v>
      </x:c>
      <x:c r="M20" s="36" t="str">
        <x:v>狗、鹤、大象</x:v>
      </x:c>
      <x:c r="N20" s="36" t="str">
        <x:v>使用高频小伤害以外的重击、毒伤或持续效果。</x:v>
      </x:c>
      <x:c r="O20" s="36" t="str">
        <x:v>on_damage / shield</x:v>
      </x:c>
      <x:c r="P20" s="42" t="str">
        <x:v>提案｜待制作人评审</x:v>
      </x:c>
      <x:c r="Q20" s="42" t="n">
        <x:f>COUNTIF($B$5:$B$64,B20)</x:f>
        <x:v>1</x:v>
      </x:c>
    </x:row>
    <x:row r="21" ht="74" customHeight="1">
      <x:c r="A21" s="42" t="n">
        <x:v>17</x:v>
      </x:c>
      <x:c r="B21" s="36" t="str">
        <x:v>goat</x:v>
      </x:c>
      <x:c r="C21" s="42" t="str">
        <x:v>山羊</x:v>
      </x:c>
      <x:c r="D21" s="42" t="str">
        <x:v>稀有</x:v>
      </x:c>
      <x:c r="E21" s="42" t="str">
        <x:v>控制围歼</x:v>
      </x:c>
      <x:c r="F21" s="42" t="str">
        <x:v>交叉</x:v>
      </x:c>
      <x:c r="G21" s="42" t="str">
        <x:v>疾行拓地</x:v>
      </x:c>
      <x:c r="H21" s="42" t="str">
        <x:v>战吼</x:v>
      </x:c>
      <x:c r="I21" s="42" t="str">
        <x:v>顶开</x:v>
      </x:c>
      <x:c r="J21" s="36" t="str">
        <x:v>战吼：撞退最近敌方动物并打断其本次攻击。</x:v>
      </x:c>
      <x:c r="K21" s="36" t="str">
        <x:v>单体破阵 / 攻击打断</x:v>
      </x:c>
      <x:c r="L21" s="36" t="str">
        <x:v>登场击退并打断，既能开控制也能打开占领路线。</x:v>
      </x:c>
      <x:c r="M21" s="36" t="str">
        <x:v>青蛙、袋鼠、狼</x:v>
      </x:c>
      <x:c r="N21" s="36" t="str">
        <x:v>用高生命前排吸收顶撞，或与后排保持距离。</x:v>
      </x:c>
      <x:c r="O21" s="36" t="str">
        <x:v>aura / buff_hp</x:v>
      </x:c>
      <x:c r="P21" s="42" t="str">
        <x:v>提案｜待制作人评审</x:v>
      </x:c>
      <x:c r="Q21" s="42" t="n">
        <x:f>COUNTIF($B$5:$B$64,B21)</x:f>
        <x:v>1</x:v>
      </x:c>
    </x:row>
    <x:row r="22" ht="74" customHeight="1">
      <x:c r="A22" s="42" t="n">
        <x:v>18</x:v>
      </x:c>
      <x:c r="B22" s="36" t="str">
        <x:v>sheep</x:v>
      </x:c>
      <x:c r="C22" s="42" t="str">
        <x:v>羊</x:v>
      </x:c>
      <x:c r="D22" s="42" t="str">
        <x:v>稀有</x:v>
      </x:c>
      <x:c r="E22" s="42" t="str">
        <x:v>群潮推进</x:v>
      </x:c>
      <x:c r="F22" s="42" t="str">
        <x:v>重要</x:v>
      </x:c>
      <x:c r="G22" s="42" t="str">
        <x:v>—</x:v>
      </x:c>
      <x:c r="H22" s="42" t="str">
        <x:v>战吼</x:v>
      </x:c>
      <x:c r="I22" s="42" t="str">
        <x:v>抱团取暖</x:v>
      </x:c>
      <x:c r="J22" s="36" t="str">
        <x:v>战吼：当前在场友军获得最大生命快照增益；之后登场者不补发。</x:v>
      </x:c>
      <x:c r="K22" s="36" t="str">
        <x:v>群聚增韧 / 登场辅助</x:v>
      </x:c>
      <x:c r="L22" s="36" t="str">
        <x:v>把当前在场数量转成一次生命快照，奖励正确出场顺序。</x:v>
      </x:c>
      <x:c r="M22" s="36" t="str">
        <x:v>老鼠、兔子、企鹅</x:v>
      </x:c>
      <x:c r="N22" s="36" t="str">
        <x:v>在羊登场前先清场，或在第二波单位到来后集中反打。</x:v>
      </x:c>
      <x:c r="O22" s="36" t="str">
        <x:v>on_spawn / buff_hp</x:v>
      </x:c>
      <x:c r="P22" s="42" t="str">
        <x:v>提案｜待制作人评审</x:v>
      </x:c>
      <x:c r="Q22" s="42" t="n">
        <x:f>COUNTIF($B$5:$B$64,B22)</x:f>
        <x:v>1</x:v>
      </x:c>
    </x:row>
    <x:row r="23" ht="74" customHeight="1">
      <x:c r="A23" s="42" t="n">
        <x:v>19</x:v>
      </x:c>
      <x:c r="B23" s="36" t="str">
        <x:v>parrot</x:v>
      </x:c>
      <x:c r="C23" s="42" t="str">
        <x:v>鹦鹉</x:v>
      </x:c>
      <x:c r="D23" s="42" t="str">
        <x:v>稀有</x:v>
      </x:c>
      <x:c r="E23" s="42" t="str">
        <x:v>群潮推进</x:v>
      </x:c>
      <x:c r="F23" s="42" t="str">
        <x:v>重要</x:v>
      </x:c>
      <x:c r="G23" s="42" t="str">
        <x:v>—</x:v>
      </x:c>
      <x:c r="H23" s="42" t="str">
        <x:v>连携</x:v>
      </x:c>
      <x:c r="I23" s="42" t="str">
        <x:v>复诵</x:v>
      </x:c>
      <x:c r="J23" s="36" t="str">
        <x:v>战吼·连携：重复最近一次己方非召唤类战吼的弱化效果；没有记录则不触发。</x:v>
      </x:c>
      <x:c r="K23" s="36" t="str">
        <x:v>战吼复制 / 组合放大器</x:v>
      </x:c>
      <x:c r="L23" s="36" t="str">
        <x:v>复诵非召唤登场效果，让玩家选择复制保护、速度或破阵。</x:v>
      </x:c>
      <x:c r="M23" s="36" t="str">
        <x:v>兔子、狐狸、马</x:v>
      </x:c>
      <x:c r="N23" s="36" t="str">
        <x:v>逼迫对手先打出低价值战吼记录；击杀鹦鹉不影响已结算效果。</x:v>
      </x:c>
      <x:c r="O23" s="36" t="str">
        <x:v>on_spawn / copy</x:v>
      </x:c>
      <x:c r="P23" s="42" t="str">
        <x:v>提案｜待制作人评审</x:v>
      </x:c>
      <x:c r="Q23" s="42" t="n">
        <x:f>COUNTIF($B$5:$B$64,B23)</x:f>
        <x:v>1</x:v>
      </x:c>
    </x:row>
    <x:row r="24" ht="74" customHeight="1">
      <x:c r="A24" s="42" t="n">
        <x:v>20</x:v>
      </x:c>
      <x:c r="B24" s="36" t="str">
        <x:v>fox</x:v>
      </x:c>
      <x:c r="C24" s="42" t="str">
        <x:v>狐狸</x:v>
      </x:c>
      <x:c r="D24" s="42" t="str">
        <x:v>史诗</x:v>
      </x:c>
      <x:c r="E24" s="42" t="str">
        <x:v>标记围猎</x:v>
      </x:c>
      <x:c r="F24" s="42" t="str">
        <x:v>核心</x:v>
      </x:c>
      <x:c r="G24" s="42" t="str">
        <x:v>—</x:v>
      </x:c>
      <x:c r="H24" s="42" t="str">
        <x:v>战吼</x:v>
      </x:c>
      <x:c r="I24" s="42" t="str">
        <x:v>佯攻号令</x:v>
      </x:c>
      <x:c r="J24" s="36" t="str">
        <x:v>战吼：标记最近的远程敌人；若没有远程敌人则标记最近敌人。</x:v>
      </x:c>
      <x:c r="K24" s="36" t="str">
        <x:v>集火指挥 / 后排猎杀起点</x:v>
      </x:c>
      <x:c r="L24" s="36" t="str">
        <x:v>公开标记高价值目标，定义整套围猎的第一拍。</x:v>
      </x:c>
      <x:c r="M24" s="36" t="str">
        <x:v>鹦鹉、猎鹰、豹子</x:v>
      </x:c>
      <x:c r="N24" s="36" t="str">
        <x:v>用护群单位覆盖被标记者，或快速处理狐狸/拉开战线。</x:v>
      </x:c>
      <x:c r="O24" s="36" t="str">
        <x:v>on_spawn / buff_attack</x:v>
      </x:c>
      <x:c r="P24" s="42" t="str">
        <x:v>提案｜待制作人评审</x:v>
      </x:c>
      <x:c r="Q24" s="42" t="n">
        <x:f>COUNTIF($B$5:$B$64,B24)</x:f>
        <x:v>1</x:v>
      </x:c>
    </x:row>
    <x:row r="25" ht="74" customHeight="1">
      <x:c r="A25" s="42" t="n">
        <x:v>21</x:v>
      </x:c>
      <x:c r="B25" s="36" t="str">
        <x:v>monkey</x:v>
      </x:c>
      <x:c r="C25" s="42" t="str">
        <x:v>猴子</x:v>
      </x:c>
      <x:c r="D25" s="42" t="str">
        <x:v>史诗</x:v>
      </x:c>
      <x:c r="E25" s="42" t="str">
        <x:v>群潮推进</x:v>
      </x:c>
      <x:c r="F25" s="42" t="str">
        <x:v>交叉</x:v>
      </x:c>
      <x:c r="G25" s="42" t="str">
        <x:v>标记围猎</x:v>
      </x:c>
      <x:c r="H25" s="42" t="str">
        <x:v>连携</x:v>
      </x:c>
      <x:c r="I25" s="42" t="str">
        <x:v>照着来</x:v>
      </x:c>
      <x:c r="J25" s="36" t="str">
        <x:v>连携：附近友军触发技能后，猴子下一次普攻额外攻击1个目标；效果不叠加。</x:v>
      </x:c>
      <x:c r="K25" s="36" t="str">
        <x:v>技能跟拍 / 灵活输出</x:v>
      </x:c>
      <x:c r="L25" s="36" t="str">
        <x:v>观察并复用友军连携，把群体铺场转成一次定向围猎。</x:v>
      </x:c>
      <x:c r="M25" s="36" t="str">
        <x:v>鹦鹉、海豚、老虎</x:v>
      </x:c>
      <x:c r="N25" s="36" t="str">
        <x:v>拉开猴子与技能核心，或用单目标诱饵消耗额外攻击。</x:v>
      </x:c>
      <x:c r="O25" s="36" t="str">
        <x:v>on_spawn / copy</x:v>
      </x:c>
      <x:c r="P25" s="42" t="str">
        <x:v>提案｜待制作人评审</x:v>
      </x:c>
      <x:c r="Q25" s="42" t="n">
        <x:f>COUNTIF($B$5:$B$64,B25)</x:f>
        <x:v>1</x:v>
      </x:c>
    </x:row>
    <x:row r="26" ht="74" customHeight="1">
      <x:c r="A26" s="42" t="n">
        <x:v>22</x:v>
      </x:c>
      <x:c r="B26" s="36" t="str">
        <x:v>pig</x:v>
      </x:c>
      <x:c r="C26" s="42" t="str">
        <x:v>猪</x:v>
      </x:c>
      <x:c r="D26" s="42" t="str">
        <x:v>史诗</x:v>
      </x:c>
      <x:c r="E26" s="42" t="str">
        <x:v>遗响接棒</x:v>
      </x:c>
      <x:c r="F26" s="42" t="str">
        <x:v>重要</x:v>
      </x:c>
      <x:c r="G26" s="42" t="str">
        <x:v>—</x:v>
      </x:c>
      <x:c r="H26" s="42" t="str">
        <x:v>亡语</x:v>
      </x:c>
      <x:c r="I26" s="42" t="str">
        <x:v>翻土余粮</x:v>
      </x:c>
      <x:c r="J26" s="36" t="str">
        <x:v>亡语：按本次存活时间返还金币，达到上限后不再增长。</x:v>
      </x:c>
      <x:c r="K26" s="36" t="str">
        <x:v>养成返还 / 中期经济垫</x:v>
      </x:c>
      <x:c r="L26" s="36" t="str">
        <x:v>用阵亡资源或补给抬高持续交换能力。</x:v>
      </x:c>
      <x:c r="M26" s="36" t="str">
        <x:v>狗、水獭、鹤</x:v>
      </x:c>
      <x:c r="N26" s="36" t="str">
        <x:v>尽早击杀降低返还，或延后到对手无法立即消费的时点。</x:v>
      </x:c>
      <x:c r="O26" s="36" t="str">
        <x:v>on_death / gold</x:v>
      </x:c>
      <x:c r="P26" s="42" t="str">
        <x:v>提案｜待制作人评审</x:v>
      </x:c>
      <x:c r="Q26" s="42" t="n">
        <x:f>COUNTIF($B$5:$B$64,B26)</x:f>
        <x:v>1</x:v>
      </x:c>
    </x:row>
    <x:row r="27" ht="74" customHeight="1">
      <x:c r="A27" s="42" t="n">
        <x:v>23</x:v>
      </x:c>
      <x:c r="B27" s="36" t="str">
        <x:v>deer</x:v>
      </x:c>
      <x:c r="C27" s="42" t="str">
        <x:v>鹿</x:v>
      </x:c>
      <x:c r="D27" s="42" t="str">
        <x:v>史诗</x:v>
      </x:c>
      <x:c r="E27" s="42" t="str">
        <x:v>遗响接棒</x:v>
      </x:c>
      <x:c r="F27" s="42" t="str">
        <x:v>交叉</x:v>
      </x:c>
      <x:c r="G27" s="42" t="str">
        <x:v>疾行拓地</x:v>
      </x:c>
      <x:c r="H27" s="42" t="str">
        <x:v>亡语</x:v>
      </x:c>
      <x:c r="I27" s="42" t="str">
        <x:v>惊群</x:v>
      </x:c>
      <x:c r="J27" s="36" t="str">
        <x:v>亡语：附近友军短时间提高移动速度。</x:v>
      </x:c>
      <x:c r="K27" s="36" t="str">
        <x:v>阵亡撤离 / 速度接棒</x:v>
      </x:c>
      <x:c r="L27" s="36" t="str">
        <x:v>遗响提供短时加速，把一次交换转成下一次占领。</x:v>
      </x:c>
      <x:c r="M27" s="36" t="str">
        <x:v>马、斑马、海豹</x:v>
      </x:c>
      <x:c r="N27" s="36" t="str">
        <x:v>先控制或分散周围友军，再击杀鹿。</x:v>
      </x:c>
      <x:c r="O27" s="36" t="str">
        <x:v>on_spawn / buff_speed</x:v>
      </x:c>
      <x:c r="P27" s="42" t="str">
        <x:v>提案｜待制作人评审</x:v>
      </x:c>
      <x:c r="Q27" s="42" t="n">
        <x:f>COUNTIF($B$5:$B$64,B27)</x:f>
        <x:v>1</x:v>
      </x:c>
    </x:row>
    <x:row r="28" ht="74" customHeight="1">
      <x:c r="A28" s="42" t="n">
        <x:v>24</x:v>
      </x:c>
      <x:c r="B28" s="36" t="str">
        <x:v>beaver</x:v>
      </x:c>
      <x:c r="C28" s="42" t="str">
        <x:v>河狸</x:v>
      </x:c>
      <x:c r="D28" s="42" t="str">
        <x:v>史诗</x:v>
      </x:c>
      <x:c r="E28" s="42" t="str">
        <x:v>疾行拓地</x:v>
      </x:c>
      <x:c r="F28" s="42" t="str">
        <x:v>交叉</x:v>
      </x:c>
      <x:c r="G28" s="42" t="str">
        <x:v>护群反攻</x:v>
      </x:c>
      <x:c r="H28" s="42" t="str">
        <x:v>律动</x:v>
      </x:c>
      <x:c r="I28" s="42" t="str">
        <x:v>筑坝修补</x:v>
      </x:c>
      <x:c r="J28" s="36" t="str">
        <x:v>律动：定期修复最近友方建筑；没有有效建筑时本轮不触发。</x:v>
      </x:c>
      <x:c r="K28" s="36" t="str">
        <x:v>建筑后勤 / 长线防守</x:v>
      </x:c>
      <x:c r="L28" s="36" t="str">
        <x:v>沿新领土修复建筑，把地图推进转成可守的纵深。</x:v>
      </x:c>
      <x:c r="M28" s="36" t="str">
        <x:v>仓鼠、牛、蓝鲸</x:v>
      </x:c>
      <x:c r="N28" s="36" t="str">
        <x:v>把河狸拉离建筑、在下一周期前击杀或同时压两座建筑。</x:v>
      </x:c>
      <x:c r="O28" s="36" t="str">
        <x:v>on_interval / repair</x:v>
      </x:c>
      <x:c r="P28" s="42" t="str">
        <x:v>提案｜待制作人评审</x:v>
      </x:c>
      <x:c r="Q28" s="42" t="n">
        <x:f>COUNTIF($B$5:$B$64,B28)</x:f>
        <x:v>1</x:v>
      </x:c>
    </x:row>
    <x:row r="29" ht="74" customHeight="1">
      <x:c r="A29" s="42" t="n">
        <x:v>25</x:v>
      </x:c>
      <x:c r="B29" s="36" t="str">
        <x:v>otter</x:v>
      </x:c>
      <x:c r="C29" s="42" t="str">
        <x:v>水獭</x:v>
      </x:c>
      <x:c r="D29" s="42" t="str">
        <x:v>史诗</x:v>
      </x:c>
      <x:c r="E29" s="42" t="str">
        <x:v>遗响接棒</x:v>
      </x:c>
      <x:c r="F29" s="42" t="str">
        <x:v>核心</x:v>
      </x:c>
      <x:c r="G29" s="42" t="str">
        <x:v>—</x:v>
      </x:c>
      <x:c r="H29" s="42" t="str">
        <x:v>连携</x:v>
      </x:c>
      <x:c r="I29" s="42" t="str">
        <x:v>打捞</x:v>
      </x:c>
      <x:c r="J29" s="36" t="str">
        <x:v>连携：附近友军阵亡时获得少量金币；同一时间窗最多触发一次。</x:v>
      </x:c>
      <x:c r="K29" s="36" t="str">
        <x:v>阵亡经济 / 后勤转换</x:v>
      </x:c>
      <x:c r="L29" s="36" t="str">
        <x:v>把附近友军阵亡转成收益，是整套遗响的公开结算引擎。</x:v>
      </x:c>
      <x:c r="M29" s="36" t="str">
        <x:v>鸡、鸭、猪</x:v>
      </x:c>
      <x:c r="N29" s="36" t="str">
        <x:v>拉开击杀位置，或同时击杀多只单位压低单次窗口收益。</x:v>
      </x:c>
      <x:c r="O29" s="36" t="str">
        <x:v>on_ally_death / gold</x:v>
      </x:c>
      <x:c r="P29" s="42" t="str">
        <x:v>提案｜待制作人评审</x:v>
      </x:c>
      <x:c r="Q29" s="42" t="n">
        <x:f>COUNTIF($B$5:$B$64,B29)</x:f>
        <x:v>1</x:v>
      </x:c>
    </x:row>
    <x:row r="30" ht="74" customHeight="1">
      <x:c r="A30" s="42" t="n">
        <x:v>26</x:v>
      </x:c>
      <x:c r="B30" s="36" t="str">
        <x:v>penguin</x:v>
      </x:c>
      <x:c r="C30" s="42" t="str">
        <x:v>企鹅</x:v>
      </x:c>
      <x:c r="D30" s="42" t="str">
        <x:v>史诗</x:v>
      </x:c>
      <x:c r="E30" s="42" t="str">
        <x:v>群潮推进</x:v>
      </x:c>
      <x:c r="F30" s="42" t="str">
        <x:v>重要</x:v>
      </x:c>
      <x:c r="G30" s="42" t="str">
        <x:v>—</x:v>
      </x:c>
      <x:c r="H30" s="42" t="str">
        <x:v>光环</x:v>
      </x:c>
      <x:c r="I30" s="42" t="str">
        <x:v>列队保温</x:v>
      </x:c>
      <x:c r="J30" s="36" t="str">
        <x:v>光环：附近友军受到的伤害小幅降低；同名光环不叠加。</x:v>
      </x:c>
      <x:c r="K30" s="36" t="str">
        <x:v>群聚阵型 / 中线减伤</x:v>
      </x:c>
      <x:c r="L30" s="36" t="str">
        <x:v>用在场光环维持密集队形的推进效率。</x:v>
      </x:c>
      <x:c r="M30" s="36" t="str">
        <x:v>老鼠、羊、天鹅</x:v>
      </x:c>
      <x:c r="N30" s="36" t="str">
        <x:v>击退打散、从侧翼攻击或先击杀企鹅。</x:v>
      </x:c>
      <x:c r="O30" s="36" t="str">
        <x:v>aura / buff_attack</x:v>
      </x:c>
      <x:c r="P30" s="42" t="str">
        <x:v>提案｜待制作人评审</x:v>
      </x:c>
      <x:c r="Q30" s="42" t="n">
        <x:f>COUNTIF($B$5:$B$64,B30)</x:f>
        <x:v>1</x:v>
      </x:c>
    </x:row>
    <x:row r="31" ht="74" customHeight="1">
      <x:c r="A31" s="42" t="n">
        <x:v>27</x:v>
      </x:c>
      <x:c r="B31" s="36" t="str">
        <x:v>peacock</x:v>
      </x:c>
      <x:c r="C31" s="42" t="str">
        <x:v>孔雀</x:v>
      </x:c>
      <x:c r="D31" s="42" t="str">
        <x:v>史诗</x:v>
      </x:c>
      <x:c r="E31" s="42" t="str">
        <x:v>控制围歼</x:v>
      </x:c>
      <x:c r="F31" s="42" t="str">
        <x:v>交叉</x:v>
      </x:c>
      <x:c r="G31" s="42" t="str">
        <x:v>标记围猎</x:v>
      </x:c>
      <x:c r="H31" s="42" t="str">
        <x:v>战吼</x:v>
      </x:c>
      <x:c r="I31" s="42" t="str">
        <x:v>开屏震慑</x:v>
      </x:c>
      <x:c r="J31" s="36" t="str">
        <x:v>战吼：使最近远程敌人短暂无法攻击；若无远程敌人则作用于最近敌人。</x:v>
      </x:c>
      <x:c r="K31" s="36" t="str">
        <x:v>远程反制 / 单点控场</x:v>
      </x:c>
      <x:c r="L31" s="36" t="str">
        <x:v>以显眼威慑或目标暴露辅助标记和围猎。</x:v>
      </x:c>
      <x:c r="M31" s="36" t="str">
        <x:v>袋鼠、猎鹰、豹子</x:v>
      </x:c>
      <x:c r="N31" s="36" t="str">
        <x:v>用低价值远程单位吸收，或分散关键后排。</x:v>
      </x:c>
      <x:c r="O31" s="36" t="str">
        <x:v>on_spawn / buff_attack</x:v>
      </x:c>
      <x:c r="P31" s="42" t="str">
        <x:v>提案｜待制作人评审</x:v>
      </x:c>
      <x:c r="Q31" s="42" t="n">
        <x:f>COUNTIF($B$5:$B$64,B31)</x:f>
        <x:v>1</x:v>
      </x:c>
    </x:row>
    <x:row r="32" ht="74" customHeight="1">
      <x:c r="A32" s="42" t="n">
        <x:v>28</x:v>
      </x:c>
      <x:c r="B32" s="36" t="str">
        <x:v>kangaroo</x:v>
      </x:c>
      <x:c r="C32" s="42" t="str">
        <x:v>袋鼠</x:v>
      </x:c>
      <x:c r="D32" s="42" t="str">
        <x:v>史诗</x:v>
      </x:c>
      <x:c r="E32" s="42" t="str">
        <x:v>标记围猎</x:v>
      </x:c>
      <x:c r="F32" s="42" t="str">
        <x:v>交叉</x:v>
      </x:c>
      <x:c r="G32" s="42" t="str">
        <x:v>控制围歼</x:v>
      </x:c>
      <x:c r="H32" s="42" t="str">
        <x:v>伏击</x:v>
      </x:c>
      <x:c r="I32" s="42" t="str">
        <x:v>越线飞踢</x:v>
      </x:c>
      <x:c r="J32" s="36" t="str">
        <x:v>伏击：首次攻击跃向可达的后排或远程敌人并造成额外伤害，随后恢复正常推进。</x:v>
      </x:c>
      <x:c r="K32" s="36" t="str">
        <x:v>后排突入 / 首击爆发</x:v>
      </x:c>
      <x:c r="L32" s="36" t="str">
        <x:v>伏击首击先破坏后排节奏，为标记链创造短控制窗口。</x:v>
      </x:c>
      <x:c r="M32" s="36" t="str">
        <x:v>狐狸、山羊、海豚</x:v>
      </x:c>
      <x:c r="N32" s="36" t="str">
        <x:v>用前排屏障或诱饵占据首个可达目标，首击后立即反打。</x:v>
      </x:c>
      <x:c r="O32" s="36" t="str">
        <x:v>on_attack / damage</x:v>
      </x:c>
      <x:c r="P32" s="42" t="str">
        <x:v>提案｜待制作人评审</x:v>
      </x:c>
      <x:c r="Q32" s="42" t="n">
        <x:f>COUNTIF($B$5:$B$64,B32)</x:f>
        <x:v>1</x:v>
      </x:c>
    </x:row>
    <x:row r="33" ht="74" customHeight="1">
      <x:c r="A33" s="42" t="n">
        <x:v>29</x:v>
      </x:c>
      <x:c r="B33" s="36" t="str">
        <x:v>seal</x:v>
      </x:c>
      <x:c r="C33" s="42" t="str">
        <x:v>海豹</x:v>
      </x:c>
      <x:c r="D33" s="42" t="str">
        <x:v>史诗</x:v>
      </x:c>
      <x:c r="E33" s="42" t="str">
        <x:v>遗响接棒</x:v>
      </x:c>
      <x:c r="F33" s="42" t="str">
        <x:v>交叉</x:v>
      </x:c>
      <x:c r="G33" s="42" t="str">
        <x:v>护群反攻</x:v>
      </x:c>
      <x:c r="H33" s="42" t="str">
        <x:v>连携</x:v>
      </x:c>
      <x:c r="I33" s="42" t="str">
        <x:v>浪头喝彩</x:v>
      </x:c>
      <x:c r="J33" s="36" t="str">
        <x:v>连携：附近有动物阵亡时，海豹获得1层屏障；再次获得前需等待冷却。</x:v>
      </x:c>
      <x:c r="K33" s="36" t="str">
        <x:v>阵亡受益 / 中期自保</x:v>
      </x:c>
      <x:c r="L33" s="36" t="str">
        <x:v>附近阵亡时获得保护，承担接棒后的站线。</x:v>
      </x:c>
      <x:c r="M33" s="36" t="str">
        <x:v>鸭、鹿、狮子</x:v>
      </x:c>
      <x:c r="N33" s="36" t="str">
        <x:v>先用小伤破屏障，再在冷却期集火；拉开阵亡位置。</x:v>
      </x:c>
      <x:c r="O33" s="36" t="str">
        <x:v>none / none</x:v>
      </x:c>
      <x:c r="P33" s="42" t="str">
        <x:v>提案｜待制作人评审</x:v>
      </x:c>
      <x:c r="Q33" s="42" t="n">
        <x:f>COUNTIF($B$5:$B$64,B33)</x:f>
        <x:v>1</x:v>
      </x:c>
    </x:row>
    <x:row r="34" ht="74" customHeight="1">
      <x:c r="A34" s="42" t="n">
        <x:v>30</x:v>
      </x:c>
      <x:c r="B34" s="36" t="str">
        <x:v>swan</x:v>
      </x:c>
      <x:c r="C34" s="42" t="str">
        <x:v>天鹅</x:v>
      </x:c>
      <x:c r="D34" s="42" t="str">
        <x:v>史诗</x:v>
      </x:c>
      <x:c r="E34" s="42" t="str">
        <x:v>群潮推进</x:v>
      </x:c>
      <x:c r="F34" s="42" t="str">
        <x:v>交叉</x:v>
      </x:c>
      <x:c r="G34" s="42" t="str">
        <x:v>护群反攻</x:v>
      </x:c>
      <x:c r="H34" s="42" t="str">
        <x:v>光环</x:v>
      </x:c>
      <x:c r="I34" s="42" t="str">
        <x:v>成双护航</x:v>
      </x:c>
      <x:c r="J34" s="36" t="str">
        <x:v>光环：与最近一名友军结伴，双方获得减伤；更换结伴目标时旧效果立即移除。</x:v>
      </x:c>
      <x:c r="K34" s="36" t="str">
        <x:v>双核保护 / 队形支点</x:v>
      </x:c>
      <x:c r="L34" s="36" t="str">
        <x:v>为结伴单位提供减伤，直接保护群潮核心。</x:v>
      </x:c>
      <x:c r="M34" s="36" t="str">
        <x:v>鹦鹉、仓鼠、海豚</x:v>
      </x:c>
      <x:c r="N34" s="36" t="str">
        <x:v>击退拆散、击杀天鹅，或用多方向伤害绕开双核。</x:v>
      </x:c>
      <x:c r="O34" s="36" t="str">
        <x:v>on_spawn / buff_attack</x:v>
      </x:c>
      <x:c r="P34" s="42" t="str">
        <x:v>提案｜待制作人评审</x:v>
      </x:c>
      <x:c r="Q34" s="42" t="n">
        <x:f>COUNTIF($B$5:$B$64,B34)</x:f>
        <x:v>1</x:v>
      </x:c>
    </x:row>
    <x:row r="35" ht="74" customHeight="1">
      <x:c r="A35" s="42" t="n">
        <x:v>31</x:v>
      </x:c>
      <x:c r="B35" s="36" t="str">
        <x:v>wolf</x:v>
      </x:c>
      <x:c r="C35" s="42" t="str">
        <x:v>狼</x:v>
      </x:c>
      <x:c r="D35" s="42" t="str">
        <x:v>史诗</x:v>
      </x:c>
      <x:c r="E35" s="42" t="str">
        <x:v>标记围猎</x:v>
      </x:c>
      <x:c r="F35" s="42" t="str">
        <x:v>核心</x:v>
      </x:c>
      <x:c r="G35" s="42" t="str">
        <x:v>—</x:v>
      </x:c>
      <x:c r="H35" s="42" t="str">
        <x:v>连携</x:v>
      </x:c>
      <x:c r="I35" s="42" t="str">
        <x:v>围猎</x:v>
      </x:c>
      <x:c r="J35" s="36" t="str">
        <x:v>连携：当友军正在攻击同一目标时，狼提高攻击速度；同目标收益不叠层。</x:v>
      </x:c>
      <x:c r="K35" s="36" t="str">
        <x:v>群体追猎 / 单体压制</x:v>
      </x:c>
      <x:c r="L35" s="36" t="str">
        <x:v>与友军攻击同一目标时加速，把标记兑现为集中火力。</x:v>
      </x:c>
      <x:c r="M35" s="36" t="str">
        <x:v>狐狸、青蛙、虎鲸</x:v>
      </x:c>
      <x:c r="N35" s="36" t="str">
        <x:v>迫使队伍分散目标、击退狼或迅速更换前排。</x:v>
      </x:c>
      <x:c r="O35" s="36" t="str">
        <x:v>aura / buff_attack</x:v>
      </x:c>
      <x:c r="P35" s="42" t="str">
        <x:v>提案｜待制作人评审</x:v>
      </x:c>
      <x:c r="Q35" s="42" t="n">
        <x:f>COUNTIF($B$5:$B$64,B35)</x:f>
        <x:v>1</x:v>
      </x:c>
    </x:row>
    <x:row r="36" ht="74" customHeight="1">
      <x:c r="A36" s="42" t="n">
        <x:v>32</x:v>
      </x:c>
      <x:c r="B36" s="36" t="str">
        <x:v>horse</x:v>
      </x:c>
      <x:c r="C36" s="42" t="str">
        <x:v>马</x:v>
      </x:c>
      <x:c r="D36" s="42" t="str">
        <x:v>史诗</x:v>
      </x:c>
      <x:c r="E36" s="42" t="str">
        <x:v>疾行拓地</x:v>
      </x:c>
      <x:c r="F36" s="42" t="str">
        <x:v>重要</x:v>
      </x:c>
      <x:c r="G36" s="42" t="str">
        <x:v>—</x:v>
      </x:c>
      <x:c r="H36" s="42" t="str">
        <x:v>战吼</x:v>
      </x:c>
      <x:c r="I36" s="42" t="str">
        <x:v>带队疾驰</x:v>
      </x:c>
      <x:c r="J36" s="36" t="str">
        <x:v>战吼：当前在场友军获得移动速度快照增益；之后登场者不补发。</x:v>
      </x:c>
      <x:c r="K36" s="36" t="str">
        <x:v>全队转线 / 疾行发动机</x:v>
      </x:c>
      <x:c r="L36" s="36" t="str">
        <x:v>登场提供速度快照，让一波部队真正完成转线。</x:v>
      </x:c>
      <x:c r="M36" s="36" t="str">
        <x:v>麻雀、鹿、斑马</x:v>
      </x:c>
      <x:c r="N36" s="36" t="str">
        <x:v>在马登场前清理战场，或用减速和狭窄战线削弱速度收益。</x:v>
      </x:c>
      <x:c r="O36" s="36" t="str">
        <x:v>on_spawn / buff_speed</x:v>
      </x:c>
      <x:c r="P36" s="42" t="str">
        <x:v>提案｜待制作人评审</x:v>
      </x:c>
      <x:c r="Q36" s="42" t="n">
        <x:f>COUNTIF($B$5:$B$64,B36)</x:f>
        <x:v>1</x:v>
      </x:c>
    </x:row>
    <x:row r="37" ht="74" customHeight="1">
      <x:c r="A37" s="42" t="n">
        <x:v>33</x:v>
      </x:c>
      <x:c r="B37" s="36" t="str">
        <x:v>cow</x:v>
      </x:c>
      <x:c r="C37" s="42" t="str">
        <x:v>牛</x:v>
      </x:c>
      <x:c r="D37" s="42" t="str">
        <x:v>史诗</x:v>
      </x:c>
      <x:c r="E37" s="42" t="str">
        <x:v>疾行拓地</x:v>
      </x:c>
      <x:c r="F37" s="42" t="str">
        <x:v>重要</x:v>
      </x:c>
      <x:c r="G37" s="42" t="str">
        <x:v>—</x:v>
      </x:c>
      <x:c r="H37" s="42" t="str">
        <x:v>占领</x:v>
      </x:c>
      <x:c r="I37" s="42" t="str">
        <x:v>踏实开垦</x:v>
      </x:c>
      <x:c r="J37" s="36" t="str">
        <x:v>占领：参与完成地块占领后，附近受伤友军恢复生命；同一地块每头牛一次。</x:v>
      </x:c>
      <x:c r="K37" s="36" t="str">
        <x:v>夺地续航 / 中线补给</x:v>
      </x:c>
      <x:c r="L37" s="36" t="str">
        <x:v>占领后恢复，负责把抢下的地块稳住。</x:v>
      </x:c>
      <x:c r="M37" s="36" t="str">
        <x:v>松鼠、河狸、河马</x:v>
      </x:c>
      <x:c r="N37" s="36" t="str">
        <x:v>在占领前制造减员，或分散队伍让治疗覆盖变少。</x:v>
      </x:c>
      <x:c r="O37" s="36" t="str">
        <x:v>on_capture / gold</x:v>
      </x:c>
      <x:c r="P37" s="42" t="str">
        <x:v>提案｜待制作人评审</x:v>
      </x:c>
      <x:c r="Q37" s="42" t="n">
        <x:f>COUNTIF($B$5:$B$64,B37)</x:f>
        <x:v>1</x:v>
      </x:c>
    </x:row>
    <x:row r="38" ht="74" customHeight="1">
      <x:c r="A38" s="42" t="n">
        <x:v>34</x:v>
      </x:c>
      <x:c r="B38" s="36" t="str">
        <x:v>zebra</x:v>
      </x:c>
      <x:c r="C38" s="42" t="str">
        <x:v>斑马</x:v>
      </x:c>
      <x:c r="D38" s="42" t="str">
        <x:v>史诗</x:v>
      </x:c>
      <x:c r="E38" s="42" t="str">
        <x:v>疾行拓地</x:v>
      </x:c>
      <x:c r="F38" s="42" t="str">
        <x:v>重要</x:v>
      </x:c>
      <x:c r="G38" s="42" t="str">
        <x:v>—</x:v>
      </x:c>
      <x:c r="H38" s="42" t="str">
        <x:v>连携</x:v>
      </x:c>
      <x:c r="I38" s="42" t="str">
        <x:v>奔行成势</x:v>
      </x:c>
      <x:c r="J38" s="36" t="str">
        <x:v>连携：获得速度增益时，将其中一部分转化为下一次攻击的额外伤害；有上限。</x:v>
      </x:c>
      <x:c r="K38" s="36" t="str">
        <x:v>速度收益 / 爆发转换</x:v>
      </x:c>
      <x:c r="L38" s="36" t="str">
        <x:v>把移动速度转成强化首击，兑现主动权。</x:v>
      </x:c>
      <x:c r="M38" s="36" t="str">
        <x:v>麻雀、鹿、马</x:v>
      </x:c>
      <x:c r="N38" s="36" t="str">
        <x:v>移除或等待速度增益结束，用屏障接住强化首击。</x:v>
      </x:c>
      <x:c r="O38" s="36" t="str">
        <x:v>on_spawn / buff_attack</x:v>
      </x:c>
      <x:c r="P38" s="42" t="str">
        <x:v>提案｜待制作人评审</x:v>
      </x:c>
      <x:c r="Q38" s="42" t="n">
        <x:f>COUNTIF($B$5:$B$64,B38)</x:f>
        <x:v>1</x:v>
      </x:c>
    </x:row>
    <x:row r="39" ht="74" customHeight="1">
      <x:c r="A39" s="42" t="n">
        <x:v>35</x:v>
      </x:c>
      <x:c r="B39" s="36" t="str">
        <x:v>camel</x:v>
      </x:c>
      <x:c r="C39" s="42" t="str">
        <x:v>骆驼</x:v>
      </x:c>
      <x:c r="D39" s="42" t="str">
        <x:v>史诗</x:v>
      </x:c>
      <x:c r="E39" s="42" t="str">
        <x:v>控制围歼</x:v>
      </x:c>
      <x:c r="F39" s="42" t="str">
        <x:v>交叉</x:v>
      </x:c>
      <x:c r="G39" s="42" t="str">
        <x:v>护群反攻</x:v>
      </x:c>
      <x:c r="H39" s="42" t="str">
        <x:v>负伤</x:v>
      </x:c>
      <x:c r="I39" s="42" t="str">
        <x:v>耐渴储备</x:v>
      </x:c>
      <x:c r="J39" s="36" t="str">
        <x:v>负伤：首次低于一半生命时，在短时间内恢复部分生命；每次召唤一次。</x:v>
      </x:c>
      <x:c r="K39" s="36" t="str">
        <x:v>中线续航 / 阈值自保</x:v>
      </x:c>
      <x:c r="L39" s="36" t="str">
        <x:v>受伤后的耐性/反应让控制阵型能承受第一轮消耗。</x:v>
      </x:c>
      <x:c r="M39" s="36" t="str">
        <x:v>狗、鹤、大象</x:v>
      </x:c>
      <x:c r="N39" s="36" t="str">
        <x:v>用集中爆发越过恢复窗口，或先施加持续伤害。</x:v>
      </x:c>
      <x:c r="O39" s="36" t="str">
        <x:v>on_damage / heal</x:v>
      </x:c>
      <x:c r="P39" s="42" t="str">
        <x:v>提案｜待制作人评审</x:v>
      </x:c>
      <x:c r="Q39" s="42" t="n">
        <x:f>COUNTIF($B$5:$B$64,B39)</x:f>
        <x:v>1</x:v>
      </x:c>
    </x:row>
    <x:row r="40" ht="74" customHeight="1">
      <x:c r="A40" s="42" t="n">
        <x:v>36</x:v>
      </x:c>
      <x:c r="B40" s="36" t="str">
        <x:v>dolphin</x:v>
      </x:c>
      <x:c r="C40" s="42" t="str">
        <x:v>海豚</x:v>
      </x:c>
      <x:c r="D40" s="42" t="str">
        <x:v>史诗</x:v>
      </x:c>
      <x:c r="E40" s="42" t="str">
        <x:v>标记围猎</x:v>
      </x:c>
      <x:c r="F40" s="42" t="str">
        <x:v>重要</x:v>
      </x:c>
      <x:c r="G40" s="42" t="str">
        <x:v>—</x:v>
      </x:c>
      <x:c r="H40" s="42" t="str">
        <x:v>追击</x:v>
      </x:c>
      <x:c r="I40" s="42" t="str">
        <x:v>回声定位</x:v>
      </x:c>
      <x:c r="J40" s="36" t="str">
        <x:v>追击：首次命中目标时将其标记；每只海豚同时只保留1个标记。</x:v>
      </x:c>
      <x:c r="K40" s="36" t="str">
        <x:v>集火导航 / 远程辅助</x:v>
      </x:c>
      <x:c r="L40" s="36" t="str">
        <x:v>稳定刷新或维持目标信息，降低核心链断裂概率。</x:v>
      </x:c>
      <x:c r="M40" s="36" t="str">
        <x:v>狼、袋鼠、虎鲸</x:v>
      </x:c>
      <x:c r="N40" s="36" t="str">
        <x:v>更换前排、击杀海豚或用护群者承接被标目标的伤害。</x:v>
      </x:c>
      <x:c r="O40" s="36" t="str">
        <x:v>on_attack / shield</x:v>
      </x:c>
      <x:c r="P40" s="42" t="str">
        <x:v>提案｜待制作人评审</x:v>
      </x:c>
      <x:c r="Q40" s="42" t="n">
        <x:f>COUNTIF($B$5:$B$64,B40)</x:f>
        <x:v>1</x:v>
      </x:c>
    </x:row>
    <x:row r="41" ht="74" customHeight="1">
      <x:c r="A41" s="42" t="n">
        <x:v>37</x:v>
      </x:c>
      <x:c r="B41" s="36" t="str">
        <x:v>falcon</x:v>
      </x:c>
      <x:c r="C41" s="42" t="str">
        <x:v>猎鹰</x:v>
      </x:c>
      <x:c r="D41" s="42" t="str">
        <x:v>史诗</x:v>
      </x:c>
      <x:c r="E41" s="42" t="str">
        <x:v>疾行拓地</x:v>
      </x:c>
      <x:c r="F41" s="42" t="str">
        <x:v>交叉</x:v>
      </x:c>
      <x:c r="G41" s="42" t="str">
        <x:v>标记围猎</x:v>
      </x:c>
      <x:c r="H41" s="42" t="str">
        <x:v>伏击</x:v>
      </x:c>
      <x:c r="I41" s="42" t="str">
        <x:v>俯冲截击</x:v>
      </x:c>
      <x:c r="J41" s="36" t="str">
        <x:v>伏击：首次攻击优先选择远程敌人，造成额外伤害并打断其本次攻击。</x:v>
      </x:c>
      <x:c r="K41" s="36" t="str">
        <x:v>远程刺客 / 首击打断</x:v>
      </x:c>
      <x:c r="L41" s="36" t="str">
        <x:v>利用路线优势直接伏击后排，把占领主动权转成击杀。</x:v>
      </x:c>
      <x:c r="M41" s="36" t="str">
        <x:v>狐狸、孔雀、豹子</x:v>
      </x:c>
      <x:c r="N41" s="36" t="str">
        <x:v>把低价值远程放在可达位置，首击后集中处理猎鹰。</x:v>
      </x:c>
      <x:c r="O41" s="36" t="str">
        <x:v>on_attack / damage</x:v>
      </x:c>
      <x:c r="P41" s="42" t="str">
        <x:v>提案｜待制作人评审</x:v>
      </x:c>
      <x:c r="Q41" s="42" t="n">
        <x:f>COUNTIF($B$5:$B$64,B41)</x:f>
        <x:v>1</x:v>
      </x:c>
    </x:row>
    <x:row r="42" ht="74" customHeight="1">
      <x:c r="A42" s="42" t="n">
        <x:v>38</x:v>
      </x:c>
      <x:c r="B42" s="36" t="str">
        <x:v>boar</x:v>
      </x:c>
      <x:c r="C42" s="42" t="str">
        <x:v>野猪</x:v>
      </x:c>
      <x:c r="D42" s="42" t="str">
        <x:v>史诗</x:v>
      </x:c>
      <x:c r="E42" s="42" t="str">
        <x:v>控制围歼</x:v>
      </x:c>
      <x:c r="F42" s="42" t="str">
        <x:v>核心</x:v>
      </x:c>
      <x:c r="G42" s="42" t="str">
        <x:v>—</x:v>
      </x:c>
      <x:c r="H42" s="42" t="str">
        <x:v>战吼</x:v>
      </x:c>
      <x:c r="I42" s="42" t="str">
        <x:v>拱阵</x:v>
      </x:c>
      <x:c r="J42" s="36" t="str">
        <x:v>战吼：沿推进方向短距冲刺，撞到首个敌方动物后造成伤害并短暂眩晕。</x:v>
      </x:c>
      <x:c r="K42" s="36" t="str">
        <x:v>前排突入 / 开战控制</x:v>
      </x:c>
      <x:c r="L42" s="36" t="str">
        <x:v>首轮冲撞/眩晕把减速兑现为明确控制窗口。</x:v>
      </x:c>
      <x:c r="M42" s="36" t="str">
        <x:v>青蛙、老虎、巨蟒</x:v>
      </x:c>
      <x:c r="N42" s="36" t="str">
        <x:v>让高生命前排吃撞，或分散阵线避免后排跟进。</x:v>
      </x:c>
      <x:c r="O42" s="36" t="str">
        <x:v>on_spawn / stun</x:v>
      </x:c>
      <x:c r="P42" s="42" t="str">
        <x:v>提案｜待制作人评审</x:v>
      </x:c>
      <x:c r="Q42" s="42" t="n">
        <x:f>COUNTIF($B$5:$B$64,B42)</x:f>
        <x:v>1</x:v>
      </x:c>
    </x:row>
    <x:row r="43" ht="74" customHeight="1">
      <x:c r="A43" s="42" t="n">
        <x:v>39</x:v>
      </x:c>
      <x:c r="B43" s="36" t="str">
        <x:v>crane</x:v>
      </x:c>
      <x:c r="C43" s="42" t="str">
        <x:v>鹤</x:v>
      </x:c>
      <x:c r="D43" s="42" t="str">
        <x:v>史诗</x:v>
      </x:c>
      <x:c r="E43" s="42" t="str">
        <x:v>护群反攻</x:v>
      </x:c>
      <x:c r="F43" s="42" t="str">
        <x:v>重要</x:v>
      </x:c>
      <x:c r="G43" s="42" t="str">
        <x:v>—</x:v>
      </x:c>
      <x:c r="H43" s="42" t="str">
        <x:v>律动</x:v>
      </x:c>
      <x:c r="I43" s="42" t="str">
        <x:v>守望疗愈</x:v>
      </x:c>
      <x:c r="J43" s="36" t="str">
        <x:v>律动：定期治疗附近生命比例最低的友军。</x:v>
      </x:c>
      <x:c r="K43" s="36" t="str">
        <x:v>远程治疗 / 后勤核心</x:v>
      </x:c>
      <x:c r="L43" s="36" t="str">
        <x:v>周期治疗覆盖小额承伤，延长保护窗口。</x:v>
      </x:c>
      <x:c r="M43" s="36" t="str">
        <x:v>乌龟、骆驼、蓝鲸</x:v>
      </x:c>
      <x:c r="N43" s="36" t="str">
        <x:v>切入后排、拉开受伤者与鹤，或在下一周期前爆发。</x:v>
      </x:c>
      <x:c r="O43" s="36" t="str">
        <x:v>on_interval / heal</x:v>
      </x:c>
      <x:c r="P43" s="42" t="str">
        <x:v>提案｜待制作人评审</x:v>
      </x:c>
      <x:c r="Q43" s="42" t="n">
        <x:f>COUNTIF($B$5:$B$64,B43)</x:f>
        <x:v>1</x:v>
      </x:c>
    </x:row>
    <x:row r="44" ht="74" customHeight="1">
      <x:c r="A44" s="42" t="n">
        <x:v>40</x:v>
      </x:c>
      <x:c r="B44" s="36" t="str">
        <x:v>lynx</x:v>
      </x:c>
      <x:c r="C44" s="42" t="str">
        <x:v>猞猁</x:v>
      </x:c>
      <x:c r="D44" s="42" t="str">
        <x:v>史诗</x:v>
      </x:c>
      <x:c r="E44" s="42" t="str">
        <x:v>标记围猎</x:v>
      </x:c>
      <x:c r="F44" s="42" t="str">
        <x:v>交叉</x:v>
      </x:c>
      <x:c r="G44" s="42" t="str">
        <x:v>控制围歼</x:v>
      </x:c>
      <x:c r="H44" s="42" t="str">
        <x:v>伏击</x:v>
      </x:c>
      <x:c r="I44" s="42" t="str">
        <x:v>草丛潜踪</x:v>
      </x:c>
      <x:c r="J44" s="36" t="str">
        <x:v>伏击：首次攻击前不会被远程单位优先选中；首次攻击造成额外伤害后解除。</x:v>
      </x:c>
      <x:c r="K44" s="36" t="str">
        <x:v>潜伏刺客 / 远程规避</x:v>
      </x:c>
      <x:c r="L44" s="36" t="str">
        <x:v>从侧翼切入并限制目标逃离，桥接猎杀与围歼。</x:v>
      </x:c>
      <x:c r="M44" s="36" t="str">
        <x:v>狐狸、海豚、老鹰</x:v>
      </x:c>
      <x:c r="N44" s="36" t="str">
        <x:v>范围伤害可提前命中；用近战诱饵迫使其提前出手。</x:v>
      </x:c>
      <x:c r="O44" s="36" t="str">
        <x:v>none / none</x:v>
      </x:c>
      <x:c r="P44" s="42" t="str">
        <x:v>提案｜待制作人评审</x:v>
      </x:c>
      <x:c r="Q44" s="42" t="n">
        <x:f>COUNTIF($B$5:$B$64,B44)</x:f>
        <x:v>1</x:v>
      </x:c>
    </x:row>
    <x:row r="45" ht="74" customHeight="1">
      <x:c r="A45" s="42" t="n">
        <x:v>41</x:v>
      </x:c>
      <x:c r="B45" s="36" t="str">
        <x:v>bear</x:v>
      </x:c>
      <x:c r="C45" s="42" t="str">
        <x:v>熊</x:v>
      </x:c>
      <x:c r="D45" s="42" t="str">
        <x:v>传说</x:v>
      </x:c>
      <x:c r="E45" s="42" t="str">
        <x:v>控制围歼</x:v>
      </x:c>
      <x:c r="F45" s="42" t="str">
        <x:v>交叉</x:v>
      </x:c>
      <x:c r="G45" s="42" t="str">
        <x:v>护群反攻</x:v>
      </x:c>
      <x:c r="H45" s="42" t="str">
        <x:v>战吼</x:v>
      </x:c>
      <x:c r="I45" s="42" t="str">
        <x:v>震地咆哮</x:v>
      </x:c>
      <x:c r="J45" s="36" t="str">
        <x:v>战吼：震退附近敌方动物并使其短时减速。</x:v>
      </x:c>
      <x:c r="K45" s="36" t="str">
        <x:v>巨兽开团 / 阵型打散</x:v>
      </x:c>
      <x:c r="L45" s="36" t="str">
        <x:v>重型前排占住控制区，防止控制核心被直接突破。</x:v>
      </x:c>
      <x:c r="M45" s="36" t="str">
        <x:v>老虎、犀牛、猛犸象</x:v>
      </x:c>
      <x:c r="N45" s="36" t="str">
        <x:v>分散站位、远程消耗或在熊登场后从侧翼反打。</x:v>
      </x:c>
      <x:c r="O45" s="36" t="str">
        <x:v>on_spawn / stun</x:v>
      </x:c>
      <x:c r="P45" s="42" t="str">
        <x:v>提案｜待制作人评审</x:v>
      </x:c>
      <x:c r="Q45" s="42" t="n">
        <x:f>COUNTIF($B$5:$B$64,B45)</x:f>
        <x:v>1</x:v>
      </x:c>
    </x:row>
    <x:row r="46" ht="74" customHeight="1">
      <x:c r="A46" s="42" t="n">
        <x:v>42</x:v>
      </x:c>
      <x:c r="B46" s="36" t="str">
        <x:v>tiger</x:v>
      </x:c>
      <x:c r="C46" s="42" t="str">
        <x:v>老虎</x:v>
      </x:c>
      <x:c r="D46" s="42" t="str">
        <x:v>传说</x:v>
      </x:c>
      <x:c r="E46" s="42" t="str">
        <x:v>控制围歼</x:v>
      </x:c>
      <x:c r="F46" s="42" t="str">
        <x:v>重要</x:v>
      </x:c>
      <x:c r="G46" s="42" t="str">
        <x:v>—</x:v>
      </x:c>
      <x:c r="H46" s="42" t="str">
        <x:v>追击</x:v>
      </x:c>
      <x:c r="I46" s="42" t="str">
        <x:v>横扫</x:v>
      </x:c>
      <x:c r="J46" s="36" t="str">
        <x:v>追击：每第3次普攻对目标周围造成一次扇形伤害。</x:v>
      </x:c>
      <x:c r="K46" s="36" t="str">
        <x:v>持续AOE / 群聚克制</x:v>
      </x:c>
      <x:c r="L46" s="36" t="str">
        <x:v>第三击或范围横扫惩罚被控制后聚集的目标。</x:v>
      </x:c>
      <x:c r="M46" s="36" t="str">
        <x:v>野猪、巨蟒、大象</x:v>
      </x:c>
      <x:c r="N46" s="36" t="str">
        <x:v>打断攻击计数、迫使换目标、分散小型单位。</x:v>
      </x:c>
      <x:c r="O46" s="36" t="str">
        <x:v>on_attack / damage</x:v>
      </x:c>
      <x:c r="P46" s="42" t="str">
        <x:v>提案｜待制作人评审</x:v>
      </x:c>
      <x:c r="Q46" s="42" t="n">
        <x:f>COUNTIF($B$5:$B$64,B46)</x:f>
        <x:v>1</x:v>
      </x:c>
    </x:row>
    <x:row r="47" ht="74" customHeight="1">
      <x:c r="A47" s="42" t="n">
        <x:v>43</x:v>
      </x:c>
      <x:c r="B47" s="36" t="str">
        <x:v>lion</x:v>
      </x:c>
      <x:c r="C47" s="42" t="str">
        <x:v>狮子</x:v>
      </x:c>
      <x:c r="D47" s="42" t="str">
        <x:v>传说</x:v>
      </x:c>
      <x:c r="E47" s="42" t="str">
        <x:v>遗响接棒</x:v>
      </x:c>
      <x:c r="F47" s="42" t="str">
        <x:v>重要</x:v>
      </x:c>
      <x:c r="G47" s="42" t="str">
        <x:v>—</x:v>
      </x:c>
      <x:c r="H47" s="42" t="str">
        <x:v>亡语</x:v>
      </x:c>
      <x:c r="I47" s="42" t="str">
        <x:v>幼狮接棒</x:v>
      </x:c>
      <x:c r="J47" s="36" t="str">
        <x:v>亡语：召唤2只幼狮；幼狮属性较低且无技能。</x:v>
      </x:c>
      <x:c r="K47" s="36" t="str">
        <x:v>传奇接棒 / 亡语核心</x:v>
      </x:c>
      <x:c r="L47" s="36" t="str">
        <x:v>用更重的阵亡后续稳定主战线。</x:v>
      </x:c>
      <x:c r="M47" s="36" t="str">
        <x:v>水獭、海豹、银背猩猩</x:v>
      </x:c>
      <x:c r="N47" s="36" t="str">
        <x:v>范围伤害覆盖遗响落点，或把狮子击杀在不利位置。</x:v>
      </x:c>
      <x:c r="O47" s="36" t="str">
        <x:v>on_death / summon</x:v>
      </x:c>
      <x:c r="P47" s="42" t="str">
        <x:v>提案｜待制作人评审</x:v>
      </x:c>
      <x:c r="Q47" s="42" t="n">
        <x:f>COUNTIF($B$5:$B$64,B47)</x:f>
        <x:v>1</x:v>
      </x:c>
    </x:row>
    <x:row r="48" ht="74" customHeight="1">
      <x:c r="A48" s="42" t="n">
        <x:v>44</x:v>
      </x:c>
      <x:c r="B48" s="36" t="str">
        <x:v>rhino</x:v>
      </x:c>
      <x:c r="C48" s="42" t="str">
        <x:v>犀牛</x:v>
      </x:c>
      <x:c r="D48" s="42" t="str">
        <x:v>传说</x:v>
      </x:c>
      <x:c r="E48" s="42" t="str">
        <x:v>疾行拓地</x:v>
      </x:c>
      <x:c r="F48" s="42" t="str">
        <x:v>交叉</x:v>
      </x:c>
      <x:c r="G48" s="42" t="str">
        <x:v>控制围歼</x:v>
      </x:c>
      <x:c r="H48" s="42" t="str">
        <x:v>战吼</x:v>
      </x:c>
      <x:c r="I48" s="42" t="str">
        <x:v>破阵长角</x:v>
      </x:c>
      <x:c r="J48" s="36" t="str">
        <x:v>战吼：沿推进方向冲锋；撞到首个动物将其击退，直接撞到建筑则造成额外伤害。</x:v>
      </x:c>
      <x:c r="K48" s="36" t="str">
        <x:v>直线破阵 / 建筑压力</x:v>
      </x:c>
      <x:c r="L48" s="36" t="str">
        <x:v>冲撞破开必经口，为后续占领制造可走路线。</x:v>
      </x:c>
      <x:c r="M48" s="36" t="str">
        <x:v>山羊、熊、蚂蚁</x:v>
      </x:c>
      <x:c r="N48" s="36" t="str">
        <x:v>用前排吸收并改变撞击落点，避免让其直达建筑。</x:v>
      </x:c>
      <x:c r="O48" s="36" t="str">
        <x:v>on_spawn / stun</x:v>
      </x:c>
      <x:c r="P48" s="42" t="str">
        <x:v>提案｜待制作人评审</x:v>
      </x:c>
      <x:c r="Q48" s="42" t="n">
        <x:f>COUNTIF($B$5:$B$64,B48)</x:f>
        <x:v>1</x:v>
      </x:c>
    </x:row>
    <x:row r="49" ht="74" customHeight="1">
      <x:c r="A49" s="42" t="n">
        <x:v>45</x:v>
      </x:c>
      <x:c r="B49" s="36" t="str">
        <x:v>hippo</x:v>
      </x:c>
      <x:c r="C49" s="42" t="str">
        <x:v>河马</x:v>
      </x:c>
      <x:c r="D49" s="42" t="str">
        <x:v>传说</x:v>
      </x:c>
      <x:c r="E49" s="42" t="str">
        <x:v>疾行拓地</x:v>
      </x:c>
      <x:c r="F49" s="42" t="str">
        <x:v>重要</x:v>
      </x:c>
      <x:c r="G49" s="42" t="str">
        <x:v>—</x:v>
      </x:c>
      <x:c r="H49" s="42" t="str">
        <x:v>占领</x:v>
      </x:c>
      <x:c r="I49" s="42" t="str">
        <x:v>河口霸主</x:v>
      </x:c>
      <x:c r="J49" s="36" t="str">
        <x:v>占领：进入争夺地块后获得减伤，直到离开该地块或争夺结束。</x:v>
      </x:c>
      <x:c r="K49" s="36" t="str">
        <x:v>据点坦克 / 争夺锚点</x:v>
      </x:c>
      <x:c r="L49" s="36" t="str">
        <x:v>在争夺地块上获得防守优势，防止流派只会跑不会守。</x:v>
      </x:c>
      <x:c r="M49" s="36" t="str">
        <x:v>牛、河狸、长颈鹿</x:v>
      </x:c>
      <x:c r="N49" s="36" t="str">
        <x:v>绕开该地块、击退河马或从其他战线逼其离开。</x:v>
      </x:c>
      <x:c r="O49" s="36" t="str">
        <x:v>none / none</x:v>
      </x:c>
      <x:c r="P49" s="42" t="str">
        <x:v>提案｜待制作人评审</x:v>
      </x:c>
      <x:c r="Q49" s="42" t="n">
        <x:f>COUNTIF($B$5:$B$64,B49)</x:f>
        <x:v>1</x:v>
      </x:c>
    </x:row>
    <x:row r="50" ht="74" customHeight="1">
      <x:c r="A50" s="42" t="n">
        <x:v>46</x:v>
      </x:c>
      <x:c r="B50" s="36" t="str">
        <x:v>giraffe</x:v>
      </x:c>
      <x:c r="C50" s="42" t="str">
        <x:v>长颈鹿</x:v>
      </x:c>
      <x:c r="D50" s="42" t="str">
        <x:v>传说</x:v>
      </x:c>
      <x:c r="E50" s="42" t="str">
        <x:v>疾行拓地</x:v>
      </x:c>
      <x:c r="F50" s="42" t="str">
        <x:v>交叉</x:v>
      </x:c>
      <x:c r="G50" s="42" t="str">
        <x:v>护群反攻</x:v>
      </x:c>
      <x:c r="H50" s="42" t="str">
        <x:v>战吼</x:v>
      </x:c>
      <x:c r="I50" s="42" t="str">
        <x:v>高位预警</x:v>
      </x:c>
      <x:c r="J50" s="36" t="str">
        <x:v>战吼：当前在场友军获得预警，使各自下一次受到的远程伤害降低。</x:v>
      </x:c>
      <x:c r="K50" s="36" t="str">
        <x:v>全队预警 / 反远程辅助</x:v>
      </x:c>
      <x:c r="L50" s="36" t="str">
        <x:v>远程预警降低转线队伍第一轮伤害。</x:v>
      </x:c>
      <x:c r="M50" s="36" t="str">
        <x:v>大象、猛犸象、鹤</x:v>
      </x:c>
      <x:c r="N50" s="36" t="str">
        <x:v>用近战先消耗战线，或用低伤远程先触发预警。</x:v>
      </x:c>
      <x:c r="O50" s="36" t="str">
        <x:v>on_spawn / buff_hp</x:v>
      </x:c>
      <x:c r="P50" s="42" t="str">
        <x:v>提案｜待制作人评审</x:v>
      </x:c>
      <x:c r="Q50" s="42" t="n">
        <x:f>COUNTIF($B$5:$B$64,B50)</x:f>
        <x:v>1</x:v>
      </x:c>
    </x:row>
    <x:row r="51" ht="74" customHeight="1">
      <x:c r="A51" s="42" t="n">
        <x:v>47</x:v>
      </x:c>
      <x:c r="B51" s="36" t="str">
        <x:v>gorilla</x:v>
      </x:c>
      <x:c r="C51" s="42" t="str">
        <x:v>大猩猩</x:v>
      </x:c>
      <x:c r="D51" s="42" t="str">
        <x:v>传说</x:v>
      </x:c>
      <x:c r="E51" s="42" t="str">
        <x:v>护群反攻</x:v>
      </x:c>
      <x:c r="F51" s="42" t="str">
        <x:v>重要</x:v>
      </x:c>
      <x:c r="G51" s="42" t="str">
        <x:v>—</x:v>
      </x:c>
      <x:c r="H51" s="42" t="str">
        <x:v>负伤</x:v>
      </x:c>
      <x:c r="I51" s="42" t="str">
        <x:v>捶胸</x:v>
      </x:c>
      <x:c r="J51" s="36" t="str">
        <x:v>负伤：首次受到伤害后永久提高攻击；每次召唤只触发一次。</x:v>
      </x:c>
      <x:c r="K51" s="36" t="str">
        <x:v>受伤反扑 / 近战斗士</x:v>
      </x:c>
      <x:c r="L51" s="36" t="str">
        <x:v>首次受伤后强化，把防守时间转成反扑威胁。</x:v>
      </x:c>
      <x:c r="M51" s="36" t="str">
        <x:v>狗、刺猬、大象</x:v>
      </x:c>
      <x:c r="N51" s="36" t="str">
        <x:v>用控制限制强化后的输出，或以高额伤害减少其反扑时间。</x:v>
      </x:c>
      <x:c r="O51" s="36" t="str">
        <x:v>on_attack / damage</x:v>
      </x:c>
      <x:c r="P51" s="42" t="str">
        <x:v>提案｜待制作人评审</x:v>
      </x:c>
      <x:c r="Q51" s="42" t="n">
        <x:f>COUNTIF($B$5:$B$64,B51)</x:f>
        <x:v>1</x:v>
      </x:c>
    </x:row>
    <x:row r="52" ht="74" customHeight="1">
      <x:c r="A52" s="42" t="n">
        <x:v>48</x:v>
      </x:c>
      <x:c r="B52" s="36" t="str">
        <x:v>leopard</x:v>
      </x:c>
      <x:c r="C52" s="42" t="str">
        <x:v>豹子</x:v>
      </x:c>
      <x:c r="D52" s="42" t="str">
        <x:v>传说</x:v>
      </x:c>
      <x:c r="E52" s="42" t="str">
        <x:v>标记围猎</x:v>
      </x:c>
      <x:c r="F52" s="42" t="str">
        <x:v>重要</x:v>
      </x:c>
      <x:c r="G52" s="42" t="str">
        <x:v>—</x:v>
      </x:c>
      <x:c r="H52" s="42" t="str">
        <x:v>猎杀</x:v>
      </x:c>
      <x:c r="I52" s="42" t="str">
        <x:v>断后猎手</x:v>
      </x:c>
      <x:c r="J52" s="36" t="str">
        <x:v>猎杀：优先攻击远程目标；击杀远程目标后短时加速并立即寻找下一个远程目标。</x:v>
      </x:c>
      <x:c r="K52" s="36" t="str">
        <x:v>后排收割 / 连续转火</x:v>
      </x:c>
      <x:c r="L52" s="36" t="str">
        <x:v>优先处理后排并连续转火，是反远程收割者。</x:v>
      </x:c>
      <x:c r="M52" s="36" t="str">
        <x:v>狐狸、孔雀、猎鹰</x:v>
      </x:c>
      <x:c r="N52" s="36" t="str">
        <x:v>用护群覆盖远程核心，或让前排阻断其可达路径。</x:v>
      </x:c>
      <x:c r="O52" s="36" t="str">
        <x:v>none / none</x:v>
      </x:c>
      <x:c r="P52" s="42" t="str">
        <x:v>提案｜待制作人评审</x:v>
      </x:c>
      <x:c r="Q52" s="42" t="n">
        <x:f>COUNTIF($B$5:$B$64,B52)</x:f>
        <x:v>1</x:v>
      </x:c>
    </x:row>
    <x:row r="53" ht="74" customHeight="1">
      <x:c r="A53" s="42" t="n">
        <x:v>49</x:v>
      </x:c>
      <x:c r="B53" s="36" t="str">
        <x:v>eagle</x:v>
      </x:c>
      <x:c r="C53" s="42" t="str">
        <x:v>老鹰</x:v>
      </x:c>
      <x:c r="D53" s="42" t="str">
        <x:v>传说</x:v>
      </x:c>
      <x:c r="E53" s="42" t="str">
        <x:v>标记围猎</x:v>
      </x:c>
      <x:c r="F53" s="42" t="str">
        <x:v>重要</x:v>
      </x:c>
      <x:c r="G53" s="42" t="str">
        <x:v>—</x:v>
      </x:c>
      <x:c r="H53" s="42" t="str">
        <x:v>猎杀</x:v>
      </x:c>
      <x:c r="I53" s="42" t="str">
        <x:v>抓弱点</x:v>
      </x:c>
      <x:c r="J53" s="36" t="str">
        <x:v>猎杀：攻击低生命目标时造成额外伤害，但不直接秒杀。</x:v>
      </x:c>
      <x:c r="K53" s="36" t="str">
        <x:v>高空收割 / 终结者</x:v>
      </x:c>
      <x:c r="L53" s="36" t="str">
        <x:v>对低生命目标增伤，负责公开终结窗口。</x:v>
      </x:c>
      <x:c r="M53" s="36" t="str">
        <x:v>青蛙、海豚、猞猁</x:v>
      </x:c>
      <x:c r="N53" s="36" t="str">
        <x:v>及时治疗或给低生命目标屏障，避免进入阈值。</x:v>
      </x:c>
      <x:c r="O53" s="36" t="str">
        <x:v>on_attack / execute</x:v>
      </x:c>
      <x:c r="P53" s="42" t="str">
        <x:v>提案｜待制作人评审</x:v>
      </x:c>
      <x:c r="Q53" s="42" t="n">
        <x:f>COUNTIF($B$5:$B$64,B53)</x:f>
        <x:v>1</x:v>
      </x:c>
    </x:row>
    <x:row r="54" ht="74" customHeight="1">
      <x:c r="A54" s="42" t="n">
        <x:v>50</x:v>
      </x:c>
      <x:c r="B54" s="36" t="str">
        <x:v>crocodile</x:v>
      </x:c>
      <x:c r="C54" s="42" t="str">
        <x:v>鳄鱼</x:v>
      </x:c>
      <x:c r="D54" s="42" t="str">
        <x:v>传说</x:v>
      </x:c>
      <x:c r="E54" s="42" t="str">
        <x:v>控制围歼</x:v>
      </x:c>
      <x:c r="F54" s="42" t="str">
        <x:v>重要</x:v>
      </x:c>
      <x:c r="G54" s="42" t="str">
        <x:v>—</x:v>
      </x:c>
      <x:c r="H54" s="42" t="str">
        <x:v>追击</x:v>
      </x:c>
      <x:c r="I54" s="42" t="str">
        <x:v>死亡翻滚</x:v>
      </x:c>
      <x:c r="J54" s="36" t="str">
        <x:v>追击：连续攻击同一目标逐步减速；达到层数后短暂束缚并清空层数。</x:v>
      </x:c>
      <x:c r="K54" s="36" t="str">
        <x:v>单体钳制 / 反巨兽</x:v>
      </x:c>
      <x:c r="L54" s="36" t="str">
        <x:v>连续咬住同一目标后束缚，负责单体钳制。</x:v>
      </x:c>
      <x:c r="M54" s="36" t="str">
        <x:v>狼、老虎、鲨鱼</x:v>
      </x:c>
      <x:c r="N54" s="36" t="str">
        <x:v>迫使鳄鱼换目标、击退打断连续攻击或提前加速撤离。</x:v>
      </x:c>
      <x:c r="O54" s="36" t="str">
        <x:v>on_attack / slow</x:v>
      </x:c>
      <x:c r="P54" s="42" t="str">
        <x:v>提案｜待制作人评审</x:v>
      </x:c>
      <x:c r="Q54" s="42" t="n">
        <x:f>COUNTIF($B$5:$B$64,B54)</x:f>
        <x:v>1</x:v>
      </x:c>
    </x:row>
    <x:row r="55" ht="74" customHeight="1">
      <x:c r="A55" s="42" t="n">
        <x:v>51</x:v>
      </x:c>
      <x:c r="B55" s="36" t="str">
        <x:v>elephant</x:v>
      </x:c>
      <x:c r="C55" s="42" t="str">
        <x:v>大象</x:v>
      </x:c>
      <x:c r="D55" s="42" t="str">
        <x:v>传说</x:v>
      </x:c>
      <x:c r="E55" s="42" t="str">
        <x:v>护群反攻</x:v>
      </x:c>
      <x:c r="F55" s="42" t="str">
        <x:v>重要</x:v>
      </x:c>
      <x:c r="G55" s="42" t="str">
        <x:v>—</x:v>
      </x:c>
      <x:c r="H55" s="42" t="str">
        <x:v>护群</x:v>
      </x:c>
      <x:c r="I55" s="42" t="str">
        <x:v>护群长鼻</x:v>
      </x:c>
      <x:c r="J55" s="36" t="str">
        <x:v>护群：附近友军受到的部分伤害转移给大象；单次转移和每秒总量均有上限。</x:v>
      </x:c>
      <x:c r="K55" s="36" t="str">
        <x:v>团队主坦 / 后排保护</x:v>
      </x:c>
      <x:c r="L55" s="36" t="str">
        <x:v>大范围团队转伤，是后期主坦与队形锚点。</x:v>
      </x:c>
      <x:c r="M55" s="36" t="str">
        <x:v>长颈鹿、鹤、大猩猩</x:v>
      </x:c>
      <x:c r="N55" s="36" t="str">
        <x:v>击退大象、从多方向施压、用重击突破每秒转伤上限。</x:v>
      </x:c>
      <x:c r="O55" s="36" t="str">
        <x:v>aura / buff_hp</x:v>
      </x:c>
      <x:c r="P55" s="42" t="str">
        <x:v>提案｜待制作人评审</x:v>
      </x:c>
      <x:c r="Q55" s="42" t="n">
        <x:f>COUNTIF($B$5:$B$64,B55)</x:f>
        <x:v>1</x:v>
      </x:c>
    </x:row>
    <x:row r="56" ht="74" customHeight="1">
      <x:c r="A56" s="42" t="n">
        <x:v>52</x:v>
      </x:c>
      <x:c r="B56" s="36" t="str">
        <x:v>blue_whale</x:v>
      </x:c>
      <x:c r="C56" s="42" t="str">
        <x:v>蓝鲸</x:v>
      </x:c>
      <x:c r="D56" s="42" t="str">
        <x:v>传说</x:v>
      </x:c>
      <x:c r="E56" s="42" t="str">
        <x:v>护群反攻</x:v>
      </x:c>
      <x:c r="F56" s="42" t="str">
        <x:v>交叉</x:v>
      </x:c>
      <x:c r="G56" s="42" t="str">
        <x:v>群潮推进</x:v>
      </x:c>
      <x:c r="H56" s="42" t="str">
        <x:v>律动</x:v>
      </x:c>
      <x:c r="I56" s="42" t="str">
        <x:v>鲸歌护航</x:v>
      </x:c>
      <x:c r="J56" s="36" t="str">
        <x:v>律动：定期为附近友军提供1层屏障；已有同名屏障只刷新持续时间。</x:v>
      </x:c>
      <x:c r="K56" s="36" t="str">
        <x:v>大范围后勤 / 周期防护</x:v>
      </x:c>
      <x:c r="L56" s="36" t="str">
        <x:v>周期群体屏障覆盖密集队形，修补群潮怕范围清场的弱点。</x:v>
      </x:c>
      <x:c r="M56" s="36" t="str">
        <x:v>河狸、鹤、猛犸象</x:v>
      </x:c>
      <x:c r="N56" s="36" t="str">
        <x:v>在脉冲前集火，或用小额范围伤害统一破盾。</x:v>
      </x:c>
      <x:c r="O56" s="36" t="str">
        <x:v>on_interval / shield</x:v>
      </x:c>
      <x:c r="P56" s="42" t="str">
        <x:v>提案｜待制作人评审</x:v>
      </x:c>
      <x:c r="Q56" s="42" t="n">
        <x:f>COUNTIF($B$5:$B$64,B56)</x:f>
        <x:v>1</x:v>
      </x:c>
    </x:row>
    <x:row r="57" ht="74" customHeight="1">
      <x:c r="A57" s="42" t="n">
        <x:v>53</x:v>
      </x:c>
      <x:c r="B57" s="36" t="str">
        <x:v>orca</x:v>
      </x:c>
      <x:c r="C57" s="42" t="str">
        <x:v>虎鲸</x:v>
      </x:c>
      <x:c r="D57" s="42" t="str">
        <x:v>传说</x:v>
      </x:c>
      <x:c r="E57" s="42" t="str">
        <x:v>标记围猎</x:v>
      </x:c>
      <x:c r="F57" s="42" t="str">
        <x:v>重要</x:v>
      </x:c>
      <x:c r="G57" s="42" t="str">
        <x:v>—</x:v>
      </x:c>
      <x:c r="H57" s="42" t="str">
        <x:v>连携</x:v>
      </x:c>
      <x:c r="I57" s="42" t="str">
        <x:v>围猎拍击</x:v>
      </x:c>
      <x:c r="J57" s="36" t="str">
        <x:v>连携：攻击已被友军标记或正在被友军攻击的目标时造成额外伤害。</x:v>
      </x:c>
      <x:c r="K57" s="36" t="str">
        <x:v>协同爆发 / 大型猎手</x:v>
      </x:c>
      <x:c r="L57" s="36" t="str">
        <x:v>奖励同目标攻击，提供后期大型协同爆发。</x:v>
      </x:c>
      <x:c r="M57" s="36" t="str">
        <x:v>海豚、狼、鲨鱼</x:v>
      </x:c>
      <x:c r="N57" s="36" t="str">
        <x:v>拆散目标、用护群转伤、优先击杀标记者。</x:v>
      </x:c>
      <x:c r="O57" s="36" t="str">
        <x:v>on_attack / execute</x:v>
      </x:c>
      <x:c r="P57" s="42" t="str">
        <x:v>提案｜待制作人评审</x:v>
      </x:c>
      <x:c r="Q57" s="42" t="n">
        <x:f>COUNTIF($B$5:$B$64,B57)</x:f>
        <x:v>1</x:v>
      </x:c>
    </x:row>
    <x:row r="58" ht="74" customHeight="1">
      <x:c r="A58" s="42" t="n">
        <x:v>54</x:v>
      </x:c>
      <x:c r="B58" s="36" t="str">
        <x:v>shark</x:v>
      </x:c>
      <x:c r="C58" s="42" t="str">
        <x:v>鲨鱼</x:v>
      </x:c>
      <x:c r="D58" s="42" t="str">
        <x:v>传说</x:v>
      </x:c>
      <x:c r="E58" s="42" t="str">
        <x:v>标记围猎</x:v>
      </x:c>
      <x:c r="F58" s="42" t="str">
        <x:v>交叉</x:v>
      </x:c>
      <x:c r="G58" s="42" t="str">
        <x:v>控制围歼</x:v>
      </x:c>
      <x:c r="H58" s="42" t="str">
        <x:v>猎杀</x:v>
      </x:c>
      <x:c r="I58" s="42" t="str">
        <x:v>嗅血</x:v>
      </x:c>
      <x:c r="J58" s="36" t="str">
        <x:v>猎杀：发现附近低生命敌人时提高朝其移动和攻击的速度；目标恢复后效果消失。</x:v>
      </x:c>
      <x:c r="K58" s="36" t="str">
        <x:v>残血追击 / 前线收割</x:v>
      </x:c>
      <x:c r="L58" s="36" t="str">
        <x:v>追逐残血与减速目标，负责控制链后的收尾。</x:v>
      </x:c>
      <x:c r="M58" s="36" t="str">
        <x:v>青蛙、鳄鱼、虎鲸</x:v>
      </x:c>
      <x:c r="N58" s="36" t="str">
        <x:v>治疗抬线、用诱饵改变目标、控制鲨鱼的追击窗口。</x:v>
      </x:c>
      <x:c r="O58" s="36" t="str">
        <x:v>none / none</x:v>
      </x:c>
      <x:c r="P58" s="42" t="str">
        <x:v>提案｜待制作人评审</x:v>
      </x:c>
      <x:c r="Q58" s="42" t="n">
        <x:f>COUNTIF($B$5:$B$64,B58)</x:f>
        <x:v>1</x:v>
      </x:c>
    </x:row>
    <x:row r="59" ht="74" customHeight="1">
      <x:c r="A59" s="42" t="n">
        <x:v>55</x:v>
      </x:c>
      <x:c r="B59" s="36" t="str">
        <x:v>python</x:v>
      </x:c>
      <x:c r="C59" s="42" t="str">
        <x:v>巨蟒</x:v>
      </x:c>
      <x:c r="D59" s="42" t="str">
        <x:v>传说</x:v>
      </x:c>
      <x:c r="E59" s="42" t="str">
        <x:v>控制围歼</x:v>
      </x:c>
      <x:c r="F59" s="42" t="str">
        <x:v>重要</x:v>
      </x:c>
      <x:c r="G59" s="42" t="str">
        <x:v>—</x:v>
      </x:c>
      <x:c r="H59" s="42" t="str">
        <x:v>追击</x:v>
      </x:c>
      <x:c r="I59" s="42" t="str">
        <x:v>绞紧</x:v>
      </x:c>
      <x:c r="J59" s="36" t="str">
        <x:v>追击：连续攻击同一目标达到次数后将其束缚；换目标或攻击中断会重置。</x:v>
      </x:c>
      <x:c r="K59" s="36" t="str">
        <x:v>连续控制 / 单体封锁</x:v>
      </x:c>
      <x:c r="L59" s="36" t="str">
        <x:v>更长的连续攻击计数形成可预判封锁。</x:v>
      </x:c>
      <x:c r="M59" s="36" t="str">
        <x:v>青蛙、野猪、老虎</x:v>
      </x:c>
      <x:c r="N59" s="36" t="str">
        <x:v>迫使换目标、击退巨蟒、在计数完成前用控制打断。</x:v>
      </x:c>
      <x:c r="O59" s="36" t="str">
        <x:v>on_attack / stun</x:v>
      </x:c>
      <x:c r="P59" s="42" t="str">
        <x:v>提案｜待制作人评审</x:v>
      </x:c>
      <x:c r="Q59" s="42" t="n">
        <x:f>COUNTIF($B$5:$B$64,B59)</x:f>
        <x:v>1</x:v>
      </x:c>
    </x:row>
    <x:row r="60" ht="74" customHeight="1">
      <x:c r="A60" s="42" t="n">
        <x:v>56</x:v>
      </x:c>
      <x:c r="B60" s="36" t="str">
        <x:v>komodo_dragon</x:v>
      </x:c>
      <x:c r="C60" s="42" t="str">
        <x:v>科莫多龙</x:v>
      </x:c>
      <x:c r="D60" s="42" t="str">
        <x:v>传说</x:v>
      </x:c>
      <x:c r="E60" s="42" t="str">
        <x:v>控制围歼</x:v>
      </x:c>
      <x:c r="F60" s="42" t="str">
        <x:v>重要</x:v>
      </x:c>
      <x:c r="G60" s="42" t="str">
        <x:v>—</x:v>
      </x:c>
      <x:c r="H60" s="42" t="str">
        <x:v>追击</x:v>
      </x:c>
      <x:c r="I60" s="42" t="str">
        <x:v>腐毒咬痕</x:v>
      </x:c>
      <x:c r="J60" s="36" t="str">
        <x:v>追击：普攻施加可叠加的腐毒，造成持续伤害并降低移动速度；层数与最大生命伤害封顶。</x:v>
      </x:c>
      <x:c r="K60" s="36" t="str">
        <x:v>反巨兽持续压制</x:v>
      </x:c>
      <x:c r="L60" s="36" t="str">
        <x:v>腐毒与减速压制巨兽，给控制流提供持续伤害轴。</x:v>
      </x:c>
      <x:c r="M60" s="36" t="str">
        <x:v>鳄鱼、鲨鱼、老鹰</x:v>
      </x:c>
      <x:c r="N60" s="36" t="str">
        <x:v>缩短交战时间、优先击杀施毒者、用治疗覆盖持续伤害。</x:v>
      </x:c>
      <x:c r="O60" s="36" t="str">
        <x:v>on_attack / slow</x:v>
      </x:c>
      <x:c r="P60" s="42" t="str">
        <x:v>提案｜待制作人评审</x:v>
      </x:c>
      <x:c r="Q60" s="42" t="n">
        <x:f>COUNTIF($B$5:$B$64,B60)</x:f>
        <x:v>1</x:v>
      </x:c>
    </x:row>
    <x:row r="61" ht="74" customHeight="1">
      <x:c r="A61" s="42" t="n">
        <x:v>57</x:v>
      </x:c>
      <x:c r="B61" s="36" t="str">
        <x:v>polar_bear</x:v>
      </x:c>
      <x:c r="C61" s="42" t="str">
        <x:v>北极熊</x:v>
      </x:c>
      <x:c r="D61" s="42" t="str">
        <x:v>传说</x:v>
      </x:c>
      <x:c r="E61" s="42" t="str">
        <x:v>护群反攻</x:v>
      </x:c>
      <x:c r="F61" s="42" t="str">
        <x:v>交叉</x:v>
      </x:c>
      <x:c r="G61" s="42" t="str">
        <x:v>控制围歼</x:v>
      </x:c>
      <x:c r="H61" s="42" t="str">
        <x:v>负伤</x:v>
      </x:c>
      <x:c r="I61" s="42" t="str">
        <x:v>厚脂抗寒</x:v>
      </x:c>
      <x:c r="J61" s="36" t="str">
        <x:v>负伤：短时间内连续受击时，后续伤害逐次降低；脱离受击窗口后重置。</x:v>
      </x:c>
      <x:c r="K61" s="36" t="str">
        <x:v>持续承伤 / 反高频输出</x:v>
      </x:c>
      <x:c r="L61" s="36" t="str">
        <x:v>对连续受击逐步适应，为控制核心争取完成连击的时间。</x:v>
      </x:c>
      <x:c r="M61" s="36" t="str">
        <x:v>大象、鹤、蓝鲸</x:v>
      </x:c>
      <x:c r="N61" s="36" t="str">
        <x:v>降低攻击频率、改用单次重击或持续毒伤。</x:v>
      </x:c>
      <x:c r="O61" s="36" t="str">
        <x:v>on_damage / shield</x:v>
      </x:c>
      <x:c r="P61" s="42" t="str">
        <x:v>提案｜待制作人评审</x:v>
      </x:c>
      <x:c r="Q61" s="42" t="n">
        <x:f>COUNTIF($B$5:$B$64,B61)</x:f>
        <x:v>1</x:v>
      </x:c>
    </x:row>
    <x:row r="62" ht="74" customHeight="1">
      <x:c r="A62" s="42" t="n">
        <x:v>58</x:v>
      </x:c>
      <x:c r="B62" s="36" t="str">
        <x:v>silverback</x:v>
      </x:c>
      <x:c r="C62" s="42" t="str">
        <x:v>银背猩猩</x:v>
      </x:c>
      <x:c r="D62" s="42" t="str">
        <x:v>传说</x:v>
      </x:c>
      <x:c r="E62" s="42" t="str">
        <x:v>遗响接棒</x:v>
      </x:c>
      <x:c r="F62" s="42" t="str">
        <x:v>重要</x:v>
      </x:c>
      <x:c r="G62" s="42" t="str">
        <x:v>—</x:v>
      </x:c>
      <x:c r="H62" s="42" t="str">
        <x:v>亡语</x:v>
      </x:c>
      <x:c r="I62" s="42" t="str">
        <x:v>族群接替</x:v>
      </x:c>
      <x:c r="J62" s="36" t="str">
        <x:v>亡语：召唤1只青年猩猩；属性中等且无技能。</x:v>
      </x:c>
      <x:c r="K62" s="36" t="str">
        <x:v>重型接棒 / 亡语前排</x:v>
      </x:c>
      <x:c r="L62" s="36" t="str">
        <x:v>重型接替者，保证后期遗响不只依赖小型衍生物。</x:v>
      </x:c>
      <x:c r="M62" s="36" t="str">
        <x:v>水獭、海豹、狮子</x:v>
      </x:c>
      <x:c r="N62" s="36" t="str">
        <x:v>把银背引离主战线再击杀，并预留范围伤害处理接替者。</x:v>
      </x:c>
      <x:c r="O62" s="36" t="str">
        <x:v>on_death / summon</x:v>
      </x:c>
      <x:c r="P62" s="42" t="str">
        <x:v>提案｜待制作人评审</x:v>
      </x:c>
      <x:c r="Q62" s="42" t="n">
        <x:f>COUNTIF($B$5:$B$64,B62)</x:f>
        <x:v>1</x:v>
      </x:c>
    </x:row>
    <x:row r="63" ht="74" customHeight="1">
      <x:c r="A63" s="42" t="n">
        <x:v>59</x:v>
      </x:c>
      <x:c r="B63" s="36" t="str">
        <x:v>golden_eagle</x:v>
      </x:c>
      <x:c r="C63" s="42" t="str">
        <x:v>金雕</x:v>
      </x:c>
      <x:c r="D63" s="42" t="str">
        <x:v>传说</x:v>
      </x:c>
      <x:c r="E63" s="42" t="str">
        <x:v>标记围猎</x:v>
      </x:c>
      <x:c r="F63" s="42" t="str">
        <x:v>交叉</x:v>
      </x:c>
      <x:c r="G63" s="42" t="str">
        <x:v>群潮推进</x:v>
      </x:c>
      <x:c r="H63" s="42" t="str">
        <x:v>追击</x:v>
      </x:c>
      <x:c r="I63" s="42" t="str">
        <x:v>金羽连抓</x:v>
      </x:c>
      <x:c r="J63" s="36" t="str">
        <x:v>追击：普攻额外攻击附近最多2个目标，额外目标伤害递减。</x:v>
      </x:c>
      <x:c r="K63" s="36" t="str">
        <x:v>超远程多点压制</x:v>
      </x:c>
      <x:c r="L63" s="36" t="str">
        <x:v>以多目标压制补足围猎怕诱饵和密集小单位的弱点。</x:v>
      </x:c>
      <x:c r="M63" s="36" t="str">
        <x:v>狐狸、孔雀、猛犸象</x:v>
      </x:c>
      <x:c r="N63" s="36" t="str">
        <x:v>分散单位、用单一高生命前排承接，或切入超远程位置。</x:v>
      </x:c>
      <x:c r="O63" s="36" t="str">
        <x:v>on_attack / damage</x:v>
      </x:c>
      <x:c r="P63" s="42" t="str">
        <x:v>提案｜待制作人评审</x:v>
      </x:c>
      <x:c r="Q63" s="42" t="n">
        <x:f>COUNTIF($B$5:$B$64,B63)</x:f>
        <x:v>1</x:v>
      </x:c>
    </x:row>
    <x:row r="64" ht="74" customHeight="1">
      <x:c r="A64" s="42" t="n">
        <x:v>60</x:v>
      </x:c>
      <x:c r="B64" s="36" t="str">
        <x:v>mammoth</x:v>
      </x:c>
      <x:c r="C64" s="42" t="str">
        <x:v>猛犸象</x:v>
      </x:c>
      <x:c r="D64" s="42" t="str">
        <x:v>传说</x:v>
      </x:c>
      <x:c r="E64" s="42" t="str">
        <x:v>群潮推进</x:v>
      </x:c>
      <x:c r="F64" s="42" t="str">
        <x:v>交叉</x:v>
      </x:c>
      <x:c r="G64" s="42" t="str">
        <x:v>护群反攻</x:v>
      </x:c>
      <x:c r="H64" s="42" t="str">
        <x:v>战吼</x:v>
      </x:c>
      <x:c r="I64" s="42" t="str">
        <x:v>长牙开路</x:v>
      </x:c>
      <x:c r="J64" s="36" t="str">
        <x:v>战吼：向前推开扇形范围内的敌人，并给身后最近友军提供1层屏障。</x:v>
      </x:c>
      <x:c r="K64" s="36" t="str">
        <x:v>终局开路 / 队伍推进</x:v>
      </x:c>
      <x:c r="L64" s="36" t="str">
        <x:v>登场推开前线并给后排屏障，把铺场安全送入建筑区。</x:v>
      </x:c>
      <x:c r="M64" s="36" t="str">
        <x:v>长颈鹿、大象、金雕</x:v>
      </x:c>
      <x:c r="N64" s="36" t="str">
        <x:v>从侧翼进攻、分散站位，或用小伤先破后排屏障。</x:v>
      </x:c>
      <x:c r="O64" s="36" t="str">
        <x:v>on_spawn / shield</x:v>
      </x:c>
      <x:c r="P64" s="42" t="str">
        <x:v>提案｜待制作人评审</x:v>
      </x:c>
      <x:c r="Q64" s="42" t="n">
        <x:f>COUNTIF($B$5:$B$64,B64)</x:f>
        <x:v>1</x:v>
      </x:c>
    </x:row>
  </x:sheetData>
  <x:mergeCells>
    <x:mergeCell ref="A1:Q1"/>
    <x:mergeCell ref="A2:Q2"/>
  </x:mergeCells>
  <x:conditionalFormatting sqref="F5:F64">
    <x:cfRule type="containsText" dxfId="2" priority="1" operator="containsText" text="核心"/>
    <x:cfRule type="containsText" dxfId="3" priority="2" operator="containsText" text="重要"/>
    <x:cfRule type="containsText" dxfId="4" priority="3" operator="containsText" text="交叉"/>
  </x:conditionalFormatting>
  <x:conditionalFormatting sqref="P5:P64">
    <x:cfRule type="containsText" dxfId="5" priority="4" operator="containsText" text="待制作人"/>
  </x:conditionalFormatting>
  <x:conditionalFormatting sqref="Q5:Q64">
    <x:cfRule type="cellIs" dxfId="6" priority="5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e689f8c81f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22" hidden="0" customWidth="1"/>
    <x:col min="8" max="8" width="62" hidden="0" customWidth="1"/>
    <x:col min="9" max="9" width="52" hidden="0" customWidth="1"/>
  </x:cols>
  <x:sheetData>
    <x:row r="1" ht="34" customHeight="1">
      <x:c r="A1" s="4" t="str">
        <x:v>标准六位构筑｜2核心 + 2重要 + 2交叉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8" t="str">
        <x:v>推荐构筑用于教学，不是锁死答案；重要位和交叉位是主要换牌空间</x:v>
      </x:c>
      <x:c r="B2" s="8"/>
      <x:c r="C2" s="8"/>
      <x:c r="D2" s="8"/>
      <x:c r="E2" s="8"/>
      <x:c r="F2" s="8"/>
      <x:c r="G2" s="8"/>
      <x:c r="H2" s="8"/>
      <x:c r="I2" s="8"/>
    </x:row>
    <x:row r="4" ht="32" customHeight="1">
      <x:c r="A4" s="14" t="str">
        <x:v>流派</x:v>
      </x:c>
      <x:c r="B4" s="14" t="str">
        <x:v>核心1</x:v>
      </x:c>
      <x:c r="C4" s="14" t="str">
        <x:v>核心2</x:v>
      </x:c>
      <x:c r="D4" s="14" t="str">
        <x:v>重要1</x:v>
      </x:c>
      <x:c r="E4" s="14" t="str">
        <x:v>重要2</x:v>
      </x:c>
      <x:c r="F4" s="14" t="str">
        <x:v>交叉1</x:v>
      </x:c>
      <x:c r="G4" s="14" t="str">
        <x:v>交叉2</x:v>
      </x:c>
      <x:c r="H4" s="14" t="str">
        <x:v>六位循环</x:v>
      </x:c>
      <x:c r="I4" s="14" t="str">
        <x:v>建议替换</x:v>
      </x:c>
    </x:row>
    <x:row r="5" ht="84" customHeight="1">
      <x:c r="A5" s="39" t="str">
        <x:v>群潮推进</x:v>
      </x:c>
      <x:c r="B5" s="41" t="str">
        <x:v>老鼠</x:v>
      </x:c>
      <x:c r="C5" s="41" t="str">
        <x:v>蚂蚁</x:v>
      </x:c>
      <x:c r="D5" s="41" t="str">
        <x:v>兔子</x:v>
      </x:c>
      <x:c r="E5" s="41" t="str">
        <x:v>鹦鹉</x:v>
      </x:c>
      <x:c r="F5" s="41" t="str">
        <x:v>天鹅→护群反攻</x:v>
      </x:c>
      <x:c r="G5" s="41" t="str">
        <x:v>猛犸象→护群反攻</x:v>
      </x:c>
      <x:c r="H5" s="35" t="str">
        <x:v>老鼠造出第一批数量 → 蚂蚁把数量转成拆建压力 → 兔子、羊、企鹅维持整波存活 → 鹦鹉或交叉动物复制节奏、覆盖弱点。</x:v>
      </x:c>
      <x:c r="I5" s="35" t="str">
        <x:v>对手清场强时用天鹅/猛犸象；对手单点强时增加兔子；抢建筑时增加企鹅或羊。</x:v>
      </x:c>
    </x:row>
    <x:row r="6" ht="84" customHeight="1">
      <x:c r="A6" s="40" t="str">
        <x:v>遗响接棒</x:v>
      </x:c>
      <x:c r="B6" s="42" t="str">
        <x:v>鸭</x:v>
      </x:c>
      <x:c r="C6" s="42" t="str">
        <x:v>水獭</x:v>
      </x:c>
      <x:c r="D6" s="42" t="str">
        <x:v>鸡</x:v>
      </x:c>
      <x:c r="E6" s="42" t="str">
        <x:v>银背猩猩</x:v>
      </x:c>
      <x:c r="F6" s="42" t="str">
        <x:v>鸽子→标记围猎</x:v>
      </x:c>
      <x:c r="G6" s="42" t="str">
        <x:v>海豹→护群反攻</x:v>
      </x:c>
      <x:c r="H6" s="36" t="str">
        <x:v>低价值动物先交换 → 鸭、鸡、猪等留下遗响 → 水獭把友军阵亡转成额外收益 → 狮子、银背猩猩维持重型战线。</x:v>
      </x:c>
      <x:c r="I6" s="36" t="str">
        <x:v>缺资源用鸡/猪；缺正面厚度用狮子/银背；需要反击路线用鸽子，保线用海豹。</x:v>
      </x:c>
    </x:row>
    <x:row r="7" ht="84" customHeight="1">
      <x:c r="A7" s="40" t="str">
        <x:v>护群反攻</x:v>
      </x:c>
      <x:c r="B7" s="42" t="str">
        <x:v>狗</x:v>
      </x:c>
      <x:c r="C7" s="42" t="str">
        <x:v>刺猬</x:v>
      </x:c>
      <x:c r="D7" s="42" t="str">
        <x:v>乌龟</x:v>
      </x:c>
      <x:c r="E7" s="42" t="str">
        <x:v>鹤</x:v>
      </x:c>
      <x:c r="F7" s="42" t="str">
        <x:v>蜗牛→群潮推进</x:v>
      </x:c>
      <x:c r="G7" s="42" t="str">
        <x:v>蓝鲸→群潮推进</x:v>
      </x:c>
      <x:c r="H7" s="36" t="str">
        <x:v>狗吸引威胁、刺猬惩罚近战 → 乌龟与大象稳定承伤 → 鹤补回生命、猩猩把受伤转成反扑 → 交叉位补充群体屏障或控制耐性。</x:v>
      </x:c>
      <x:c r="I7" s="36" t="str">
        <x:v>对重击换大象；对持续火力换北极熊；需要反扑换大猩猩；守大范围时用蓝鲸。</x:v>
      </x:c>
    </x:row>
    <x:row r="8" ht="84" customHeight="1">
      <x:c r="A8" s="40" t="str">
        <x:v>疾行拓地</x:v>
      </x:c>
      <x:c r="B8" s="42" t="str">
        <x:v>麻雀</x:v>
      </x:c>
      <x:c r="C8" s="42" t="str">
        <x:v>松鼠</x:v>
      </x:c>
      <x:c r="D8" s="42" t="str">
        <x:v>马</x:v>
      </x:c>
      <x:c r="E8" s="42" t="str">
        <x:v>斑马</x:v>
      </x:c>
      <x:c r="F8" s="42" t="str">
        <x:v>猎鹰→标记围猎</x:v>
      </x:c>
      <x:c r="G8" s="42" t="str">
        <x:v>犀牛→控制围歼</x:v>
      </x:c>
      <x:c r="H8" s="36" t="str">
        <x:v>麻雀与松鼠完成第一次占领 → 马、斑马把速度转成推进或首击 → 牛、河马把新地块稳住 → 交叉位负责破阵或切后排。</x:v>
      </x:c>
      <x:c r="I8" s="36" t="str">
        <x:v>纯抢地用牛/河马；需要续建用河狸；怕远程用猎鹰；怕堵路用犀牛。</x:v>
      </x:c>
    </x:row>
    <x:row r="9" ht="84" customHeight="1">
      <x:c r="A9" s="40" t="str">
        <x:v>标记围猎</x:v>
      </x:c>
      <x:c r="B9" s="42" t="str">
        <x:v>狐狸</x:v>
      </x:c>
      <x:c r="C9" s="42" t="str">
        <x:v>狼</x:v>
      </x:c>
      <x:c r="D9" s="42" t="str">
        <x:v>海豚</x:v>
      </x:c>
      <x:c r="E9" s="42" t="str">
        <x:v>豹子</x:v>
      </x:c>
      <x:c r="F9" s="42" t="str">
        <x:v>袋鼠→控制围歼</x:v>
      </x:c>
      <x:c r="G9" s="42" t="str">
        <x:v>鲨鱼→控制围歼</x:v>
      </x:c>
      <x:c r="H9" s="36" t="str">
        <x:v>狐狸或海豚建立公开标记 → 狼与虎鲸奖励同目标攻击 → 豹子、老鹰完成收割 → 交叉位负责首击、追血或控制。</x:v>
      </x:c>
      <x:c r="I9" s="36" t="str">
        <x:v>对远程核用豹子；对残血转线用老鹰/鲨鱼；对密集阵型用金雕；缺先手用袋鼠。</x:v>
      </x:c>
    </x:row>
    <x:row r="10" ht="84" customHeight="1">
      <x:c r="A10" s="40" t="str">
        <x:v>控制围歼</x:v>
      </x:c>
      <x:c r="B10" s="42" t="str">
        <x:v>青蛙</x:v>
      </x:c>
      <x:c r="C10" s="42" t="str">
        <x:v>野猪</x:v>
      </x:c>
      <x:c r="D10" s="42" t="str">
        <x:v>鳄鱼</x:v>
      </x:c>
      <x:c r="E10" s="42" t="str">
        <x:v>巨蟒</x:v>
      </x:c>
      <x:c r="F10" s="42" t="str">
        <x:v>山羊→疾行拓地</x:v>
      </x:c>
      <x:c r="G10" s="42" t="str">
        <x:v>熊→护群反攻</x:v>
      </x:c>
      <x:c r="H10" s="36" t="str">
        <x:v>青蛙减速 → 野猪或山羊打断第一拍 → 鳄鱼、巨蟒完成连续钳制 → 老虎或科莫多龙处理群体与巨兽。</x:v>
      </x:c>
      <x:c r="I10" s="36" t="str">
        <x:v>对群潮用老虎；对巨兽用科莫多龙；缺破阵用山羊；需要保控制核用熊/骆驼。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f2d394d7e134b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54" hidden="0" customWidth="1"/>
    <x:col min="5" max="5" width="54" hidden="0" customWidth="1"/>
    <x:col min="6" max="6" width="32" hidden="0" customWidth="1"/>
    <x:col min="7" max="7" width="32" hidden="0" customWidth="1"/>
    <x:col min="8" max="8" width="3" hidden="0" customWidth="1"/>
  </x:cols>
  <x:sheetData>
    <x:row r="1" ht="34" customHeight="1">
      <x:c r="A1" s="4" t="str">
        <x:v>流派关系｜协同、软克制与拆解点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不是封闭石头剪刀布；每条优势都必须保留可见反制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主流派 / 搭档</x:v>
      </x:c>
      <x:c r="B4" s="14" t="str">
        <x:v>群潮推进</x:v>
      </x:c>
      <x:c r="C4" s="14" t="str">
        <x:v>遗响接棒</x:v>
      </x:c>
      <x:c r="D4" s="14" t="str">
        <x:v>护群反攻</x:v>
      </x:c>
      <x:c r="E4" s="14" t="str">
        <x:v>疾行拓地</x:v>
      </x:c>
      <x:c r="F4" s="14" t="str">
        <x:v>标记围猎</x:v>
      </x:c>
      <x:c r="G4" s="14" t="str">
        <x:v>控制围歼</x:v>
      </x:c>
    </x:row>
    <x:row r="5" ht="86" customHeight="1">
      <x:c r="A5" s="43" t="str">
        <x:v>群潮推进</x:v>
      </x:c>
      <x:c r="B5" s="35" t="str">
        <x:v>主循环
小动物一波接一波，把人数兑现成建筑压力与团队保护。</x:v>
      </x:c>
      <x:c r="C5" s="35" t="str">
        <x:v>强协同
群潮的衍生物和低费单位提供可控阵亡事件，遗响把清场损失转成下一拍。</x:v>
      </x:c>
      <x:c r="D5" s="35" t="str">
        <x:v>强协同
护群和屏障让光环核心与整波小单位多存活一个攻击周期。</x:v>
      </x:c>
      <x:c r="E5" s="35" t="str">
        <x:v>强协同
速度把数量快速送到下一建筑或地块，形成多点地图压力。</x:v>
      </x:c>
      <x:c r="F5" s="35" t="str">
        <x:v>中协同
小单位吸收单点火力，猎手负责点掉范围清场者和后排核心。</x:v>
      </x:c>
      <x:c r="G5" s="35" t="str">
        <x:v>互为博弈
己方控制能把敌人留在群潮火力区，但敌方范围控制也最克制抱团。</x:v>
      </x:c>
    </x:row>
    <x:row r="6" ht="86" customHeight="1">
      <x:c r="A6" s="44" t="str">
        <x:v>遗响接棒</x:v>
      </x:c>
      <x:c r="B6" s="36" t="str">
        <x:v>强协同
群潮的衍生物和低费单位提供可控阵亡事件，遗响把清场损失转成下一拍。</x:v>
      </x:c>
      <x:c r="C6" s="36" t="str">
        <x:v>主循环
倒下一只，立刻留下下一拍。</x:v>
      </x:c>
      <x:c r="D6" s="36" t="str">
        <x:v>强协同
保护延后关键引擎阵亡，同时让低价值单位按计划完成交换。</x:v>
      </x:c>
      <x:c r="E6" s="36" t="str">
        <x:v>中协同
鹿等遗响提供加速，把交换后的空档转成下一地块。</x:v>
      </x:c>
      <x:c r="F6" s="36" t="str">
        <x:v>强协同
鸽子阵亡后标记击杀者，直接给围猎提供公开目标。</x:v>
      </x:c>
      <x:c r="G6" s="36" t="str">
        <x:v>互为博弈
控制可安排击杀顺序；遗响又能惩罚只会一次清场的控制构筑。</x:v>
      </x:c>
    </x:row>
    <x:row r="7" ht="86" customHeight="1">
      <x:c r="A7" s="44" t="str">
        <x:v>护群反攻</x:v>
      </x:c>
      <x:c r="B7" s="36" t="str">
        <x:v>强协同
护群和屏障让光环核心与整波小单位多存活一个攻击周期。</x:v>
      </x:c>
      <x:c r="C7" s="36" t="str">
        <x:v>强协同
保护延后关键引擎阵亡，同时让低价值单位按计划完成交换。</x:v>
      </x:c>
      <x:c r="D7" s="36" t="str">
        <x:v>主循环
先保住核心，再把承伤变成反击。</x:v>
      </x:c>
      <x:c r="E7" s="36" t="str">
        <x:v>中协同
耐久前排把刚占领的边界变成真正可守的连接点。</x:v>
      </x:c>
      <x:c r="F7" s="36" t="str">
        <x:v>强协同
保护围猎核心完成标记到收割的完整窗口，同时也是敌方围猎的主要反制。</x:v>
      </x:c>
      <x:c r="G7" s="36" t="str">
        <x:v>强协同
前排为连续控制争取攻击次数，控制又减轻前排承伤。</x:v>
      </x:c>
    </x:row>
    <x:row r="8" ht="86" customHeight="1">
      <x:c r="A8" s="44" t="str">
        <x:v>疾行拓地</x:v>
      </x:c>
      <x:c r="B8" s="36" t="str">
        <x:v>强协同
速度把数量快速送到下一建筑或地块，形成多点地图压力。</x:v>
      </x:c>
      <x:c r="C8" s="36" t="str">
        <x:v>中协同
鹿等遗响提供加速，把交换后的空档转成下一地块。</x:v>
      </x:c>
      <x:c r="D8" s="36" t="str">
        <x:v>中协同
耐久前排把刚占领的边界变成真正可守的连接点。</x:v>
      </x:c>
      <x:c r="E8" s="36" t="str">
        <x:v>主循环
占下一格，马上冲向下一格。</x:v>
      </x:c>
      <x:c r="F8" s="36" t="str">
        <x:v>强协同
路线与速度优势让伏击和标记更容易触达后排。</x:v>
      </x:c>
      <x:c r="G8" s="36" t="str">
        <x:v>战术协同
击退和冲撞打开接壤口，后续控制固定新战线。</x:v>
      </x:c>
    </x:row>
    <x:row r="9" ht="86" customHeight="1">
      <x:c r="A9" s="44" t="str">
        <x:v>标记围猎</x:v>
      </x:c>
      <x:c r="B9" s="36" t="str">
        <x:v>中协同
小单位吸收单点火力，猎手负责点掉范围清场者和后排核心。</x:v>
      </x:c>
      <x:c r="C9" s="36" t="str">
        <x:v>强协同
鸽子阵亡后标记击杀者，直接给围猎提供公开目标。</x:v>
      </x:c>
      <x:c r="D9" s="36" t="str">
        <x:v>强协同
保护围猎核心完成标记到收割的完整窗口，同时也是敌方围猎的主要反制。</x:v>
      </x:c>
      <x:c r="E9" s="36" t="str">
        <x:v>强协同
路线与速度优势让伏击和标记更容易触达后排。</x:v>
      </x:c>
      <x:c r="F9" s="36" t="str">
        <x:v>主循环
先指出猎物，再让捕食者连续收割。</x:v>
      </x:c>
      <x:c r="G9" s="36" t="str">
        <x:v>强协同
控制负责留住目标，围猎负责在有限控制窗口内完成击杀。</x:v>
      </x:c>
    </x:row>
    <x:row r="10" ht="86" customHeight="1">
      <x:c r="A10" s="44" t="str">
        <x:v>控制围歼</x:v>
      </x:c>
      <x:c r="B10" s="36" t="str">
        <x:v>互为博弈
己方控制能把敌人留在群潮火力区，但敌方范围控制也最克制抱团。</x:v>
      </x:c>
      <x:c r="C10" s="36" t="str">
        <x:v>互为博弈
控制可安排击杀顺序；遗响又能惩罚只会一次清场的控制构筑。</x:v>
      </x:c>
      <x:c r="D10" s="36" t="str">
        <x:v>强协同
前排为连续控制争取攻击次数，控制又减轻前排承伤。</x:v>
      </x:c>
      <x:c r="E10" s="36" t="str">
        <x:v>战术协同
击退和冲撞打开接壤口，后续控制固定新战线。</x:v>
      </x:c>
      <x:c r="F10" s="36" t="str">
        <x:v>强协同
控制负责留住目标，围猎负责在有限控制窗口内完成击杀。</x:v>
      </x:c>
      <x:c r="G10" s="36" t="str">
        <x:v>主循环
先让猎物慢下来，再完成连续控制与范围收束。</x:v>
      </x:c>
    </x:row>
    <x:row r="13" ht="32" customHeight="1">
      <x:c r="A13" s="14" t="str">
        <x:v>流派A</x:v>
      </x:c>
      <x:c r="B13" s="14" t="str">
        <x:v>流派B</x:v>
      </x:c>
      <x:c r="C13" s="14" t="str">
        <x:v>协同等级</x:v>
      </x:c>
      <x:c r="D13" s="14" t="str">
        <x:v>为什么配合</x:v>
      </x:c>
      <x:c r="E13" s="14" t="str">
        <x:v>必须保留的风险</x:v>
      </x:c>
    </x:row>
    <x:row r="14" ht="50" customHeight="1">
      <x:c r="A14" s="35" t="str">
        <x:v>群潮推进</x:v>
      </x:c>
      <x:c r="B14" s="35" t="str">
        <x:v>遗响接棒</x:v>
      </x:c>
      <x:c r="C14" s="35" t="str">
        <x:v>强协同</x:v>
      </x:c>
      <x:c r="D14" s="35" t="str">
        <x:v>群潮的衍生物和低费单位提供可控阵亡事件，遗响把清场损失转成下一拍。</x:v>
      </x:c>
      <x:c r="E14" s="35" t="str">
        <x:v>若同一范围伤害同时清完本体、衍生物和结算引擎，价值会断档。</x:v>
      </x:c>
    </x:row>
    <x:row r="15" ht="50" customHeight="1">
      <x:c r="A15" s="36" t="str">
        <x:v>群潮推进</x:v>
      </x:c>
      <x:c r="B15" s="36" t="str">
        <x:v>护群反攻</x:v>
      </x:c>
      <x:c r="C15" s="36" t="str">
        <x:v>强协同</x:v>
      </x:c>
      <x:c r="D15" s="36" t="str">
        <x:v>护群和屏障让光环核心与整波小单位多存活一个攻击周期。</x:v>
      </x:c>
      <x:c r="E15" s="36" t="str">
        <x:v>过度抱团会放大范围控制收益。</x:v>
      </x:c>
    </x:row>
    <x:row r="16" ht="50" customHeight="1">
      <x:c r="A16" s="36" t="str">
        <x:v>群潮推进</x:v>
      </x:c>
      <x:c r="B16" s="36" t="str">
        <x:v>疾行拓地</x:v>
      </x:c>
      <x:c r="C16" s="36" t="str">
        <x:v>强协同</x:v>
      </x:c>
      <x:c r="D16" s="36" t="str">
        <x:v>速度把数量快速送到下一建筑或地块，形成多点地图压力。</x:v>
      </x:c>
      <x:c r="E16" s="36" t="str">
        <x:v>转线过快会脱离光环和保护范围。</x:v>
      </x:c>
    </x:row>
    <x:row r="17" ht="50" customHeight="1">
      <x:c r="A17" s="36" t="str">
        <x:v>群潮推进</x:v>
      </x:c>
      <x:c r="B17" s="36" t="str">
        <x:v>标记围猎</x:v>
      </x:c>
      <x:c r="C17" s="36" t="str">
        <x:v>中协同</x:v>
      </x:c>
      <x:c r="D17" s="36" t="str">
        <x:v>小单位吸收单点火力，猎手负责点掉范围清场者和后排核心。</x:v>
      </x:c>
      <x:c r="E17" s="36" t="str">
        <x:v>围猎者缺少公开标记时会与群潮争抢有限输出位。</x:v>
      </x:c>
    </x:row>
    <x:row r="18" ht="50" customHeight="1">
      <x:c r="A18" s="36" t="str">
        <x:v>群潮推进</x:v>
      </x:c>
      <x:c r="B18" s="36" t="str">
        <x:v>控制围歼</x:v>
      </x:c>
      <x:c r="C18" s="36" t="str">
        <x:v>互为博弈</x:v>
      </x:c>
      <x:c r="D18" s="36" t="str">
        <x:v>己方控制能把敌人留在群潮火力区，但敌方范围控制也最克制抱团。</x:v>
      </x:c>
      <x:c r="E18" s="36" t="str">
        <x:v>同一构筑同时塞入过多群潮与控制会失去保护位。</x:v>
      </x:c>
    </x:row>
    <x:row r="19" ht="50" customHeight="1">
      <x:c r="A19" s="36" t="str">
        <x:v>遗响接棒</x:v>
      </x:c>
      <x:c r="B19" s="36" t="str">
        <x:v>护群反攻</x:v>
      </x:c>
      <x:c r="C19" s="36" t="str">
        <x:v>强协同</x:v>
      </x:c>
      <x:c r="D19" s="36" t="str">
        <x:v>保护延后关键引擎阵亡，同时让低价值单位按计划完成交换。</x:v>
      </x:c>
      <x:c r="E19" s="36" t="str">
        <x:v>保护错目标会让遗响时机延后并浪费资源。</x:v>
      </x:c>
    </x:row>
    <x:row r="20" ht="50" customHeight="1">
      <x:c r="A20" s="36" t="str">
        <x:v>遗响接棒</x:v>
      </x:c>
      <x:c r="B20" s="36" t="str">
        <x:v>疾行拓地</x:v>
      </x:c>
      <x:c r="C20" s="36" t="str">
        <x:v>中协同</x:v>
      </x:c>
      <x:c r="D20" s="36" t="str">
        <x:v>鹿等遗响提供加速，把交换后的空档转成下一地块。</x:v>
      </x:c>
      <x:c r="E20" s="36" t="str">
        <x:v>阵亡位置远离争夺线时无法兑现。</x:v>
      </x:c>
    </x:row>
    <x:row r="21" ht="50" customHeight="1">
      <x:c r="A21" s="36" t="str">
        <x:v>遗响接棒</x:v>
      </x:c>
      <x:c r="B21" s="36" t="str">
        <x:v>标记围猎</x:v>
      </x:c>
      <x:c r="C21" s="36" t="str">
        <x:v>强协同</x:v>
      </x:c>
      <x:c r="D21" s="36" t="str">
        <x:v>鸽子阵亡后标记击杀者，直接给围猎提供公开目标。</x:v>
      </x:c>
      <x:c r="E21" s="36" t="str">
        <x:v>对手可用低价值单位取得最后一击。</x:v>
      </x:c>
    </x:row>
    <x:row r="22" ht="50" customHeight="1">
      <x:c r="A22" s="36" t="str">
        <x:v>遗响接棒</x:v>
      </x:c>
      <x:c r="B22" s="36" t="str">
        <x:v>控制围歼</x:v>
      </x:c>
      <x:c r="C22" s="36" t="str">
        <x:v>互为博弈</x:v>
      </x:c>
      <x:c r="D22" s="36" t="str">
        <x:v>控制可安排击杀顺序；遗响又能惩罚只会一次清场的控制构筑。</x:v>
      </x:c>
      <x:c r="E22" s="36" t="str">
        <x:v>结算顺序与衍生物上限必须高度可读。</x:v>
      </x:c>
    </x:row>
    <x:row r="23" ht="50" customHeight="1">
      <x:c r="A23" s="36" t="str">
        <x:v>护群反攻</x:v>
      </x:c>
      <x:c r="B23" s="36" t="str">
        <x:v>疾行拓地</x:v>
      </x:c>
      <x:c r="C23" s="36" t="str">
        <x:v>中协同</x:v>
      </x:c>
      <x:c r="D23" s="36" t="str">
        <x:v>耐久前排把刚占领的边界变成真正可守的连接点。</x:v>
      </x:c>
      <x:c r="E23" s="36" t="str">
        <x:v>厚重保护会降低纯转线速度。</x:v>
      </x:c>
    </x:row>
    <x:row r="24" ht="50" customHeight="1">
      <x:c r="A24" s="36" t="str">
        <x:v>护群反攻</x:v>
      </x:c>
      <x:c r="B24" s="36" t="str">
        <x:v>标记围猎</x:v>
      </x:c>
      <x:c r="C24" s="36" t="str">
        <x:v>强协同</x:v>
      </x:c>
      <x:c r="D24" s="36" t="str">
        <x:v>保护围猎核心完成标记到收割的完整窗口，同时也是敌方围猎的主要反制。</x:v>
      </x:c>
      <x:c r="E24" s="36" t="str">
        <x:v>双方都带保护时可能形成过长僵持。</x:v>
      </x:c>
    </x:row>
    <x:row r="25" ht="50" customHeight="1">
      <x:c r="A25" s="36" t="str">
        <x:v>护群反攻</x:v>
      </x:c>
      <x:c r="B25" s="36" t="str">
        <x:v>控制围歼</x:v>
      </x:c>
      <x:c r="C25" s="36" t="str">
        <x:v>强协同</x:v>
      </x:c>
      <x:c r="D25" s="36" t="str">
        <x:v>前排为连续控制争取攻击次数，控制又减轻前排承伤。</x:v>
      </x:c>
      <x:c r="E25" s="36" t="str">
        <x:v>控制重叠和转伤循环必须被硬规则阻断。</x:v>
      </x:c>
    </x:row>
    <x:row r="26" ht="50" customHeight="1">
      <x:c r="A26" s="36" t="str">
        <x:v>疾行拓地</x:v>
      </x:c>
      <x:c r="B26" s="36" t="str">
        <x:v>标记围猎</x:v>
      </x:c>
      <x:c r="C26" s="36" t="str">
        <x:v>强协同</x:v>
      </x:c>
      <x:c r="D26" s="36" t="str">
        <x:v>路线与速度优势让伏击和标记更容易触达后排。</x:v>
      </x:c>
      <x:c r="E26" s="36" t="str">
        <x:v>追击过深会脱离占领目标和保护。</x:v>
      </x:c>
    </x:row>
    <x:row r="27" ht="50" customHeight="1">
      <x:c r="A27" s="36" t="str">
        <x:v>疾行拓地</x:v>
      </x:c>
      <x:c r="B27" s="36" t="str">
        <x:v>控制围歼</x:v>
      </x:c>
      <x:c r="C27" s="36" t="str">
        <x:v>战术协同</x:v>
      </x:c>
      <x:c r="D27" s="36" t="str">
        <x:v>击退和冲撞打开接壤口，后续控制固定新战线。</x:v>
      </x:c>
      <x:c r="E27" s="36" t="str">
        <x:v>敌方减速同样是疾行的直接答案。</x:v>
      </x:c>
    </x:row>
    <x:row r="28" ht="50" customHeight="1">
      <x:c r="A28" s="36" t="str">
        <x:v>标记围猎</x:v>
      </x:c>
      <x:c r="B28" s="36" t="str">
        <x:v>控制围歼</x:v>
      </x:c>
      <x:c r="C28" s="36" t="str">
        <x:v>强协同</x:v>
      </x:c>
      <x:c r="D28" s="36" t="str">
        <x:v>控制负责留住目标，围猎负责在有限控制窗口内完成击杀。</x:v>
      </x:c>
      <x:c r="E28" s="36" t="str">
        <x:v>爆发不足时两套组件都会进入空窗。</x:v>
      </x:c>
    </x:row>
    <x:row r="31" ht="32" customHeight="1">
      <x:c r="A31" s="14" t="str">
        <x:v>进攻/答案流派</x:v>
      </x:c>
      <x:c r="B31" s="14" t="str">
        <x:v>被针对流派</x:v>
      </x:c>
      <x:c r="C31" s="14" t="str">
        <x:v>关系</x:v>
      </x:c>
      <x:c r="D31" s="14" t="str">
        <x:v>双方读法与拆解</x:v>
      </x:c>
    </x:row>
    <x:row r="32" ht="52" customHeight="1">
      <x:c r="A32" s="35" t="str">
        <x:v>控制围歼</x:v>
      </x:c>
      <x:c r="B32" s="35" t="str">
        <x:v>群潮推进</x:v>
      </x:c>
      <x:c r="C32" s="35" t="str">
        <x:v>软克制</x:v>
      </x:c>
      <x:c r="D32" s="35" t="str">
        <x:v>范围减速、横扫和击退惩罚密集小单位；群潮可通过分波和反控制交叉位应对。</x:v>
      </x:c>
    </x:row>
    <x:row r="33" ht="52" customHeight="1">
      <x:c r="A33" s="36" t="str">
        <x:v>群潮推进</x:v>
      </x:c>
      <x:c r="B33" s="36" t="str">
        <x:v>标记围猎</x:v>
      </x:c>
      <x:c r="C33" s="36" t="str">
        <x:v>软克制</x:v>
      </x:c>
      <x:c r="D33" s="36" t="str">
        <x:v>衍生物与多目标压力稀释单体标记价值；围猎可先点掉蚂蚁等公开核心。</x:v>
      </x:c>
    </x:row>
    <x:row r="34" ht="52" customHeight="1">
      <x:c r="A34" s="36" t="str">
        <x:v>护群反攻</x:v>
      </x:c>
      <x:c r="B34" s="36" t="str">
        <x:v>标记围猎</x:v>
      </x:c>
      <x:c r="C34" s="36" t="str">
        <x:v>软克制</x:v>
      </x:c>
      <x:c r="D34" s="36" t="str">
        <x:v>转伤、屏障和治疗让收割阈值失效；围猎可击退保护者或从侧翼切入。</x:v>
      </x:c>
    </x:row>
    <x:row r="35" ht="52" customHeight="1">
      <x:c r="A35" s="36" t="str">
        <x:v>疾行拓地</x:v>
      </x:c>
      <x:c r="B35" s="36" t="str">
        <x:v>护群反攻</x:v>
      </x:c>
      <x:c r="C35" s="36" t="str">
        <x:v>软克制</x:v>
      </x:c>
      <x:c r="D35" s="36" t="str">
        <x:v>多线推进绕开厚重正面；护群可守住关键接壤并逼迫疾行停下。</x:v>
      </x:c>
    </x:row>
    <x:row r="36" ht="52" customHeight="1">
      <x:c r="A36" s="36" t="str">
        <x:v>控制围歼</x:v>
      </x:c>
      <x:c r="B36" s="36" t="str">
        <x:v>疾行拓地</x:v>
      </x:c>
      <x:c r="C36" s="36" t="str">
        <x:v>软克制</x:v>
      </x:c>
      <x:c r="D36" s="36" t="str">
        <x:v>减速、束缚和狭窄入口切断转线；疾行可分路或诱骗控制空放。</x:v>
      </x:c>
    </x:row>
    <x:row r="37" ht="52" customHeight="1">
      <x:c r="A37" s="36" t="str">
        <x:v>遗响接棒</x:v>
      </x:c>
      <x:c r="B37" s="36" t="str">
        <x:v>控制围歼</x:v>
      </x:c>
      <x:c r="C37" s="36" t="str">
        <x:v>反清场博弈</x:v>
      </x:c>
      <x:c r="D37" s="36" t="str">
        <x:v>遗响把击杀转成新单位或资源；控制可延后击杀并先处理结算引擎。</x:v>
      </x:c>
    </x:row>
    <x:row r="38" ht="52" customHeight="1">
      <x:c r="A38" s="36" t="str">
        <x:v>标记围猎</x:v>
      </x:c>
      <x:c r="B38" s="36" t="str">
        <x:v>遗响接棒</x:v>
      </x:c>
      <x:c r="C38" s="36" t="str">
        <x:v>目标顺序优势</x:v>
      </x:c>
      <x:c r="D38" s="36" t="str">
        <x:v>定向击杀水獭等引擎可让遗响断链；遗响可用鸽子和衍生物反标记。</x:v>
      </x:c>
    </x:row>
    <x:row r="39" ht="52" customHeight="1">
      <x:c r="A39" s="36" t="str">
        <x:v>控制围歼</x:v>
      </x:c>
      <x:c r="B39" s="36" t="str">
        <x:v>护群反攻</x:v>
      </x:c>
      <x:c r="C39" s="36" t="str">
        <x:v>破阵博弈</x:v>
      </x:c>
      <x:c r="D39" s="36" t="str">
        <x:v>击退与腐毒绕过稳定减伤；护群可保护控制链的脆弱核心并反打。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48" hidden="0" customWidth="1"/>
    <x:col min="5" max="5" width="48" hidden="0" customWidth="1"/>
    <x:col min="6" max="6" width="48" hidden="0" customWidth="1"/>
    <x:col min="7" max="7" width="38" hidden="0" customWidth="1"/>
  </x:cols>
  <x:sheetData>
    <x:row r="1" ht="34" customHeight="1">
      <x:c r="A1" s="4" t="str">
        <x:v>体验门槛与高手深度｜逐层开放，而非一次展示全部复杂度</x:v>
      </x:c>
      <x:c r="B1" s="4"/>
      <x:c r="C1" s="4"/>
      <x:c r="D1" s="4"/>
      <x:c r="E1" s="4"/>
      <x:c r="F1" s="4"/>
      <x:c r="G1" s="4"/>
    </x:row>
    <x:row r="2" ht="30" customHeight="1">
      <x:c r="A2" s="8" t="str">
        <x:v>深度来自构筑、时机、位置、目标、地图与跨流派转向</x:v>
      </x:c>
      <x:c r="B2" s="8"/>
      <x:c r="C2" s="8"/>
      <x:c r="D2" s="8"/>
      <x:c r="E2" s="8"/>
      <x:c r="F2" s="8"/>
      <x:c r="G2" s="8"/>
    </x:row>
    <x:row r="4" ht="32" customHeight="1">
      <x:c r="A4" s="14" t="str">
        <x:v>阶段</x:v>
      </x:c>
      <x:c r="B4" s="14" t="str">
        <x:v>对局范围</x:v>
      </x:c>
      <x:c r="C4" s="14" t="str">
        <x:v>学习目标</x:v>
      </x:c>
      <x:c r="D4" s="14" t="str">
        <x:v>玩家输入</x:v>
      </x:c>
      <x:c r="E4" s="14" t="str">
        <x:v>系统支持</x:v>
      </x:c>
      <x:c r="F4" s="14" t="str">
        <x:v>失败教学</x:v>
      </x:c>
      <x:c r="G4" s="14" t="str">
        <x:v>进入下一层条件</x:v>
      </x:c>
    </x:row>
    <x:row r="5" ht="82" customHeight="1">
      <x:c r="A5" s="35" t="str">
        <x:v>首次体验</x:v>
      </x:c>
      <x:c r="B5" s="35" t="str">
        <x:v>第1局</x:v>
      </x:c>
      <x:c r="C5" s="35" t="str">
        <x:v>看懂一条两动物核心链。</x:v>
      </x:c>
      <x:c r="D5" s="35" t="str">
        <x:v>直接使用推荐六位构筑，只需要选择一条推进路线。</x:v>
      </x:c>
      <x:c r="E5" s="35" t="str">
        <x:v>只高亮核心触发词、目标线和下一位推荐动物；不展示完整关系图。</x:v>
      </x:c>
      <x:c r="F5" s="35" t="str">
        <x:v>死亡回放只说明一个断点，例如“蚂蚁先被击杀，数量未转成拆建”。</x:v>
      </x:c>
      <x:c r="G5" s="35" t="str">
        <x:v>能指出两只核心及先后关系</x:v>
      </x:c>
    </x:row>
    <x:row r="6" ht="82" customHeight="1">
      <x:c r="A6" s="36" t="str">
        <x:v>建立认知</x:v>
      </x:c>
      <x:c r="B6" s="36" t="str">
        <x:v>第2–3局</x:v>
      </x:c>
      <x:c r="C6" s="36" t="str">
        <x:v>理解流派的主要弱点和一个反制替换。</x:v>
      </x:c>
      <x:c r="D6" s="36" t="str">
        <x:v>在四只重要动物中替换一位，仍保留两核心。</x:v>
      </x:c>
      <x:c r="E6" s="36" t="str">
        <x:v>对局前提示对手最明显的一种威胁和一个可用替换。</x:v>
      </x:c>
      <x:c r="F6" s="36" t="str">
        <x:v>结算页展示核心链触发次数、被打断次数及原因。</x:v>
      </x:c>
      <x:c r="G6" s="36" t="str">
        <x:v>会做一次针对性替换</x:v>
      </x:c>
    </x:row>
    <x:row r="7" ht="82" customHeight="1">
      <x:c r="A7" s="36" t="str">
        <x:v>熟练构筑</x:v>
      </x:c>
      <x:c r="B7" s="36" t="str">
        <x:v>第4–10局</x:v>
      </x:c>
      <x:c r="C7" s="36" t="str">
        <x:v>根据地图和对手在重要位之间做取舍。</x:v>
      </x:c>
      <x:c r="D7" s="36" t="str">
        <x:v>调整2个重要位，决定保护、速度、资源或终结优先级。</x:v>
      </x:c>
      <x:c r="E7" s="36" t="str">
        <x:v>展示功能槽而非胜率答案；保留推荐但允许自由编辑。</x:v>
      </x:c>
      <x:c r="F7" s="36" t="str">
        <x:v>显示哪一功能槽缺失，不直接给唯一正确卡组。</x:v>
      </x:c>
      <x:c r="G7" s="36" t="str">
        <x:v>会根据地图调整2个功能位</x:v>
      </x:c>
    </x:row>
    <x:row r="8" ht="82" customHeight="1">
      <x:c r="A8" s="36" t="str">
        <x:v>高手转向</x:v>
      </x:c>
      <x:c r="B8" s="36" t="str">
        <x:v>长期</x:v>
      </x:c>
      <x:c r="C8" s="36" t="str">
        <x:v>用两只交叉动物隐藏第二流派并在战斗中转向。</x:v>
      </x:c>
      <x:c r="D8" s="36" t="str">
        <x:v>读地图、出手顺序、目标、站位和对手冷却，主动选择第二条胜利路线。</x:v>
      </x:c>
      <x:c r="E8" s="36" t="str">
        <x:v>完整关系矩阵、触发顺序日志、可筛选动物池。</x:v>
      </x:c>
      <x:c r="F8" s="36" t="str">
        <x:v>提供时间线与目标切换记录，支持复盘而非自动纠错。</x:v>
      </x:c>
      <x:c r="G8" s="36" t="str">
        <x:v>持续用复盘优化第二路线</x:v>
      </x:c>
    </x:row>
    <x:row r="11" ht="32" customHeight="1">
      <x:c r="A11" s="14" t="str">
        <x:v>复杂度规则</x:v>
      </x:c>
      <x:c r="B11" s="14" t="str">
        <x:v>上限</x:v>
      </x:c>
      <x:c r="C11" s="14" t="str">
        <x:v>原因</x:v>
      </x:c>
      <x:c r="E11" s="14" t="str">
        <x:v>验证指标</x:v>
      </x:c>
      <x:c r="F11" s="14" t="str">
        <x:v>提议目标</x:v>
      </x:c>
      <x:c r="G11" s="14" t="str">
        <x:v>方法 / 状态</x:v>
      </x:c>
    </x:row>
    <x:row r="12" ht="62" customHeight="1">
      <x:c r="A12" s="20" t="str">
        <x:v>核心链长度</x:v>
      </x:c>
      <x:c r="B12" s="20" t="str">
        <x:v>新手推荐只暴露2只动物、2个连续事件；高级组合最多4个连续事件。</x:v>
      </x:c>
      <x:c r="C12" s="20" t="str">
        <x:v>失败时玩家能指出链条断在哪一拍。</x:v>
      </x:c>
      <x:c r="E12" s="35" t="str">
        <x:v>首次流派识别率</x:v>
      </x:c>
      <x:c r="F12" s="35" t="str">
        <x:v>≥80%</x:v>
      </x:c>
      <x:c r="G12" s="35" t="str">
        <x:v>观看30秒战斗后，从六个名称中选择主流派。
提议值，待可玩原型验证</x:v>
      </x:c>
    </x:row>
    <x:row r="13" ht="62" customHeight="1">
      <x:c r="A13" s="21" t="str">
        <x:v>隐藏状态预算</x:v>
      </x:c>
      <x:c r="B13" s="21" t="str">
        <x:v>每只动物最多1个隐藏计数；到达阈值前必须有图标或进度反馈。</x:v>
      </x:c>
      <x:c r="C13" s="21" t="str">
        <x:v>防止攻击次数、周期和标记同时不可见。</x:v>
      </x:c>
      <x:c r="E13" s="36" t="str">
        <x:v>三局核心链复述率</x:v>
      </x:c>
      <x:c r="F13" s="36" t="str">
        <x:v>≥70%</x:v>
      </x:c>
      <x:c r="G13" s="36" t="str">
        <x:v>玩家用自己的话说明两只核心如何接力。
提议值，待用户测试</x:v>
      </x:c>
    </x:row>
    <x:row r="14" ht="62" customHeight="1">
      <x:c r="A14" s="21" t="str">
        <x:v>关键词预算</x:v>
      </x:c>
      <x:c r="B14" s="21" t="str">
        <x:v>单只动物主关键词1个、次效果最多1个；交叉身份不额外增加规则文本。</x:v>
      </x:c>
      <x:c r="C14" s="21" t="str">
        <x:v>交叉来自功能，不来自更长卡面。</x:v>
      </x:c>
      <x:c r="E14" s="36" t="str">
        <x:v>失败原因可定位率</x:v>
      </x:c>
      <x:c r="F14" s="36" t="str">
        <x:v>≥75%</x:v>
      </x:c>
      <x:c r="G14" s="36" t="str">
        <x:v>失败后玩家能指出核心被击杀、链条被控制或路线被截断之一。
提议值，待战斗复盘UI</x:v>
      </x:c>
    </x:row>
    <x:row r="15" ht="62" customHeight="1">
      <x:c r="A15" s="21" t="str">
        <x:v>构筑识别</x:v>
      </x:c>
      <x:c r="B15" s="21" t="str">
        <x:v>一副六动物构筑至少4只明确服务主流派，交叉位固定为2。</x:v>
      </x:c>
      <x:c r="C15" s="21" t="str">
        <x:v>既能一眼识别，又保留转向空间。</x:v>
      </x:c>
      <x:c r="E15" s="36" t="str">
        <x:v>交叉位使用率</x:v>
      </x:c>
      <x:c r="F15" s="36" t="str">
        <x:v>25%–55%</x:v>
      </x:c>
      <x:c r="G15" s="36" t="str">
        <x:v>统计已解锁玩家的构筑中至少使用1只交叉动物的比例。
提议值，防止交叉位无用或必带</x:v>
      </x:c>
    </x:row>
    <x:row r="16" ht="62" customHeight="1">
      <x:c r="A16" s="21" t="str">
        <x:v>控制预算</x:v>
      </x:c>
      <x:c r="B16" s="21" t="str">
        <x:v>同一目标的硬控不允许无缝永久衔接；重复控制必须有递减、冷却或重置条件。</x:v>
      </x:c>
      <x:c r="C16" s="21" t="str">
        <x:v>保留操作与反制窗口。</x:v>
      </x:c>
      <x:c r="E16" s="36" t="str">
        <x:v>核心双卡占用率</x:v>
      </x:c>
      <x:c r="F16" s="36" t="str">
        <x:v>主流派构筑中60%–85%</x:v>
      </x:c>
      <x:c r="G16" s="36" t="str">
        <x:v>按版本与地图统计核心双卡共存率。
提议值，低于区间说明身份不清，高于区间说明锁死</x:v>
      </x:c>
    </x:row>
    <x:row r="17" ht="62" customHeight="1">
      <x:c r="A17" s="21" t="str">
        <x:v>召唤预算</x:v>
      </x:c>
      <x:c r="B17" s="21" t="str">
        <x:v>衍生物默认无技能；达到单位上限时不排队补发。</x:v>
      </x:c>
      <x:c r="C17" s="21" t="str">
        <x:v>阻止递归和隐藏爆量。</x:v>
      </x:c>
      <x:c r="E17" s="36" t="str">
        <x:v>单一流派选择率</x:v>
      </x:c>
      <x:c r="F17" s="36" t="str">
        <x:v>长期不高于30%</x:v>
      </x:c>
      <x:c r="G17" s="36" t="str">
        <x:v>分新手/熟练/高手段位观察六流派使用分布。
提议值，不作为强制均分</x:v>
      </x:c>
    </x:row>
    <x:row r="21" ht="32" customHeight="1">
      <x:c r="A21" s="14" t="str">
        <x:v>建议解锁顺序</x:v>
      </x:c>
      <x:c r="B21" s="14" t="str">
        <x:v>第1组</x:v>
      </x:c>
      <x:c r="C21" s="14" t="str">
        <x:v>群潮推进 + 护群反攻</x:v>
      </x:c>
      <x:c r="D21" s="14" t="str">
        <x:v>第2组</x:v>
      </x:c>
      <x:c r="E21" s="14" t="str">
        <x:v>遗响接棒 + 疾行拓地</x:v>
      </x:c>
      <x:c r="F21" s="14" t="str">
        <x:v>第3组</x:v>
      </x:c>
      <x:c r="G21" s="14" t="str">
        <x:v>标记围猎 + 控制围歼</x:v>
      </x:c>
    </x:row>
    <x:row r="23">
      <x:c r="A23" s="47" t="str">
        <x:v>UI反馈要求：触发时显示一个短关键词；标记与保护必须有目标线/图标；攻击计数和蜕变必须有进度；战后只先解释一个最大断点。完整流派图和触发时间线只在高手复盘入口出现。</x:v>
      </x:c>
      <x:c r="B23" s="47"/>
      <x:c r="C23" s="47"/>
      <x:c r="D23" s="47"/>
      <x:c r="E23" s="47"/>
      <x:c r="F23" s="47"/>
      <x:c r="G23" s="47"/>
    </x:row>
    <x:row r="24">
      <x:c r="A24" s="47"/>
      <x:c r="B24" s="47"/>
      <x:c r="C24" s="47"/>
      <x:c r="D24" s="47"/>
      <x:c r="E24" s="47"/>
      <x:c r="F24" s="47"/>
      <x:c r="G24" s="47"/>
    </x:row>
  </x:sheetData>
  <x:mergeCells>
    <x:mergeCell ref="A1:G1"/>
    <x:mergeCell ref="A2:G2"/>
    <x:mergeCell ref="A23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  <x:col min="3" max="3" width="58" hidden="0" customWidth="1"/>
    <x:col min="4" max="4" width="58" hidden="0" customWidth="1"/>
  </x:cols>
  <x:sheetData>
    <x:row r="1" ht="34" customHeight="1">
      <x:c r="A1" s="4" t="str">
        <x:v>来源、版本与版权边界</x:v>
      </x:c>
      <x:c r="B1" s="4"/>
      <x:c r="C1" s="4"/>
      <x:c r="D1" s="4"/>
    </x:row>
    <x:row r="2" ht="30" customHeight="1">
      <x:c r="A2" s="8" t="str">
        <x:v>项目文件优先；Valve与Blizzard官方页面只用于方法核验</x:v>
      </x:c>
      <x:c r="B2" s="8"/>
      <x:c r="C2" s="8"/>
      <x:c r="D2" s="8"/>
    </x:row>
    <x:row r="4" ht="32" customHeight="1">
      <x:c r="A4" s="14" t="str">
        <x:v>来源</x:v>
      </x:c>
      <x:c r="B4" s="14" t="str">
        <x:v>路径 / URL</x:v>
      </x:c>
      <x:c r="C4" s="14" t="str">
        <x:v>版本 / 哈希</x:v>
      </x:c>
      <x:c r="D4" s="14" t="str">
        <x:v>用途与边界</x:v>
      </x:c>
    </x:row>
    <x:row r="5" ht="62" customHeight="1">
      <x:c r="A5" s="35" t="str">
        <x:v>项目动物卡表</x:v>
      </x:c>
      <x:c r="B5" s="35" t="str">
        <x:v>D:/AI/zhanchengdashi/config/tables/cards.csv</x:v>
      </x:c>
      <x:c r="C5" s="35" t="str">
        <x:v>SHA256 93D09D8CA28C58358A6E8E3D80858CB3B83C095195087694942BBD7F75C9E510</x:v>
      </x:c>
      <x:c r="D5" s="35" t="str">
        <x:v>60只动物、品质、当前技能字段；只读。</x:v>
      </x:c>
    </x:row>
    <x:row r="6" ht="62" customHeight="1">
      <x:c r="A6" s="36" t="str">
        <x:v>当前游戏设计</x:v>
      </x:c>
      <x:c r="B6" s="36" t="str">
        <x:v>D:/AI/zhanchengdashi/docs/CURRENT_GAME_DESIGN.md</x:v>
      </x:c>
      <x:c r="C6" s="36" t="str">
        <x:v>SHA256 55B6132A7EE0559EEB0FD6C6BB1B233DF66128FDB856100E0408636C9A62C728</x:v>
      </x:c>
      <x:c r="D6" s="36" t="str">
        <x:v>八卡构筑、金矿与防御建筑必带、六动物位、地图推进；哈希已在并发账号任务完成后复核。</x:v>
      </x:c>
    </x:row>
    <x:row r="7" ht="62" customHeight="1">
      <x:c r="A7" s="36" t="str">
        <x:v>动物技能机制 v1</x:v>
      </x:c>
      <x:c r="B7" s="36" t="str">
        <x:v>outputs/019ff0ec-63ef-7f01-8d36-9be00ae2a670/战城大师_动物技能机制设计提案_v1.0.docx</x:v>
      </x:c>
      <x:c r="C7" s="36" t="str">
        <x:v>SHA256 0C77AD325AF00E65CF2518AEB688A8F74DBF39C4B3A376FD59BC27DCB8E10ABC</x:v>
      </x:c>
      <x:c r="D7" s="36" t="str">
        <x:v>12个原创机制与60只动物技能候选；v2做流派收敛。</x:v>
      </x:c>
    </x:row>
    <x:row r="8" ht="62" customHeight="1">
      <x:c r="A8" s="36" t="str">
        <x:v>Dota 6.48b 技能目录</x:v>
      </x:c>
      <x:c r="B8" s="36" t="str">
        <x:v>outputs/019feef3-0034-7a90-b271-0ef2a651b042/dota_allstars_6_48b_skill_catalog_2026-08-22.xlsx</x:v>
      </x:c>
      <x:c r="C8" s="36" t="str">
        <x:v>SHA256 30CF83352DF31C8EFE3A7BEC7C0856BDACD913FD52D4207CF5E758BB2EB6DC6F</x:v>
      </x:c>
      <x:c r="D8" s="36" t="str">
        <x:v>核对伤害、控制、召唤、强化、防御、资源等职责覆盖；不复制技能。</x:v>
      </x:c>
    </x:row>
    <x:row r="9" ht="62" customHeight="1">
      <x:c r="A9" s="36" t="str">
        <x:v>Hearthstone 参考工作簿</x:v>
      </x:c>
      <x:c r="B9" s="36" t="str">
        <x:v>outputs/019ff0ec-63ef-7f01-8d36-9be00ae2a670/hearthstone_card_reference_2026-08-13.xlsx</x:v>
      </x:c>
      <x:c r="C9" s="36" t="str">
        <x:v>SHA256 80A4DD355ED9BD13BB11B6164E3BFF6CAAE372248E5F78E1FA52F4BEF2E87AF3</x:v>
      </x:c>
      <x:c r="D9" s="36" t="str">
        <x:v>核对触发词分层、组合密度与构筑可读性；不分发卡面。</x:v>
      </x:c>
    </x:row>
    <x:row r="10" ht="62" customHeight="1">
      <x:c r="A10" s="36" t="str">
        <x:v>Valve Dota 2 Reborn</x:v>
      </x:c>
      <x:c r="B10" s="36" t="str">
        <x:v>https://www.dota2.com/reborn/part1?l=english</x:v>
      </x:c>
      <x:c r="C10" s="36" t="str">
        <x:v>官方页面，核验日 2026-08-23</x:v>
      </x:c>
      <x:c r="D10" s="36" t="str">
        <x:v>多职责筛选、新手先降低信息量、通过演示学习。</x:v>
      </x:c>
    </x:row>
    <x:row r="11" ht="62" customHeight="1">
      <x:c r="A11" s="36" t="str">
        <x:v>Valve Dueling Fates</x:v>
      </x:c>
      <x:c r="B11" s="36" t="str">
        <x:v>https://www.dota2.com/duelingfates?l=english</x:v>
      </x:c>
      <x:c r="C11" s="36" t="str">
        <x:v>官方页面，核验日 2026-08-23</x:v>
      </x:c>
      <x:c r="D11" s="36" t="str">
        <x:v>英雄可同时承担多个职责，组合并非单标签。</x:v>
      </x:c>
    </x:row>
    <x:row r="12" ht="62" customHeight="1">
      <x:c r="A12" s="36" t="str">
        <x:v>Blizzard Smart Deck Builder</x:v>
      </x:c>
      <x:c r="B12" s="36" t="str">
        <x:v>https://hearthstone.blizzard.com/en-us/news/22938500</x:v>
      </x:c>
      <x:c r="C12" s="36" t="str">
        <x:v>官方页面，核验日 2026-08-23</x:v>
      </x:c>
      <x:c r="D12" s="36" t="str">
        <x:v>先选核心、按原型聚类补全、按玩家水平调节、兼顾曲线和功能完整性。</x:v>
      </x:c>
    </x:row>
    <x:row r="13" ht="62" customHeight="1">
      <x:c r="A13" s="36" t="str">
        <x:v>Blizzard Hearthstone</x:v>
      </x:c>
      <x:c r="B13" s="36" t="str">
        <x:v>https://hearthstone.blizzard.com/en-us</x:v>
      </x:c>
      <x:c r="C13" s="36" t="str">
        <x:v>官方页面，核验日 2026-08-23</x:v>
      </x:c>
      <x:c r="D13" s="36" t="str">
        <x:v>低进入门槛与逐步开放深度的产品目标。</x:v>
      </x:c>
    </x:row>
    <x:row r="16">
      <x:c r="A16" s="29" t="str">
        <x:v>版权与原创边界：不得迁移 Dota 2 或《炉石传说》的角色、技能名、技能原文、卡名、费用/数值、地图、卡面、美术、图标、UI、音频、职业/种族体系或商业身份。允许采用的只有抽象方法：职责互补、核心牌先选、功能槽补全、反制可读、深度逐层开放。</x:v>
      </x:c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20">
      <x:c r="A20" s="47" t="str">
        <x:v>设计与实施边界：本工作簿不能导入运行时。可编辑 FigJam/Penpot 关系图当前 PENDING；本表的关系矩阵只用于评审。制作人批准后必须另建实施合同、配置字段、数值预算、模拟、Godot回归和玩家可见验收。</x:v>
      </x:c>
      <x:c r="B20" s="47"/>
      <x:c r="C20" s="47"/>
      <x:c r="D20" s="47"/>
    </x:row>
    <x:row r="21">
      <x:c r="A21" s="47"/>
      <x:c r="B21" s="47"/>
      <x:c r="C21" s="47"/>
      <x:c r="D21" s="47"/>
    </x:row>
    <x:row r="22">
      <x:c r="A22" s="47"/>
      <x:c r="B22" s="47"/>
      <x:c r="C22" s="47"/>
      <x:c r="D22" s="47"/>
    </x:row>
  </x:sheetData>
  <x:mergeCells>
    <x:mergeCell ref="A1:D1"/>
    <x:mergeCell ref="A2:D2"/>
    <x:mergeCell ref="A16:D18"/>
    <x:mergeCell ref="A20:D22"/>
  </x:mergeCells>
  <x:pageMargins left="0.7" right="0.7" top="0.75" bottom="0.75" header="0.3" footer="0.3"/>
</x:worksheet>
</file>