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b1d24c85e340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8dc11d7585cb4d8e"/>
    <x:sheet xmlns:r="http://schemas.openxmlformats.org/officeDocument/2006/relationships" name="品质与趣味预算" sheetId="2" r:id="R0f0fa26c1fad40bc"/>
    <x:sheet xmlns:r="http://schemas.openxmlformats.org/officeDocument/2006/relationships" name="60只轻量技能" sheetId="3" r:id="R834a056288144e25"/>
    <x:sheet xmlns:r="http://schemas.openxmlformats.org/officeDocument/2006/relationships" name="逐行质量检查" sheetId="4" r:id="Rec05b74d151e4699"/>
    <x:sheet xmlns:r="http://schemas.openxmlformats.org/officeDocument/2006/relationships" name="六流派轻量循环" sheetId="5" r:id="R41010bece1bd4449"/>
    <x:sheet xmlns:r="http://schemas.openxmlformats.org/officeDocument/2006/relationships" name="原型与验证" sheetId="6" r:id="Rbf0bff075c4346d6"/>
    <x:sheet xmlns:r="http://schemas.openxmlformats.org/officeDocument/2006/relationships" name="来源与边界" sheetId="7" r:id="R9fdec54b057d43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8"/>
      <x:color rgb="FFFFFFFF"/>
      <x:name val="Microsoft YaHei"/>
    </x:font>
    <x:font>
      <x:i/>
      <x:sz val="10"/>
      <x:color rgb="FF1F4E79"/>
      <x:name val="Microsoft YaHei"/>
    </x:font>
    <x:font>
      <x:b/>
      <x:sz val="10"/>
      <x:color rgb="FFFFFFFF"/>
      <x:name val="Microsoft YaHei"/>
    </x:font>
    <x:font>
      <x:sz val="10"/>
      <x:color rgb="FF182433"/>
      <x:name val="Microsoft YaHei"/>
    </x:font>
    <x:font>
      <x:b/>
      <x:sz val="11"/>
      <x:color rgb="FF7F6000"/>
      <x:name val="Microsoft YaHei"/>
    </x:font>
    <x:font>
      <x:b/>
      <x:sz val="10"/>
      <x:color rgb="FF9C0006"/>
      <x:name val="Microsoft YaHei"/>
    </x:font>
    <x:font>
      <x:sz val="9"/>
      <x:color rgb="FF182433"/>
      <x:name val="Microsoft YaHei"/>
    </x:font>
    <x:font>
      <x:b/>
      <x:sz val="10"/>
      <x:color rgb="FF17365D"/>
      <x:name val="Microsoft YaHei"/>
    </x:font>
    <x:font>
      <x:b/>
      <x:sz val="11"/>
      <x:color rgb="FF17365D"/>
      <x:name val="Microsoft YaHei"/>
    </x:font>
    <x:font>
      <x:b/>
      <x:sz val="10"/>
      <x:color rgb="FF7F6000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DF5FB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bottom style="thin">
        <x:color rgb="FFD8E0E8"/>
      </x:bottom>
    </x:border>
    <x:border>
      <x:top style="thin">
        <x:color rgb="FFD8E0E8"/>
      </x:top>
      <x:bottom style="thin">
        <x:color rgb="FFD8E0E8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9" fillId="7" borderId="2" xfId="0" applyNumberFormat="1" applyFont="1" applyFill="1" applyBorder="1" applyAlignment="1">
      <x:alignment vertical="center" wrapText="1"/>
    </x:xf>
    <x:xf numFmtId="0" fontId="9" fillId="7" borderId="3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182433"/>
      </x:font>
      <x:fill>
        <x:patternFill patternType="solid">
          <x:bgColor rgb="FFF7F9FB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5F497A"/>
      </x:font>
      <x:fill>
        <x:patternFill patternType="solid">
          <x:bgColor rgb="FFE4DFEC"/>
        </x:patternFill>
      </x:fill>
    </x:dxf>
    <x:dxf>
      <x:font>
        <x:b/>
        <x:color rgb="FF833C0C"/>
      </x:font>
      <x:fill>
        <x:patternFill patternType="solid">
          <x:bgColor rgb="FFF4B18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0e2583e8e347c7" /><Relationship Type="http://schemas.openxmlformats.org/officeDocument/2006/relationships/theme" Target="/xl/theme/theme1.xml" Id="Rc5c519922d8f44b6" /><Relationship Type="http://schemas.openxmlformats.org/officeDocument/2006/relationships/sharedStrings" Target="/xl/sharedStrings.xml" Id="Rdfae845487584a75" /><Relationship Type="http://schemas.openxmlformats.org/officeDocument/2006/relationships/worksheet" Target="/xl/worksheets/sheet1.xml" Id="R8dc11d7585cb4d8e" /><Relationship Type="http://schemas.openxmlformats.org/officeDocument/2006/relationships/worksheet" Target="/xl/worksheets/sheet2.xml" Id="R0f0fa26c1fad40bc" /><Relationship Type="http://schemas.openxmlformats.org/officeDocument/2006/relationships/worksheet" Target="/xl/worksheets/sheet3.xml" Id="R834a056288144e25" /><Relationship Type="http://schemas.openxmlformats.org/officeDocument/2006/relationships/worksheet" Target="/xl/worksheets/sheet4.xml" Id="Rec05b74d151e4699" /><Relationship Type="http://schemas.openxmlformats.org/officeDocument/2006/relationships/worksheet" Target="/xl/worksheets/sheet5.xml" Id="R41010bece1bd4449" /><Relationship Type="http://schemas.openxmlformats.org/officeDocument/2006/relationships/worksheet" Target="/xl/worksheets/sheet6.xml" Id="Rbf0bff075c4346d6" /><Relationship Type="http://schemas.openxmlformats.org/officeDocument/2006/relationships/worksheet" Target="/xl/worksheets/sheet7.xml" Id="R9fdec54b057d437b" /></Relationships>
</file>

<file path=xl/tables/table1.xml><?xml version="1.0" encoding="utf-8"?>
<x:table xmlns:x="http://schemas.openxmlformats.org/spreadsheetml/2006/main" id="1" name="LightFunSkillTable" displayName="LightFunSkillTable" ref="A4:Q64" headerRowCount="1" totalsRowCount="0" totalsRowShown="0">
  <x:tableColumns count="17">
    <x:tableColumn id="1" name="序号"/>
    <x:tableColumn id="2" name="ID"/>
    <x:tableColumn id="3" name="动物"/>
    <x:tableColumn id="4" name="品质"/>
    <x:tableColumn id="5" name="主流派"/>
    <x:tableColumn id="6" name="层级"/>
    <x:tableColumn id="7" name="次流派"/>
    <x:tableColumn id="8" name="技能名"/>
    <x:tableColumn id="9" name="触发"/>
    <x:tableColumn id="10" name="结果"/>
    <x:tableColumn id="11" name="一句规则"/>
    <x:tableColumn id="12" name="趣味类型"/>
    <x:tableColumn id="13" name="玩家可见瞬间"/>
    <x:tableColumn id="14" name="最小反制"/>
    <x:tableColumn id="15" name="公开限制/计数"/>
    <x:tableColumn id="16" name="实现复用/风险"/>
    <x:tableColumn id="17" name="原型阶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ghtFunCheckTable" displayName="LightFunCheckTable" ref="A4:R64" headerRowCount="1" totalsRowCount="0" totalsRowShown="0">
  <x:tableColumns count="18">
    <x:tableColumn id="1" name="ID"/>
    <x:tableColumn id="2" name="动物"/>
    <x:tableColumn id="3" name="品质"/>
    <x:tableColumn id="4" name="复杂度"/>
    <x:tableColumn id="5" name="品质上限"/>
    <x:tableColumn id="6" name="触发数"/>
    <x:tableColumn id="7" name="结果数"/>
    <x:tableColumn id="8" name="条件数"/>
    <x:tableColumn id="9" name="随机"/>
    <x:tableColumn id="10" name="隐藏计数"/>
    <x:tableColumn id="11" name="文案长度"/>
    <x:tableColumn id="12" name="长度上限"/>
    <x:tableColumn id="13" name="复杂度检查"/>
    <x:tableColumn id="14" name="结构检查"/>
    <x:tableColumn id="15" name="长度检查"/>
    <x:tableColumn id="16" name="趣味/反制"/>
    <x:tableColumn id="17" name="唯一ID"/>
    <x:tableColumn id="18" name="整行结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ightArchetypeTable" displayName="LightArchetypeTable" ref="A4:K10" headerRowCount="1" totalsRowCount="0" totalsRowShown="0">
  <x:tableColumns count="11">
    <x:tableColumn id="1" name="流派"/>
    <x:tableColumn id="2" name="一句话记忆"/>
    <x:tableColumn id="3" name="轻量循环"/>
    <x:tableColumn id="4" name="入门"/>
    <x:tableColumn id="5" name="深度来源"/>
    <x:tableColumn id="6" name="核心1"/>
    <x:tableColumn id="7" name="核心2"/>
    <x:tableColumn id="8" name="重要4只"/>
    <x:tableColumn id="9" name="交叉4只"/>
    <x:tableColumn id="10" name="标准六位"/>
    <x:tableColumn id="11" name="v2.1变化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83405c8ac1e46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ad61630d12844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53b7775fd224e6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3" hidden="0" customWidth="1"/>
    <x:col min="4" max="4" width="24" hidden="0" customWidth="1"/>
    <x:col min="5" max="5" width="24" hidden="0" customWidth="1"/>
    <x:col min="6" max="6" width="28" hidden="0" customWidth="1"/>
    <x:col min="7" max="7" width="32" hidden="0" customWidth="1"/>
    <x:col min="8" max="8" width="34" hidden="0" customWidth="1"/>
  </x:cols>
  <x:sheetData>
    <x:row r="1" ht="34" customHeight="1">
      <x:c r="A1" s="4" t="str">
        <x:v>战城大师｜60只动物轻量趣味技能矩阵 v2.1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REVIEW_ONLY / NOT AUTHORIZED FOR IMPLEMENTATION｜低品质更简单｜每只动物一个看得见的趣味瞬间</x:v>
      </x:c>
      <x:c r="B2" s="8"/>
      <x:c r="C2" s="8"/>
      <x:c r="D2" s="8"/>
      <x:c r="E2" s="8"/>
      <x:c r="F2" s="8"/>
      <x:c r="G2" s="8"/>
      <x:c r="H2" s="8"/>
    </x:row>
    <x:row r="4" ht="32" customHeight="1">
      <x:c r="A4" s="14" t="str">
        <x:v>校验项</x:v>
      </x:c>
      <x:c r="B4" s="14" t="str">
        <x:v>结果</x:v>
      </x:c>
      <x:c r="D4" s="14" t="str">
        <x:v>设计结论</x:v>
      </x:c>
      <x:c r="E4" s="14" t="str">
        <x:v>普通</x:v>
      </x:c>
      <x:c r="F4" s="14" t="str">
        <x:v>稀有</x:v>
      </x:c>
      <x:c r="G4" s="14" t="str">
        <x:v>史诗</x:v>
      </x:c>
      <x:c r="H4" s="14" t="str">
        <x:v>传说</x:v>
      </x:c>
    </x:row>
    <x:row r="5" ht="48" customHeight="1">
      <x:c r="A5" s="20" t="str">
        <x:v>动物技能行</x:v>
      </x:c>
      <x:c r="B5" s="20" t="n">
        <x:f>COUNTA('60只轻量技能'!$B$5:$B$64)</x:f>
        <x:v>60</x:v>
      </x:c>
      <x:c r="D5" s="20" t="str">
        <x:v>复杂度上限</x:v>
      </x:c>
      <x:c r="E5" s="20" t="str">
        <x:v>1/5</x:v>
      </x:c>
      <x:c r="F5" s="20" t="str">
        <x:v>2/5</x:v>
      </x:c>
      <x:c r="G5" s="20" t="str">
        <x:v>3/5</x:v>
      </x:c>
      <x:c r="H5" s="20" t="str">
        <x:v>4/5</x:v>
      </x:c>
    </x:row>
    <x:row r="6" ht="48" customHeight="1">
      <x:c r="A6" s="21" t="str">
        <x:v>唯一ID与cards.csv一致</x:v>
      </x:c>
      <x:c r="B6" s="21" t="str">
        <x:f>IF(AND(B5=60,COUNTIF('逐行质量检查'!$Q$5:$Q$64,"PASS")=60),"PASS","FAIL")</x:f>
        <x:v>PASS</x:v>
      </x:c>
      <x:c r="D6" s="21" t="str">
        <x:v>规则形态</x:v>
      </x:c>
      <x:c r="E6" s="21" t="str">
        <x:v>1触发+1结果</x:v>
      </x:c>
      <x:c r="F6" s="21" t="str">
        <x:v>再加1个直观对象/条件</x:v>
      </x:c>
      <x:c r="G6" s="21" t="str">
        <x:v>1个组合/位置/时机钩子</x:v>
      </x:c>
      <x:c r="H6" s="21" t="str">
        <x:v>1个大场面+1个公开限制</x:v>
      </x:c>
    </x:row>
    <x:row r="7" ht="48" customHeight="1">
      <x:c r="A7" s="21" t="str">
        <x:v>六流派各10只</x:v>
      </x:c>
      <x:c r="B7" s="21" t="str">
        <x:f>IF(AND(COUNTIF('60只轻量技能'!$E$5:$E$64,"群潮推进")=10,COUNTIF('60只轻量技能'!$E$5:$E$64,"遗响接棒")=10,COUNTIF('60只轻量技能'!$E$5:$E$64,"护群反攻")=10,COUNTIF('60只轻量技能'!$E$5:$E$64,"疾行拓地")=10,COUNTIF('60只轻量技能'!$E$5:$E$64,"标记围猎")=10,COUNTIF('60只轻量技能'!$E$5:$E$64,"控制围歼")=10),"PASS","FAIL")</x:f>
        <x:v>PASS</x:v>
      </x:c>
      <x:c r="D7" s="21" t="str">
        <x:v>文案上限</x:v>
      </x:c>
      <x:c r="E7" s="21" t="str">
        <x:v>24字</x:v>
      </x:c>
      <x:c r="F7" s="21" t="str">
        <x:v>30字</x:v>
      </x:c>
      <x:c r="G7" s="21" t="str">
        <x:v>38字</x:v>
      </x:c>
      <x:c r="H7" s="21" t="str">
        <x:v>48字</x:v>
      </x:c>
    </x:row>
    <x:row r="8" ht="48" customHeight="1">
      <x:c r="A8" s="21" t="str">
        <x:v>2核心/4重要/4交叉</x:v>
      </x:c>
      <x:c r="B8" s="21" t="str">
        <x:f>IF(AND(COUNTIF('60只轻量技能'!$F$5:$F$64,"核心")=12,COUNTIF('60只轻量技能'!$F$5:$F$64,"重要")=24,COUNTIF('60只轻量技能'!$F$5:$F$64,"交叉")=24),"PASS","FAIL")</x:f>
        <x:v>PASS</x:v>
      </x:c>
      <x:c r="D8" s="21" t="str">
        <x:v>玩家任务</x:v>
      </x:c>
      <x:c r="E8" s="21" t="str">
        <x:v>学一个动词</x:v>
      </x:c>
      <x:c r="F8" s="21" t="str">
        <x:v>选对对象</x:v>
      </x:c>
      <x:c r="G8" s="21" t="str">
        <x:v>接到队友之后</x:v>
      </x:c>
      <x:c r="H8" s="21" t="str">
        <x:v>围绕公开窗口安排时机</x:v>
      </x:c>
    </x:row>
    <x:row r="9">
      <x:c r="A9" s="21" t="str">
        <x:v>普通10只全部通过</x:v>
      </x:c>
      <x:c r="B9" s="21" t="str">
        <x:f>IF(COUNTIFS('逐行质量检查'!$C$5:$C$64,"普通",'逐行质量检查'!$R$5:$R$64,"PASS")=10,"PASS","FAIL")</x:f>
        <x:v>PASS</x:v>
      </x:c>
    </x:row>
    <x:row r="10">
      <x:c r="A10" s="21" t="str">
        <x:v>稀有9只全部通过</x:v>
      </x:c>
      <x:c r="B10" s="21" t="str">
        <x:f>IF(COUNTIFS('逐行质量检查'!$C$5:$C$64,"稀有",'逐行质量检查'!$R$5:$R$64,"PASS")=9,"PASS","FAIL")</x:f>
        <x:v>PASS</x:v>
      </x:c>
      <x:c r="D10" s="25" t="str">
        <x:v>一句话规则：一只动物只负责一个可复述的好玩瞬间；品质提高只增加选择与表演，不增加记账。</x:v>
      </x:c>
      <x:c r="E10" s="25"/>
      <x:c r="F10" s="25"/>
      <x:c r="G10" s="25"/>
      <x:c r="H10" s="25"/>
    </x:row>
    <x:row r="11">
      <x:c r="A11" s="21" t="str">
        <x:v>史诗21只全部通过</x:v>
      </x:c>
      <x:c r="B11" s="21" t="str">
        <x:f>IF(COUNTIFS('逐行质量检查'!$C$5:$C$64,"史诗",'逐行质量检查'!$R$5:$R$64,"PASS")=21,"PASS","FAIL")</x:f>
        <x:v>PASS</x:v>
      </x:c>
      <x:c r="D11" s="25"/>
      <x:c r="E11" s="25"/>
      <x:c r="F11" s="25"/>
      <x:c r="G11" s="25"/>
      <x:c r="H11" s="25"/>
    </x:row>
    <x:row r="12">
      <x:c r="A12" s="21" t="str">
        <x:v>传说20只全部通过</x:v>
      </x:c>
      <x:c r="B12" s="21" t="str">
        <x:f>IF(COUNTIFS('逐行质量检查'!$C$5:$C$64,"传说",'逐行质量检查'!$R$5:$R$64,"PASS")=20,"PASS","FAIL")</x:f>
        <x:v>PASS</x:v>
      </x:c>
      <x:c r="D12" s="25"/>
      <x:c r="E12" s="25"/>
      <x:c r="F12" s="25"/>
      <x:c r="G12" s="25"/>
      <x:c r="H12" s="25"/>
    </x:row>
    <x:row r="13">
      <x:c r="A13" s="21" t="str">
        <x:v>复杂度检查</x:v>
      </x:c>
      <x:c r="B13" s="21" t="str">
        <x:f>IF(COUNTIF('逐行质量检查'!$M$5:$M$64,"PASS")=60,"PASS","FAIL")</x:f>
        <x:v>PASS</x:v>
      </x:c>
    </x:row>
    <x:row r="14">
      <x:c r="A14" s="21" t="str">
        <x:v>结构检查</x:v>
      </x:c>
      <x:c r="B14" s="21" t="str">
        <x:f>IF(COUNTIF('逐行质量检查'!$N$5:$N$64,"PASS")=60,"PASS","FAIL")</x:f>
        <x:v>PASS</x:v>
      </x:c>
      <x:c r="D14" s="29" t="str">
        <x:v>边界：本工作簿为 REVIEW_ONLY 设计候选，不能导入卡表或运行时。v2.0 的六流派、60只归属与2+2+2结构保持不变；v2.1只重做复杂度和趣味技能。</x:v>
      </x:c>
      <x:c r="E14" s="29"/>
      <x:c r="F14" s="29"/>
      <x:c r="G14" s="29"/>
      <x:c r="H14" s="29"/>
    </x:row>
    <x:row r="15">
      <x:c r="A15" s="21" t="str">
        <x:v>文案长度检查</x:v>
      </x:c>
      <x:c r="B15" s="21" t="str">
        <x:f>IF(COUNTIF('逐行质量检查'!$O$5:$O$64,"PASS")=60,"PASS","FAIL")</x:f>
        <x:v>PASS</x:v>
      </x:c>
      <x:c r="D15" s="29"/>
      <x:c r="E15" s="29"/>
      <x:c r="F15" s="29"/>
      <x:c r="G15" s="29"/>
      <x:c r="H15" s="29"/>
    </x:row>
    <x:row r="16">
      <x:c r="A16" s="21" t="str">
        <x:v>趣味/反制字段</x:v>
      </x:c>
      <x:c r="B16" s="21" t="str">
        <x:f>IF(COUNTIF('逐行质量检查'!$P$5:$P$64,"PASS")=60,"PASS","FAIL")</x:f>
        <x:v>PASS</x:v>
      </x:c>
      <x:c r="D16" s="29"/>
      <x:c r="E16" s="29"/>
      <x:c r="F16" s="29"/>
      <x:c r="G16" s="29"/>
      <x:c r="H16" s="29"/>
    </x:row>
    <x:row r="17">
      <x:c r="A17" s="21" t="str">
        <x:v>总门禁</x:v>
      </x:c>
      <x:c r="B17" s="21" t="str">
        <x:f>IF(COUNTIF(B6:B16,"FAIL")=0,"PASS","FAIL")</x:f>
        <x:v>PASS</x:v>
      </x:c>
      <x:c r="D17" s="29"/>
      <x:c r="E17" s="29"/>
      <x:c r="F17" s="29"/>
      <x:c r="G17" s="29"/>
      <x:c r="H17" s="29"/>
    </x:row>
  </x:sheetData>
  <x:mergeCells>
    <x:mergeCell ref="A1:H1"/>
    <x:mergeCell ref="A2:H2"/>
    <x:mergeCell ref="D10:H12"/>
    <x:mergeCell ref="D14:H17"/>
  </x:mergeCells>
  <x:conditionalFormatting sqref="B5:B17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6" hidden="0" customWidth="1"/>
    <x:col min="5" max="5" width="20" hidden="0" customWidth="1"/>
    <x:col min="6" max="6" width="16" hidden="0" customWidth="1"/>
    <x:col min="7" max="7" width="36" hidden="0" customWidth="1"/>
    <x:col min="8" max="8" width="46" hidden="0" customWidth="1"/>
  </x:cols>
  <x:sheetData>
    <x:row r="1" ht="34" customHeight="1">
      <x:c r="A1" s="4" t="str">
        <x:v>品质与趣味预算｜可机检的简单上限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品质提高只增加选择与表演，不增加随机、隐藏叠层或卡内小游戏</x:v>
      </x:c>
      <x:c r="B2" s="8"/>
      <x:c r="C2" s="8"/>
      <x:c r="D2" s="8"/>
      <x:c r="E2" s="8"/>
      <x:c r="F2" s="8"/>
      <x:c r="G2" s="8"/>
      <x:c r="H2" s="8"/>
    </x:row>
    <x:row r="4" ht="32" customHeight="1">
      <x:c r="A4" s="14" t="str">
        <x:v>品质</x:v>
      </x:c>
      <x:c r="B4" s="14" t="str">
        <x:v>复杂度上限</x:v>
      </x:c>
      <x:c r="C4" s="14" t="str">
        <x:v>触发上限</x:v>
      </x:c>
      <x:c r="D4" s="14" t="str">
        <x:v>结果上限</x:v>
      </x:c>
      <x:c r="E4" s="14" t="str">
        <x:v>额外条件上限</x:v>
      </x:c>
      <x:c r="F4" s="14" t="str">
        <x:v>文案上限</x:v>
      </x:c>
      <x:c r="G4" s="14" t="str">
        <x:v>玩家任务</x:v>
      </x:c>
      <x:c r="H4" s="14" t="str">
        <x:v>硬规则</x:v>
      </x:c>
    </x:row>
    <x:row r="5" ht="70" customHeight="1">
      <x:c r="A5" s="35" t="str">
        <x:v>普通</x:v>
      </x:c>
      <x:c r="B5" s="35" t="n">
        <x:v>1</x:v>
      </x:c>
      <x:c r="C5" s="35" t="n">
        <x:v>1</x:v>
      </x:c>
      <x:c r="D5" s="35" t="n">
        <x:v>1</x:v>
      </x:c>
      <x:c r="E5" s="35" t="n">
        <x:v>0</x:v>
      </x:c>
      <x:c r="F5" s="35" t="n">
        <x:v>24</x:v>
      </x:c>
      <x:c r="G5" s="35" t="str">
        <x:v>看一次就学会一个战斗动词。</x:v>
      </x:c>
      <x:c r="H5" s="35" t="str">
        <x:v>1个触发 + 1个结果；无额外条件、概率、叠层、隐藏计数。</x:v>
      </x:c>
    </x:row>
    <x:row r="6" ht="70" customHeight="1">
      <x:c r="A6" s="36" t="str">
        <x:v>稀有</x:v>
      </x:c>
      <x:c r="B6" s="36" t="n">
        <x:v>2</x:v>
      </x:c>
      <x:c r="C6" s="36" t="n">
        <x:v>1</x:v>
      </x:c>
      <x:c r="D6" s="36" t="n">
        <x:v>1</x:v>
      </x:c>
      <x:c r="E6" s="36" t="n">
        <x:v>1</x:v>
      </x:c>
      <x:c r="F6" s="36" t="n">
        <x:v>30</x:v>
      </x:c>
      <x:c r="G6" s="36" t="str">
        <x:v>学会把一个动作放到正确对象上。</x:v>
      </x:c>
      <x:c r="H6" s="36" t="str">
        <x:v>1个触发 + 1个结果；最多1个直观对象或条件。</x:v>
      </x:c>
    </x:row>
    <x:row r="7" ht="70" customHeight="1">
      <x:c r="A7" s="36" t="str">
        <x:v>史诗</x:v>
      </x:c>
      <x:c r="B7" s="36" t="n">
        <x:v>3</x:v>
      </x:c>
      <x:c r="C7" s="36" t="n">
        <x:v>1</x:v>
      </x:c>
      <x:c r="D7" s="36" t="n">
        <x:v>2</x:v>
      </x:c>
      <x:c r="E7" s="36" t="n">
        <x:v>1</x:v>
      </x:c>
      <x:c r="F7" s="36" t="n">
        <x:v>38</x:v>
      </x:c>
      <x:c r="G7" s="36" t="str">
        <x:v>决定何时把有趣动作接到队友之后。</x:v>
      </x:c>
      <x:c r="H7" s="36" t="str">
        <x:v>最多1个组合、位置或时机钩子；最多2个同一动作内的结果。</x:v>
      </x:c>
    </x:row>
    <x:row r="8" ht="70" customHeight="1">
      <x:c r="A8" s="36" t="str">
        <x:v>传说</x:v>
      </x:c>
      <x:c r="B8" s="36" t="n">
        <x:v>4</x:v>
      </x:c>
      <x:c r="C8" s="36" t="n">
        <x:v>1</x:v>
      </x:c>
      <x:c r="D8" s="36" t="n">
        <x:v>2</x:v>
      </x:c>
      <x:c r="E8" s="36" t="n">
        <x:v>1</x:v>
      </x:c>
      <x:c r="F8" s="36" t="n">
        <x:v>48</x:v>
      </x:c>
      <x:c r="G8" s="36" t="str">
        <x:v>围绕一次能被记住的大动作安排时机。</x:v>
      </x:c>
      <x:c r="H8" s="36" t="str">
        <x:v>1个大场面 + 最多1个公开限制或公开计数；不做卡内小游戏。</x:v>
      </x:c>
    </x:row>
    <x:row r="11" ht="32" customHeight="1">
      <x:c r="A11" s="14" t="str">
        <x:v>趣味类型</x:v>
      </x:c>
      <x:c r="B11" s="14" t="str">
        <x:v>玩家期待</x:v>
      </x:c>
      <x:c r="C11" s="14" t="str">
        <x:v>最小反馈</x:v>
      </x:c>
      <x:c r="D11" s="14" t="str">
        <x:v>技能数量</x:v>
      </x:c>
      <x:c r="E11" s="14" t="str">
        <x:v>分布检查</x:v>
      </x:c>
      <x:c r="G11" s="25" t="str">
        <x:v>三秒趣味测试
1. 先预告
2. 做一个主动作
3. 结果立刻可读
4. 对手知道怎样拆</x:v>
      </x:c>
      <x:c r="H11" s="25"/>
    </x:row>
    <x:row r="12" ht="54" customHeight="1">
      <x:c r="A12" s="20" t="str">
        <x:v>惊喜增援</x:v>
      </x:c>
      <x:c r="B12" s="20" t="str">
        <x:v>场上突然多出一个同伴或接班者。</x:v>
      </x:c>
      <x:c r="C12" s="20" t="str">
        <x:v>钻出、跳出或从身后登场。</x:v>
      </x:c>
      <x:c r="D12" s="20" t="n">
        <x:f>COUNTIF('60只轻量技能'!$L$5:$L$64,A12)</x:f>
        <x:v>4</x:v>
      </x:c>
      <x:c r="E12" s="20" t="str">
        <x:f>IF(D12&gt;0,"PASS","FAIL")</x:f>
        <x:v>PASS</x:v>
      </x:c>
      <x:c r="G12" s="25"/>
      <x:c r="H12" s="25"/>
    </x:row>
    <x:row r="13" ht="54" customHeight="1">
      <x:c r="A13" s="21" t="str">
        <x:v>动作喜剧</x:v>
      </x:c>
      <x:c r="B13" s="21" t="str">
        <x:v>动物做出符合性格的夸张动作。</x:v>
      </x:c>
      <x:c r="C13" s="21" t="str">
        <x:v>拉、顶、踢、吐、跺脚、翻滚。</x:v>
      </x:c>
      <x:c r="D13" s="21" t="n">
        <x:f>COUNTIF('60只轻量技能'!$L$5:$L$64,A13)</x:f>
        <x:v>8</x:v>
      </x:c>
      <x:c r="E13" s="21" t="str">
        <x:f>IF(D13&gt;0,"PASS","FAIL")</x:f>
        <x:v>PASS</x:v>
      </x:c>
      <x:c r="G13" s="25"/>
      <x:c r="H13" s="25"/>
    </x:row>
    <x:row r="14" ht="54" customHeight="1">
      <x:c r="A14" s="21" t="str">
        <x:v>队友接力</x:v>
      </x:c>
      <x:c r="B14" s="21" t="str">
        <x:v>一个动作会让队友立刻接上下一拍。</x:v>
      </x:c>
      <x:c r="C14" s="21" t="str">
        <x:v>补咬、补击、排队、拍掌、结伴。</x:v>
      </x:c>
      <x:c r="D14" s="21" t="n">
        <x:f>COUNTIF('60只轻量技能'!$L$5:$L$64,A14)</x:f>
        <x:v>10</x:v>
      </x:c>
      <x:c r="E14" s="21" t="str">
        <x:f>IF(D14&gt;0,"PASS","FAIL")</x:f>
        <x:v>PASS</x:v>
      </x:c>
      <x:c r="G14" s="25"/>
      <x:c r="H14" s="25"/>
    </x:row>
    <x:row r="15" ht="54" customHeight="1">
      <x:c r="A15" s="21" t="str">
        <x:v>救援反转</x:v>
      </x:c>
      <x:c r="B15" s="21" t="str">
        <x:v>快要吃亏时，有动物冲来救场。</x:v>
      </x:c>
      <x:c r="C15" s="21" t="str">
        <x:v>挡击、拉回、缩壳、泡泡、反击。</x:v>
      </x:c>
      <x:c r="D15" s="21" t="n">
        <x:f>COUNTIF('60只轻量技能'!$L$5:$L$64,A15)</x:f>
        <x:v>13</x:v>
      </x:c>
      <x:c r="E15" s="21" t="str">
        <x:f>IF(D15&gt;0,"PASS","FAIL")</x:f>
        <x:v>PASS</x:v>
      </x:c>
    </x:row>
    <x:row r="16" ht="54" customHeight="1">
      <x:c r="A16" s="21" t="str">
        <x:v>追逐猎杀</x:v>
      </x:c>
      <x:c r="B16" s="21" t="str">
        <x:v>点名一个目标后出现清楚的追逐。</x:v>
      </x:c>
      <x:c r="C16" s="21" t="str">
        <x:v>标记线、扑击轨迹和换目标动作。</x:v>
      </x:c>
      <x:c r="D16" s="21" t="n">
        <x:f>COUNTIF('60只轻量技能'!$L$5:$L$64,A16)</x:f>
        <x:v>9</x:v>
      </x:c>
      <x:c r="E16" s="21" t="str">
        <x:f>IF(D16&gt;0,"PASS","FAIL")</x:f>
        <x:v>PASS</x:v>
      </x:c>
      <x:c r="G16" s="40" t="str">
        <x:v>低品质不是过渡废卡：普通与稀有凭稳定、短读、明确功能位和低执行风险保留长期构筑价值。平衡优先调属性与召唤节奏，不给它们补长文本。</x:v>
      </x:c>
      <x:c r="H16" s="40"/>
    </x:row>
    <x:row r="17" ht="54" customHeight="1">
      <x:c r="A17" s="21" t="str">
        <x:v>成长期待</x:v>
      </x:c>
      <x:c r="B17" s="21" t="str">
        <x:v>玩家能期待倒计时结束、长大或掉出奖励。</x:v>
      </x:c>
      <x:c r="C17" s="21" t="str">
        <x:v>公开计时环、变身和掉落物。</x:v>
      </x:c>
      <x:c r="D17" s="21" t="n">
        <x:f>COUNTIF('60只轻量技能'!$L$5:$L$64,A17)</x:f>
        <x:v>7</x:v>
      </x:c>
      <x:c r="E17" s="21" t="str">
        <x:f>IF(D17&gt;0,"PASS","FAIL")</x:f>
        <x:v>PASS</x:v>
      </x:c>
      <x:c r="G17" s="40"/>
      <x:c r="H17" s="40"/>
    </x:row>
    <x:row r="18" ht="54" customHeight="1">
      <x:c r="A18" s="21" t="str">
        <x:v>路线抢点</x:v>
      </x:c>
      <x:c r="B18" s="21" t="str">
        <x:v>一次占领自然接到下一格或让地块更稳。</x:v>
      </x:c>
      <x:c r="C18" s="21" t="str">
        <x:v>飞行路线、冲锋箭头、占领后补给。</x:v>
      </x:c>
      <x:c r="D18" s="21" t="n">
        <x:f>COUNTIF('60只轻量技能'!$L$5:$L$64,A18)</x:f>
        <x:v>9</x:v>
      </x:c>
      <x:c r="E18" s="21" t="str">
        <x:f>IF(D18&gt;0,"PASS","FAIL")</x:f>
        <x:v>PASS</x:v>
      </x:c>
      <x:c r="G18" s="40"/>
      <x:c r="H18" s="40"/>
    </x:row>
    <x:row r="19">
      <x:c r="G19" s="40"/>
      <x:c r="H19" s="40"/>
    </x:row>
  </x:sheetData>
  <x:mergeCells>
    <x:mergeCell ref="A1:H1"/>
    <x:mergeCell ref="A2:H2"/>
    <x:mergeCell ref="G11:H14"/>
    <x:mergeCell ref="G16:H19"/>
  </x:mergeCells>
  <x:conditionalFormatting sqref="E12:E18">
    <x:cfRule type="containsText" dxfId="2" priority="1" operator="containsText" text="PASS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11" hidden="0" customWidth="1"/>
    <x:col min="4" max="4" width="9" hidden="0" customWidth="1"/>
    <x:col min="5" max="5" width="15" hidden="0" customWidth="1"/>
    <x:col min="6" max="6" width="10" hidden="0" customWidth="1"/>
    <x:col min="7" max="7" width="15" hidden="0" customWidth="1"/>
    <x:col min="8" max="8" width="16" hidden="0" customWidth="1"/>
    <x:col min="9" max="9" width="24" hidden="0" customWidth="1"/>
    <x:col min="10" max="10" width="30" hidden="0" customWidth="1"/>
    <x:col min="11" max="11" width="42" hidden="0" customWidth="1"/>
    <x:col min="12" max="12" width="16" hidden="0" customWidth="1"/>
    <x:col min="13" max="13" width="46" hidden="0" customWidth="1"/>
    <x:col min="14" max="14" width="40" hidden="0" customWidth="1"/>
    <x:col min="15" max="15" width="34" hidden="0" customWidth="1"/>
    <x:col min="16" max="16" width="36" hidden="0" customWidth="1"/>
    <x:col min="17" max="17" width="14" hidden="0" customWidth="1"/>
  </x:cols>
  <x:sheetData>
    <x:row r="1" ht="34" customHeight="1">
      <x:c r="A1" s="4" t="str">
        <x:v>60只动物轻量趣味技能｜完整候选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0" customHeight="1">
      <x:c r="A2" s="8" t="str">
        <x:v>流派与层级沿用v2.0；技能名、规则、趣味瞬间和反制为v2.1新设计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4" ht="32" customHeight="1">
      <x:c r="A4" s="14" t="str">
        <x:v>序号</x:v>
      </x:c>
      <x:c r="B4" s="14" t="str">
        <x:v>ID</x:v>
      </x:c>
      <x:c r="C4" s="14" t="str">
        <x:v>动物</x:v>
      </x:c>
      <x:c r="D4" s="14" t="str">
        <x:v>品质</x:v>
      </x:c>
      <x:c r="E4" s="14" t="str">
        <x:v>主流派</x:v>
      </x:c>
      <x:c r="F4" s="14" t="str">
        <x:v>层级</x:v>
      </x:c>
      <x:c r="G4" s="14" t="str">
        <x:v>次流派</x:v>
      </x:c>
      <x:c r="H4" s="14" t="str">
        <x:v>技能名</x:v>
      </x:c>
      <x:c r="I4" s="14" t="str">
        <x:v>触发</x:v>
      </x:c>
      <x:c r="J4" s="14" t="str">
        <x:v>结果</x:v>
      </x:c>
      <x:c r="K4" s="14" t="str">
        <x:v>一句规则</x:v>
      </x:c>
      <x:c r="L4" s="14" t="str">
        <x:v>趣味类型</x:v>
      </x:c>
      <x:c r="M4" s="14" t="str">
        <x:v>玩家可见瞬间</x:v>
      </x:c>
      <x:c r="N4" s="14" t="str">
        <x:v>最小反制</x:v>
      </x:c>
      <x:c r="O4" s="14" t="str">
        <x:v>公开限制/计数</x:v>
      </x:c>
      <x:c r="P4" s="14" t="str">
        <x:v>实现复用/风险</x:v>
      </x:c>
      <x:c r="Q4" s="14" t="str">
        <x:v>原型阶段</x:v>
      </x:c>
    </x:row>
    <x:row r="5" ht="72" customHeight="1">
      <x:c r="A5" s="41" t="n">
        <x:v>1</x:v>
      </x:c>
      <x:c r="B5" s="35" t="str">
        <x:v>mouse</x:v>
      </x:c>
      <x:c r="C5" s="41" t="str">
        <x:v>老鼠</x:v>
      </x:c>
      <x:c r="D5" s="41" t="str">
        <x:v>普通</x:v>
      </x:c>
      <x:c r="E5" s="41" t="str">
        <x:v>群潮推进</x:v>
      </x:c>
      <x:c r="F5" s="41" t="str">
        <x:v>核心</x:v>
      </x:c>
      <x:c r="G5" s="41" t="str">
        <x:v>—</x:v>
      </x:c>
      <x:c r="H5" s="41" t="str">
        <x:v>尾巴后面</x:v>
      </x:c>
      <x:c r="I5" s="41" t="str">
        <x:v>登场</x:v>
      </x:c>
      <x:c r="J5" s="41" t="str">
        <x:v>召唤1只幼鼠</x:v>
      </x:c>
      <x:c r="K5" s="35" t="str">
        <x:v>登场：身后钻出1只幼鼠。</x:v>
      </x:c>
      <x:c r="L5" s="41" t="str">
        <x:v>惊喜增援</x:v>
      </x:c>
      <x:c r="M5" s="35" t="str">
        <x:v>幼鼠从老鼠尾巴后面探头再加入队伍。</x:v>
      </x:c>
      <x:c r="N5" s="35" t="str">
        <x:v>在两只站稳前用范围攻击一起处理。</x:v>
      </x:c>
      <x:c r="O5" s="35" t="str">
        <x:v>无</x:v>
      </x:c>
      <x:c r="P5" s="35" t="str">
        <x:v>复用召唤物与后方落点；中风险</x:v>
      </x:c>
      <x:c r="Q5" s="41" t="str">
        <x:v>A 普通</x:v>
      </x:c>
    </x:row>
    <x:row r="6" ht="72" customHeight="1">
      <x:c r="A6" s="42" t="n">
        <x:v>2</x:v>
      </x:c>
      <x:c r="B6" s="36" t="str">
        <x:v>ant</x:v>
      </x:c>
      <x:c r="C6" s="42" t="str">
        <x:v>蚂蚁</x:v>
      </x:c>
      <x:c r="D6" s="42" t="str">
        <x:v>普通</x:v>
      </x:c>
      <x:c r="E6" s="42" t="str">
        <x:v>群潮推进</x:v>
      </x:c>
      <x:c r="F6" s="42" t="str">
        <x:v>核心</x:v>
      </x:c>
      <x:c r="G6" s="42" t="str">
        <x:v>—</x:v>
      </x:c>
      <x:c r="H6" s="42" t="str">
        <x:v>一起啃</x:v>
      </x:c>
      <x:c r="I6" s="42" t="str">
        <x:v>攻击建筑</x:v>
      </x:c>
      <x:c r="J6" s="42" t="str">
        <x:v>额外造成1点伤害</x:v>
      </x:c>
      <x:c r="K6" s="36" t="str">
        <x:v>攻击建筑：小队一起啃，额外造成1点伤害。</x:v>
      </x:c>
      <x:c r="L6" s="42" t="str">
        <x:v>队友接力</x:v>
      </x:c>
      <x:c r="M6" s="36" t="str">
        <x:v>几只小蚂蚁排成一列同时咬建筑。</x:v>
      </x:c>
      <x:c r="N6" s="36" t="str">
        <x:v>在它接触建筑前击退或击杀。</x:v>
      </x:c>
      <x:c r="O6" s="36" t="str">
        <x:v>无</x:v>
      </x:c>
      <x:c r="P6" s="36" t="str">
        <x:v>复用建筑目标与伤害修正；低风险</x:v>
      </x:c>
      <x:c r="Q6" s="42" t="str">
        <x:v>A 普通</x:v>
      </x:c>
    </x:row>
    <x:row r="7" ht="72" customHeight="1">
      <x:c r="A7" s="42" t="n">
        <x:v>3</x:v>
      </x:c>
      <x:c r="B7" s="36" t="str">
        <x:v>sparrow</x:v>
      </x:c>
      <x:c r="C7" s="42" t="str">
        <x:v>麻雀</x:v>
      </x:c>
      <x:c r="D7" s="42" t="str">
        <x:v>普通</x:v>
      </x:c>
      <x:c r="E7" s="42" t="str">
        <x:v>疾行拓地</x:v>
      </x:c>
      <x:c r="F7" s="42" t="str">
        <x:v>核心</x:v>
      </x:c>
      <x:c r="G7" s="42" t="str">
        <x:v>—</x:v>
      </x:c>
      <x:c r="H7" s="42" t="str">
        <x:v>下一格！</x:v>
      </x:c>
      <x:c r="I7" s="42" t="str">
        <x:v>完成占领</x:v>
      </x:c>
      <x:c r="J7" s="42" t="str">
        <x:v>飞向下一块敌方地块</x:v>
      </x:c>
      <x:c r="K7" s="36" t="str">
        <x:v>完成占领：立刻飞向下一块敌方地块。</x:v>
      </x:c>
      <x:c r="L7" s="42" t="str">
        <x:v>路线抢点</x:v>
      </x:c>
      <x:c r="M7" s="36" t="str">
        <x:v>占领完成后画出短箭头，麻雀嗖地飞走。</x:v>
      </x:c>
      <x:c r="N7" s="36" t="str">
        <x:v>守住它下一块必经地，不追着当前地块跑。</x:v>
      </x:c>
      <x:c r="O7" s="36" t="str">
        <x:v>无</x:v>
      </x:c>
      <x:c r="P7" s="36" t="str">
        <x:v>需要占领后目标选择与飞行路径；中风险</x:v>
      </x:c>
      <x:c r="Q7" s="42" t="str">
        <x:v>A 普通</x:v>
      </x:c>
    </x:row>
    <x:row r="8" ht="72" customHeight="1">
      <x:c r="A8" s="42" t="n">
        <x:v>4</x:v>
      </x:c>
      <x:c r="B8" s="36" t="str">
        <x:v>frog</x:v>
      </x:c>
      <x:c r="C8" s="42" t="str">
        <x:v>青蛙</x:v>
      </x:c>
      <x:c r="D8" s="42" t="str">
        <x:v>普通</x:v>
      </x:c>
      <x:c r="E8" s="42" t="str">
        <x:v>控制围歼</x:v>
      </x:c>
      <x:c r="F8" s="42" t="str">
        <x:v>核心</x:v>
      </x:c>
      <x:c r="G8" s="42" t="str">
        <x:v>—</x:v>
      </x:c>
      <x:c r="H8" s="42" t="str">
        <x:v>舌头过来</x:v>
      </x:c>
      <x:c r="I8" s="42" t="str">
        <x:v>首次攻击</x:v>
      </x:c>
      <x:c r="J8" s="42" t="str">
        <x:v>把目标拉近一格</x:v>
      </x:c>
      <x:c r="K8" s="36" t="str">
        <x:v>首次攻击：用舌头把目标拉近一格。</x:v>
      </x:c>
      <x:c r="L8" s="42" t="str">
        <x:v>动作喜剧</x:v>
      </x:c>
      <x:c r="M8" s="36" t="str">
        <x:v>舌头伸出并把敌人滑到青蛙面前。</x:v>
      </x:c>
      <x:c r="N8" s="36" t="str">
        <x:v>用前排接舌头，保护真正核心。</x:v>
      </x:c>
      <x:c r="O8" s="36" t="str">
        <x:v>每次登场1次</x:v>
      </x:c>
      <x:c r="P8" s="36" t="str">
        <x:v>复用位移与首次触发；中风险</x:v>
      </x:c>
      <x:c r="Q8" s="42" t="str">
        <x:v>A 普通</x:v>
      </x:c>
    </x:row>
    <x:row r="9" ht="72" customHeight="1">
      <x:c r="A9" s="42" t="n">
        <x:v>5</x:v>
      </x:c>
      <x:c r="B9" s="36" t="str">
        <x:v>rabbit</x:v>
      </x:c>
      <x:c r="C9" s="42" t="str">
        <x:v>兔子</x:v>
      </x:c>
      <x:c r="D9" s="42" t="str">
        <x:v>普通</x:v>
      </x:c>
      <x:c r="E9" s="42" t="str">
        <x:v>群潮推进</x:v>
      </x:c>
      <x:c r="F9" s="42" t="str">
        <x:v>重要</x:v>
      </x:c>
      <x:c r="G9" s="42" t="str">
        <x:v>—</x:v>
      </x:c>
      <x:c r="H9" s="42" t="str">
        <x:v>蹦来护你</x:v>
      </x:c>
      <x:c r="I9" s="42" t="str">
        <x:v>登场</x:v>
      </x:c>
      <x:c r="J9" s="42" t="str">
        <x:v>给最近友军1层屏障</x:v>
      </x:c>
      <x:c r="K9" s="36" t="str">
        <x:v>登场：给最近友军1层屏障。</x:v>
      </x:c>
      <x:c r="L9" s="42" t="str">
        <x:v>救援反转</x:v>
      </x:c>
      <x:c r="M9" s="36" t="str">
        <x:v>兔子跳到队友旁，屏障像胡萝卜叶一样弹开。</x:v>
      </x:c>
      <x:c r="N9" s="36" t="str">
        <x:v>先消耗屏障，再交爆发。</x:v>
      </x:c>
      <x:c r="O9" s="36" t="str">
        <x:v>无</x:v>
      </x:c>
      <x:c r="P9" s="36" t="str">
        <x:v>复用最近友军与屏障；低风险</x:v>
      </x:c>
      <x:c r="Q9" s="42" t="str">
        <x:v>A 普通</x:v>
      </x:c>
    </x:row>
    <x:row r="10" ht="72" customHeight="1">
      <x:c r="A10" s="42" t="n">
        <x:v>6</x:v>
      </x:c>
      <x:c r="B10" s="36" t="str">
        <x:v>chicken</x:v>
      </x:c>
      <x:c r="C10" s="42" t="str">
        <x:v>鸡</x:v>
      </x:c>
      <x:c r="D10" s="42" t="str">
        <x:v>普通</x:v>
      </x:c>
      <x:c r="E10" s="42" t="str">
        <x:v>遗响接棒</x:v>
      </x:c>
      <x:c r="F10" s="42" t="str">
        <x:v>重要</x:v>
      </x:c>
      <x:c r="G10" s="42" t="str">
        <x:v>—</x:v>
      </x:c>
      <x:c r="H10" s="42" t="str">
        <x:v>掉枚金币</x:v>
      </x:c>
      <x:c r="I10" s="42" t="str">
        <x:v>阵亡</x:v>
      </x:c>
      <x:c r="J10" s="42" t="str">
        <x:v>掉落1枚金币</x:v>
      </x:c>
      <x:c r="K10" s="36" t="str">
        <x:v>阵亡：掉落1枚金币。</x:v>
      </x:c>
      <x:c r="L10" s="42" t="str">
        <x:v>成长期待</x:v>
      </x:c>
      <x:c r="M10" s="36" t="str">
        <x:v>羽毛散开，一枚金币原地弹起。</x:v>
      </x:c>
      <x:c r="N10" s="36" t="str">
        <x:v>能延后击杀时，先处理价值更高的目标。</x:v>
      </x:c>
      <x:c r="O10" s="36" t="str">
        <x:v>无</x:v>
      </x:c>
      <x:c r="P10" s="36" t="str">
        <x:v>复用阵亡与金币发放；低风险</x:v>
      </x:c>
      <x:c r="Q10" s="42" t="str">
        <x:v>A 普通</x:v>
      </x:c>
    </x:row>
    <x:row r="11" ht="72" customHeight="1">
      <x:c r="A11" s="42" t="n">
        <x:v>7</x:v>
      </x:c>
      <x:c r="B11" s="36" t="str">
        <x:v>pigeon</x:v>
      </x:c>
      <x:c r="C11" s="42" t="str">
        <x:v>鸽子</x:v>
      </x:c>
      <x:c r="D11" s="42" t="str">
        <x:v>普通</x:v>
      </x:c>
      <x:c r="E11" s="42" t="str">
        <x:v>遗响接棒</x:v>
      </x:c>
      <x:c r="F11" s="42" t="str">
        <x:v>交叉</x:v>
      </x:c>
      <x:c r="G11" s="42" t="str">
        <x:v>标记围猎</x:v>
      </x:c>
      <x:c r="H11" s="42" t="str">
        <x:v>就是它！</x:v>
      </x:c>
      <x:c r="I11" s="42" t="str">
        <x:v>阵亡</x:v>
      </x:c>
      <x:c r="J11" s="42" t="str">
        <x:v>标记击杀者</x:v>
      </x:c>
      <x:c r="K11" s="36" t="str">
        <x:v>阵亡：给击杀者挂上醒目标记。</x:v>
      </x:c>
      <x:c r="L11" s="42" t="str">
        <x:v>追逐猎杀</x:v>
      </x:c>
      <x:c r="M11" s="36" t="str">
        <x:v>一封小纸条飞到击杀者头顶并展开。</x:v>
      </x:c>
      <x:c r="N11" s="36" t="str">
        <x:v>让低价值单位完成最后一击。</x:v>
      </x:c>
      <x:c r="O11" s="36" t="str">
        <x:v>无</x:v>
      </x:c>
      <x:c r="P11" s="36" t="str">
        <x:v>复用死亡来源与标记；低风险</x:v>
      </x:c>
      <x:c r="Q11" s="42" t="str">
        <x:v>A 普通</x:v>
      </x:c>
    </x:row>
    <x:row r="12" ht="72" customHeight="1">
      <x:c r="A12" s="42" t="n">
        <x:v>8</x:v>
      </x:c>
      <x:c r="B12" s="36" t="str">
        <x:v>hamster</x:v>
      </x:c>
      <x:c r="C12" s="42" t="str">
        <x:v>仓鼠</x:v>
      </x:c>
      <x:c r="D12" s="42" t="str">
        <x:v>普通</x:v>
      </x:c>
      <x:c r="E12" s="42" t="str">
        <x:v>护群反攻</x:v>
      </x:c>
      <x:c r="F12" s="42" t="str">
        <x:v>交叉</x:v>
      </x:c>
      <x:c r="G12" s="42" t="str">
        <x:v>遗响接棒</x:v>
      </x:c>
      <x:c r="H12" s="42" t="str">
        <x:v>吐金币</x:v>
      </x:c>
      <x:c r="I12" s="42" t="str">
        <x:v>存活8秒</x:v>
      </x:c>
      <x:c r="J12" s="42" t="str">
        <x:v>吐出1枚金币</x:v>
      </x:c>
      <x:c r="K12" s="36" t="str">
        <x:v>存活8秒：吐出1枚金币。</x:v>
      </x:c>
      <x:c r="L12" s="42" t="str">
        <x:v>成长期待</x:v>
      </x:c>
      <x:c r="M12" s="36" t="str">
        <x:v>两颊越来越鼓，计时结束后吐出金币。</x:v>
      </x:c>
      <x:c r="N12" s="36" t="str">
        <x:v>在计时环走完前击杀或逼退。</x:v>
      </x:c>
      <x:c r="O12" s="36" t="str">
        <x:v>头顶显示8秒计时环</x:v>
      </x:c>
      <x:c r="P12" s="36" t="str">
        <x:v>复用周期计时与金币；低风险</x:v>
      </x:c>
      <x:c r="Q12" s="42" t="str">
        <x:v>A 普通</x:v>
      </x:c>
    </x:row>
    <x:row r="13" ht="72" customHeight="1">
      <x:c r="A13" s="42" t="n">
        <x:v>9</x:v>
      </x:c>
      <x:c r="B13" s="36" t="str">
        <x:v>snail</x:v>
      </x:c>
      <x:c r="C13" s="42" t="str">
        <x:v>蜗牛</x:v>
      </x:c>
      <x:c r="D13" s="42" t="str">
        <x:v>普通</x:v>
      </x:c>
      <x:c r="E13" s="42" t="str">
        <x:v>护群反攻</x:v>
      </x:c>
      <x:c r="F13" s="42" t="str">
        <x:v>交叉</x:v>
      </x:c>
      <x:c r="G13" s="42" t="str">
        <x:v>群潮推进</x:v>
      </x:c>
      <x:c r="H13" s="42" t="str">
        <x:v>缩进去</x:v>
      </x:c>
      <x:c r="I13" s="42" t="str">
        <x:v>首次受伤</x:v>
      </x:c>
      <x:c r="J13" s="42" t="str">
        <x:v>挡掉这次伤害</x:v>
      </x:c>
      <x:c r="K13" s="36" t="str">
        <x:v>首次受伤：缩进壳里挡掉这次伤害。</x:v>
      </x:c>
      <x:c r="L13" s="42" t="str">
        <x:v>救援反转</x:v>
      </x:c>
      <x:c r="M13" s="36" t="str">
        <x:v>蜗牛啪地缩壳，攻击从壳上弹开。</x:v>
      </x:c>
      <x:c r="N13" s="36" t="str">
        <x:v>先用小伤害敲掉缩壳，再交重击。</x:v>
      </x:c>
      <x:c r="O13" s="36" t="str">
        <x:v>每次登场1次</x:v>
      </x:c>
      <x:c r="P13" s="36" t="str">
        <x:v>复用首次伤害拦截；低风险</x:v>
      </x:c>
      <x:c r="Q13" s="42" t="str">
        <x:v>A 普通</x:v>
      </x:c>
    </x:row>
    <x:row r="14" ht="72" customHeight="1">
      <x:c r="A14" s="42" t="n">
        <x:v>10</x:v>
      </x:c>
      <x:c r="B14" s="36" t="str">
        <x:v>tadpole</x:v>
      </x:c>
      <x:c r="C14" s="42" t="str">
        <x:v>蝌蚪</x:v>
      </x:c>
      <x:c r="D14" s="42" t="str">
        <x:v>普通</x:v>
      </x:c>
      <x:c r="E14" s="42" t="str">
        <x:v>群潮推进</x:v>
      </x:c>
      <x:c r="F14" s="42" t="str">
        <x:v>交叉</x:v>
      </x:c>
      <x:c r="G14" s="42" t="str">
        <x:v>护群反攻</x:v>
      </x:c>
      <x:c r="H14" s="42" t="str">
        <x:v>我长大啦</x:v>
      </x:c>
      <x:c r="I14" s="42" t="str">
        <x:v>存活8秒</x:v>
      </x:c>
      <x:c r="J14" s="42" t="str">
        <x:v>变成青蛙</x:v>
      </x:c>
      <x:c r="K14" s="36" t="str">
        <x:v>存活8秒：长成青蛙。</x:v>
      </x:c>
      <x:c r="L14" s="42" t="str">
        <x:v>成长期待</x:v>
      </x:c>
      <x:c r="M14" s="36" t="str">
        <x:v>尾巴缩短、长出腿，完成一次清楚变身。</x:v>
      </x:c>
      <x:c r="N14" s="36" t="str">
        <x:v>在成长环结束前处理它。</x:v>
      </x:c>
      <x:c r="O14" s="36" t="str">
        <x:v>头顶显示8秒成长环</x:v>
      </x:c>
      <x:c r="P14" s="36" t="str">
        <x:v>需要单位变身与状态继承；中风险</x:v>
      </x:c>
      <x:c r="Q14" s="42" t="str">
        <x:v>A 普通</x:v>
      </x:c>
    </x:row>
    <x:row r="15" ht="72" customHeight="1">
      <x:c r="A15" s="42" t="n">
        <x:v>11</x:v>
      </x:c>
      <x:c r="B15" s="36" t="str">
        <x:v>cat</x:v>
      </x:c>
      <x:c r="C15" s="42" t="str">
        <x:v>猫</x:v>
      </x:c>
      <x:c r="D15" s="42" t="str">
        <x:v>稀有</x:v>
      </x:c>
      <x:c r="E15" s="42" t="str">
        <x:v>遗响接棒</x:v>
      </x:c>
      <x:c r="F15" s="42" t="str">
        <x:v>交叉</x:v>
      </x:c>
      <x:c r="G15" s="42" t="str">
        <x:v>标记围猎</x:v>
      </x:c>
      <x:c r="H15" s="42" t="str">
        <x:v>扑下一个</x:v>
      </x:c>
      <x:c r="I15" s="42" t="str">
        <x:v>击杀</x:v>
      </x:c>
      <x:c r="J15" s="42" t="str">
        <x:v>扑向最近的低生命敌人</x:v>
      </x:c>
      <x:c r="K15" s="36" t="str">
        <x:v>击杀：立刻扑向最近的低生命敌人。</x:v>
      </x:c>
      <x:c r="L15" s="42" t="str">
        <x:v>追逐猎杀</x:v>
      </x:c>
      <x:c r="M15" s="36" t="str">
        <x:v>猫压低身体后画出弧线扑向下一个目标。</x:v>
      </x:c>
      <x:c r="N15" s="36" t="str">
        <x:v>抬高残血单位生命或拉开距离。</x:v>
      </x:c>
      <x:c r="O15" s="36" t="str">
        <x:v>无</x:v>
      </x:c>
      <x:c r="P15" s="36" t="str">
        <x:v>复用击杀、低生命筛选与跳跃；中风险</x:v>
      </x:c>
      <x:c r="Q15" s="42" t="str">
        <x:v>B 稀有</x:v>
      </x:c>
    </x:row>
    <x:row r="16" ht="72" customHeight="1">
      <x:c r="A16" s="42" t="n">
        <x:v>12</x:v>
      </x:c>
      <x:c r="B16" s="36" t="str">
        <x:v>dog</x:v>
      </x:c>
      <x:c r="C16" s="42" t="str">
        <x:v>狗</x:v>
      </x:c>
      <x:c r="D16" s="42" t="str">
        <x:v>稀有</x:v>
      </x:c>
      <x:c r="E16" s="42" t="str">
        <x:v>护群反攻</x:v>
      </x:c>
      <x:c r="F16" s="42" t="str">
        <x:v>核心</x:v>
      </x:c>
      <x:c r="G16" s="42" t="str">
        <x:v>—</x:v>
      </x:c>
      <x:c r="H16" s="42" t="str">
        <x:v>我来挡</x:v>
      </x:c>
      <x:c r="I16" s="42" t="str">
        <x:v>附近友军首次受伤</x:v>
      </x:c>
      <x:c r="J16" s="42" t="str">
        <x:v>替它挡下这一击</x:v>
      </x:c>
      <x:c r="K16" s="36" t="str">
        <x:v>附近友军首次受伤：狗冲过去挡下这一击。</x:v>
      </x:c>
      <x:c r="L16" s="42" t="str">
        <x:v>救援反转</x:v>
      </x:c>
      <x:c r="M16" s="36" t="str">
        <x:v>狗横冲到弹道或攻击线前面。</x:v>
      </x:c>
      <x:c r="N16" s="36" t="str">
        <x:v>先用小攻击骗出救援。</x:v>
      </x:c>
      <x:c r="O16" s="36" t="str">
        <x:v>每次登场1次</x:v>
      </x:c>
      <x:c r="P16" s="36" t="str">
        <x:v>需要攻击重定向与救援位移；中风险</x:v>
      </x:c>
      <x:c r="Q16" s="42" t="str">
        <x:v>B 稀有</x:v>
      </x:c>
    </x:row>
    <x:row r="17" ht="72" customHeight="1">
      <x:c r="A17" s="42" t="n">
        <x:v>13</x:v>
      </x:c>
      <x:c r="B17" s="36" t="str">
        <x:v>duck</x:v>
      </x:c>
      <x:c r="C17" s="42" t="str">
        <x:v>鸭</x:v>
      </x:c>
      <x:c r="D17" s="42" t="str">
        <x:v>稀有</x:v>
      </x:c>
      <x:c r="E17" s="42" t="str">
        <x:v>遗响接棒</x:v>
      </x:c>
      <x:c r="F17" s="42" t="str">
        <x:v>核心</x:v>
      </x:c>
      <x:c r="G17" s="42" t="str">
        <x:v>—</x:v>
      </x:c>
      <x:c r="H17" s="42" t="str">
        <x:v>小鸭接班</x:v>
      </x:c>
      <x:c r="I17" s="42" t="str">
        <x:v>阵亡</x:v>
      </x:c>
      <x:c r="J17" s="42" t="str">
        <x:v>留下1只小鸭</x:v>
      </x:c>
      <x:c r="K17" s="36" t="str">
        <x:v>阵亡：原地留下一只小鸭。</x:v>
      </x:c>
      <x:c r="L17" s="42" t="str">
        <x:v>惊喜增援</x:v>
      </x:c>
      <x:c r="M17" s="36" t="str">
        <x:v>鸭子潜入地面，小鸭从同一位置冒出来。</x:v>
      </x:c>
      <x:c r="N17" s="36" t="str">
        <x:v>用范围伤害同时覆盖本体和接班位置。</x:v>
      </x:c>
      <x:c r="O17" s="36" t="str">
        <x:v>小鸭无技能</x:v>
      </x:c>
      <x:c r="P17" s="36" t="str">
        <x:v>复用亡语召唤；低风险</x:v>
      </x:c>
      <x:c r="Q17" s="42" t="str">
        <x:v>B 稀有</x:v>
      </x:c>
    </x:row>
    <x:row r="18" ht="72" customHeight="1">
      <x:c r="A18" s="42" t="n">
        <x:v>14</x:v>
      </x:c>
      <x:c r="B18" s="36" t="str">
        <x:v>squirrel</x:v>
      </x:c>
      <x:c r="C18" s="42" t="str">
        <x:v>松鼠</x:v>
      </x:c>
      <x:c r="D18" s="42" t="str">
        <x:v>稀有</x:v>
      </x:c>
      <x:c r="E18" s="42" t="str">
        <x:v>疾行拓地</x:v>
      </x:c>
      <x:c r="F18" s="42" t="str">
        <x:v>核心</x:v>
      </x:c>
      <x:c r="G18" s="42" t="str">
        <x:v>—</x:v>
      </x:c>
      <x:c r="H18" s="42" t="str">
        <x:v>坚果快递</x:v>
      </x:c>
      <x:c r="I18" s="42" t="str">
        <x:v>完成占领</x:v>
      </x:c>
      <x:c r="J18" s="42" t="str">
        <x:v>获得1枚金币</x:v>
      </x:c>
      <x:c r="K18" s="36" t="str">
        <x:v>完成占领：把坚果送回家，获得1枚金币。</x:v>
      </x:c>
      <x:c r="L18" s="42" t="str">
        <x:v>路线抢点</x:v>
      </x:c>
      <x:c r="M18" s="36" t="str">
        <x:v>坚果沿一条小虚线飞回玩家资源栏。</x:v>
      </x:c>
      <x:c r="N18" s="36" t="str">
        <x:v>在占领完成前打断或反占。</x:v>
      </x:c>
      <x:c r="O18" s="36" t="str">
        <x:v>每块地每次占领结算1次</x:v>
      </x:c>
      <x:c r="P18" s="36" t="str">
        <x:v>复用占领事件与金币；低风险</x:v>
      </x:c>
      <x:c r="Q18" s="42" t="str">
        <x:v>B 稀有</x:v>
      </x:c>
    </x:row>
    <x:row r="19" ht="72" customHeight="1">
      <x:c r="A19" s="42" t="n">
        <x:v>15</x:v>
      </x:c>
      <x:c r="B19" s="36" t="str">
        <x:v>hedgehog</x:v>
      </x:c>
      <x:c r="C19" s="42" t="str">
        <x:v>刺猬</x:v>
      </x:c>
      <x:c r="D19" s="42" t="str">
        <x:v>稀有</x:v>
      </x:c>
      <x:c r="E19" s="42" t="str">
        <x:v>护群反攻</x:v>
      </x:c>
      <x:c r="F19" s="42" t="str">
        <x:v>核心</x:v>
      </x:c>
      <x:c r="G19" s="42" t="str">
        <x:v>—</x:v>
      </x:c>
      <x:c r="H19" s="42" t="str">
        <x:v>扎回去</x:v>
      </x:c>
      <x:c r="I19" s="42" t="str">
        <x:v>被近战攻击</x:v>
      </x:c>
      <x:c r="J19" s="42" t="str">
        <x:v>反弹1点伤害</x:v>
      </x:c>
      <x:c r="K19" s="36" t="str">
        <x:v>被近战攻击：扎回1点伤害。</x:v>
      </x:c>
      <x:c r="L19" s="42" t="str">
        <x:v>动作喜剧</x:v>
      </x:c>
      <x:c r="M19" s="36" t="str">
        <x:v>尖刺瞬间竖起，攻击者向后抖一下。</x:v>
      </x:c>
      <x:c r="N19" s="36" t="str">
        <x:v>用远程或单次高伤害处理。</x:v>
      </x:c>
      <x:c r="O19" s="36" t="str">
        <x:v>无</x:v>
      </x:c>
      <x:c r="P19" s="36" t="str">
        <x:v>复用近战来源与反伤；低风险</x:v>
      </x:c>
      <x:c r="Q19" s="42" t="str">
        <x:v>B 稀有</x:v>
      </x:c>
    </x:row>
    <x:row r="20" ht="72" customHeight="1">
      <x:c r="A20" s="42" t="n">
        <x:v>16</x:v>
      </x:c>
      <x:c r="B20" s="36" t="str">
        <x:v>turtle</x:v>
      </x:c>
      <x:c r="C20" s="42" t="str">
        <x:v>乌龟</x:v>
      </x:c>
      <x:c r="D20" s="42" t="str">
        <x:v>稀有</x:v>
      </x:c>
      <x:c r="E20" s="42" t="str">
        <x:v>护群反攻</x:v>
      </x:c>
      <x:c r="F20" s="42" t="str">
        <x:v>重要</x:v>
      </x:c>
      <x:c r="G20" s="42" t="str">
        <x:v>—</x:v>
      </x:c>
      <x:c r="H20" s="42" t="str">
        <x:v>缩壳</x:v>
      </x:c>
      <x:c r="I20" s="42" t="str">
        <x:v>生命低于一半</x:v>
      </x:c>
      <x:c r="J20" s="42" t="str">
        <x:v>受到伤害-1</x:v>
      </x:c>
      <x:c r="K20" s="36" t="str">
        <x:v>生命低于一半：缩壳，受到伤害-1。</x:v>
      </x:c>
      <x:c r="L20" s="42" t="str">
        <x:v>救援反转</x:v>
      </x:c>
      <x:c r="M20" s="36" t="str">
        <x:v>乌龟把四肢缩回壳，壳边亮起硬化轮廓。</x:v>
      </x:c>
      <x:c r="N20" s="36" t="str">
        <x:v>在半血前集中爆发，或用持续小伤害磨。</x:v>
      </x:c>
      <x:c r="O20" s="36" t="str">
        <x:v>缩壳状态公开显示</x:v>
      </x:c>
      <x:c r="P20" s="36" t="str">
        <x:v>复用生命阈值与减伤；低风险</x:v>
      </x:c>
      <x:c r="Q20" s="42" t="str">
        <x:v>B 稀有</x:v>
      </x:c>
    </x:row>
    <x:row r="21" ht="72" customHeight="1">
      <x:c r="A21" s="42" t="n">
        <x:v>17</x:v>
      </x:c>
      <x:c r="B21" s="36" t="str">
        <x:v>goat</x:v>
      </x:c>
      <x:c r="C21" s="42" t="str">
        <x:v>山羊</x:v>
      </x:c>
      <x:c r="D21" s="42" t="str">
        <x:v>稀有</x:v>
      </x:c>
      <x:c r="E21" s="42" t="str">
        <x:v>控制围歼</x:v>
      </x:c>
      <x:c r="F21" s="42" t="str">
        <x:v>交叉</x:v>
      </x:c>
      <x:c r="G21" s="42" t="str">
        <x:v>疾行拓地</x:v>
      </x:c>
      <x:c r="H21" s="42" t="str">
        <x:v>顶开！</x:v>
      </x:c>
      <x:c r="I21" s="42" t="str">
        <x:v>登场</x:v>
      </x:c>
      <x:c r="J21" s="42" t="str">
        <x:v>把最近敌人顶退一格</x:v>
      </x:c>
      <x:c r="K21" s="36" t="str">
        <x:v>登场：把最近敌人顶退一格。</x:v>
      </x:c>
      <x:c r="L21" s="42" t="str">
        <x:v>动作喜剧</x:v>
      </x:c>
      <x:c r="M21" s="36" t="str">
        <x:v>山羊低头冲一下，敌人滑到后一格。</x:v>
      </x:c>
      <x:c r="N21" s="36" t="str">
        <x:v>用低价值前排接顶，避免核心站在边缘。</x:v>
      </x:c>
      <x:c r="O21" s="36" t="str">
        <x:v>无</x:v>
      </x:c>
      <x:c r="P21" s="36" t="str">
        <x:v>复用最近敌人与击退；低风险</x:v>
      </x:c>
      <x:c r="Q21" s="42" t="str">
        <x:v>B 稀有</x:v>
      </x:c>
    </x:row>
    <x:row r="22" ht="72" customHeight="1">
      <x:c r="A22" s="42" t="n">
        <x:v>18</x:v>
      </x:c>
      <x:c r="B22" s="36" t="str">
        <x:v>sheep</x:v>
      </x:c>
      <x:c r="C22" s="42" t="str">
        <x:v>羊</x:v>
      </x:c>
      <x:c r="D22" s="42" t="str">
        <x:v>稀有</x:v>
      </x:c>
      <x:c r="E22" s="42" t="str">
        <x:v>群潮推进</x:v>
      </x:c>
      <x:c r="F22" s="42" t="str">
        <x:v>重要</x:v>
      </x:c>
      <x:c r="G22" s="42" t="str">
        <x:v>—</x:v>
      </x:c>
      <x:c r="H22" s="42" t="str">
        <x:v>挤一挤</x:v>
      </x:c>
      <x:c r="I22" s="42" t="str">
        <x:v>登场</x:v>
      </x:c>
      <x:c r="J22" s="42" t="str">
        <x:v>在场友军各获得1点生命</x:v>
      </x:c>
      <x:c r="K22" s="36" t="str">
        <x:v>登场：在场友军各获得1点生命。</x:v>
      </x:c>
      <x:c r="L22" s="42" t="str">
        <x:v>队友接力</x:v>
      </x:c>
      <x:c r="M22" s="36" t="str">
        <x:v>友军向羊身边挤一下，头顶同时跳出一颗心。</x:v>
      </x:c>
      <x:c r="N22" s="36" t="str">
        <x:v>在羊登场前先清掉一部分友军。</x:v>
      </x:c>
      <x:c r="O22" s="36" t="str">
        <x:v>只作用于当前在场友军</x:v>
      </x:c>
      <x:c r="P22" s="36" t="str">
        <x:v>复用登场快照与生命修正；低风险</x:v>
      </x:c>
      <x:c r="Q22" s="42" t="str">
        <x:v>B 稀有</x:v>
      </x:c>
    </x:row>
    <x:row r="23" ht="72" customHeight="1">
      <x:c r="A23" s="42" t="n">
        <x:v>19</x:v>
      </x:c>
      <x:c r="B23" s="36" t="str">
        <x:v>parrot</x:v>
      </x:c>
      <x:c r="C23" s="42" t="str">
        <x:v>鹦鹉</x:v>
      </x:c>
      <x:c r="D23" s="42" t="str">
        <x:v>稀有</x:v>
      </x:c>
      <x:c r="E23" s="42" t="str">
        <x:v>群潮推进</x:v>
      </x:c>
      <x:c r="F23" s="42" t="str">
        <x:v>重要</x:v>
      </x:c>
      <x:c r="G23" s="42" t="str">
        <x:v>—</x:v>
      </x:c>
      <x:c r="H23" s="42" t="str">
        <x:v>学你一下</x:v>
      </x:c>
      <x:c r="I23" s="42" t="str">
        <x:v>登场</x:v>
      </x:c>
      <x:c r="J23" s="42" t="str">
        <x:v>让最近友军立刻攻击1次</x:v>
      </x:c>
      <x:c r="K23" s="36" t="str">
        <x:v>登场：学最近友军叫一声，让它立刻攻击1次。</x:v>
      </x:c>
      <x:c r="L23" s="42" t="str">
        <x:v>队友接力</x:v>
      </x:c>
      <x:c r="M23" s="36" t="str">
        <x:v>鹦鹉冒出同款叫声气泡，队友马上补打一拍。</x:v>
      </x:c>
      <x:c r="N23" s="36" t="str">
        <x:v>拉开关键友军，或先处理它准备模仿的目标。</x:v>
      </x:c>
      <x:c r="O23" s="36" t="str">
        <x:v>没有友军则不触发</x:v>
      </x:c>
      <x:c r="P23" s="36" t="str">
        <x:v>需要额外普攻指令；中风险</x:v>
      </x:c>
      <x:c r="Q23" s="42" t="str">
        <x:v>B 稀有</x:v>
      </x:c>
    </x:row>
    <x:row r="24" ht="72" customHeight="1">
      <x:c r="A24" s="42" t="n">
        <x:v>20</x:v>
      </x:c>
      <x:c r="B24" s="36" t="str">
        <x:v>fox</x:v>
      </x:c>
      <x:c r="C24" s="42" t="str">
        <x:v>狐狸</x:v>
      </x:c>
      <x:c r="D24" s="42" t="str">
        <x:v>史诗</x:v>
      </x:c>
      <x:c r="E24" s="42" t="str">
        <x:v>标记围猎</x:v>
      </x:c>
      <x:c r="F24" s="42" t="str">
        <x:v>核心</x:v>
      </x:c>
      <x:c r="G24" s="42" t="str">
        <x:v>—</x:v>
      </x:c>
      <x:c r="H24" s="42" t="str">
        <x:v>就抓它</x:v>
      </x:c>
      <x:c r="I24" s="42" t="str">
        <x:v>登场</x:v>
      </x:c>
      <x:c r="J24" s="42" t="str">
        <x:v>标记最远的敌人</x:v>
      </x:c>
      <x:c r="K24" s="36" t="str">
        <x:v>登场：给最远的敌人挂上猎物标记。</x:v>
      </x:c>
      <x:c r="L24" s="42" t="str">
        <x:v>追逐猎杀</x:v>
      </x:c>
      <x:c r="M24" s="36" t="str">
        <x:v>狐狸指向远处，目标头顶亮起大爪印。</x:v>
      </x:c>
      <x:c r="N24" s="36" t="str">
        <x:v>用诱饵站在更远位置，或快速救援被点名者。</x:v>
      </x:c>
      <x:c r="O24" s="36" t="str">
        <x:v>同时只保留1个狐狸标记</x:v>
      </x:c>
      <x:c r="P24" s="36" t="str">
        <x:v>复用目标筛选与标记；低风险</x:v>
      </x:c>
      <x:c r="Q24" s="42" t="str">
        <x:v>C 史诗</x:v>
      </x:c>
    </x:row>
    <x:row r="25" ht="72" customHeight="1">
      <x:c r="A25" s="42" t="n">
        <x:v>21</x:v>
      </x:c>
      <x:c r="B25" s="36" t="str">
        <x:v>monkey</x:v>
      </x:c>
      <x:c r="C25" s="42" t="str">
        <x:v>猴子</x:v>
      </x:c>
      <x:c r="D25" s="42" t="str">
        <x:v>史诗</x:v>
      </x:c>
      <x:c r="E25" s="42" t="str">
        <x:v>群潮推进</x:v>
      </x:c>
      <x:c r="F25" s="42" t="str">
        <x:v>交叉</x:v>
      </x:c>
      <x:c r="G25" s="42" t="str">
        <x:v>标记围猎</x:v>
      </x:c>
      <x:c r="H25" s="42" t="str">
        <x:v>香蕉补刀</x:v>
      </x:c>
      <x:c r="I25" s="42" t="str">
        <x:v>友军首次触发技能</x:v>
      </x:c>
      <x:c r="J25" s="42" t="str">
        <x:v>朝同一目标扔香蕉</x:v>
      </x:c>
      <x:c r="K25" s="36" t="str">
        <x:v>友军首次触发技能：猴子朝同一目标扔香蕉。</x:v>
      </x:c>
      <x:c r="L25" s="42" t="str">
        <x:v>队友接力</x:v>
      </x:c>
      <x:c r="M25" s="36" t="str">
        <x:v>友军技能刚亮，香蕉就沿弧线飞向同一处。</x:v>
      </x:c>
      <x:c r="N25" s="36" t="str">
        <x:v>先用低价值技能骗掉香蕉。</x:v>
      </x:c>
      <x:c r="O25" s="36" t="str">
        <x:v>每次登场1次</x:v>
      </x:c>
      <x:c r="P25" s="36" t="str">
        <x:v>需要侦听友军首次技能事件；中风险</x:v>
      </x:c>
      <x:c r="Q25" s="42" t="str">
        <x:v>C 史诗</x:v>
      </x:c>
    </x:row>
    <x:row r="26" ht="72" customHeight="1">
      <x:c r="A26" s="42" t="n">
        <x:v>22</x:v>
      </x:c>
      <x:c r="B26" s="36" t="str">
        <x:v>pig</x:v>
      </x:c>
      <x:c r="C26" s="42" t="str">
        <x:v>猪</x:v>
      </x:c>
      <x:c r="D26" s="42" t="str">
        <x:v>史诗</x:v>
      </x:c>
      <x:c r="E26" s="42" t="str">
        <x:v>遗响接棒</x:v>
      </x:c>
      <x:c r="F26" s="42" t="str">
        <x:v>重要</x:v>
      </x:c>
      <x:c r="G26" s="42" t="str">
        <x:v>—</x:v>
      </x:c>
      <x:c r="H26" s="42" t="str">
        <x:v>开饭啦</x:v>
      </x:c>
      <x:c r="I26" s="42" t="str">
        <x:v>阵亡</x:v>
      </x:c>
      <x:c r="J26" s="42" t="str">
        <x:v>附近友军恢复2点生命</x:v>
      </x:c>
      <x:c r="K26" s="36" t="str">
        <x:v>阵亡：饭桶砸开，附近友军恢复2点生命。</x:v>
      </x:c>
      <x:c r="L26" s="42" t="str">
        <x:v>救援反转</x:v>
      </x:c>
      <x:c r="M26" s="36" t="str">
        <x:v>小饭桶滚出来砸开，队友围成一圈回血。</x:v>
      </x:c>
      <x:c r="N26" s="36" t="str">
        <x:v>把猪拉离队友后再击杀。</x:v>
      </x:c>
      <x:c r="O26" s="36" t="str">
        <x:v>无</x:v>
      </x:c>
      <x:c r="P26" s="36" t="str">
        <x:v>复用亡语与范围治疗；低风险</x:v>
      </x:c>
      <x:c r="Q26" s="42" t="str">
        <x:v>C 史诗</x:v>
      </x:c>
    </x:row>
    <x:row r="27" ht="72" customHeight="1">
      <x:c r="A27" s="42" t="n">
        <x:v>23</x:v>
      </x:c>
      <x:c r="B27" s="36" t="str">
        <x:v>deer</x:v>
      </x:c>
      <x:c r="C27" s="42" t="str">
        <x:v>鹿</x:v>
      </x:c>
      <x:c r="D27" s="42" t="str">
        <x:v>史诗</x:v>
      </x:c>
      <x:c r="E27" s="42" t="str">
        <x:v>遗响接棒</x:v>
      </x:c>
      <x:c r="F27" s="42" t="str">
        <x:v>交叉</x:v>
      </x:c>
      <x:c r="G27" s="42" t="str">
        <x:v>疾行拓地</x:v>
      </x:c>
      <x:c r="H27" s="42" t="str">
        <x:v>惊群快跑</x:v>
      </x:c>
      <x:c r="I27" s="42" t="str">
        <x:v>阵亡</x:v>
      </x:c>
      <x:c r="J27" s="42" t="str">
        <x:v>附近友军向前冲一小段</x:v>
      </x:c>
      <x:c r="K27" s="36" t="str">
        <x:v>阵亡：附近友军立刻向前冲一小段。</x:v>
      </x:c>
      <x:c r="L27" s="42" t="str">
        <x:v>路线抢点</x:v>
      </x:c>
      <x:c r="M27" s="36" t="str">
        <x:v>鹿的惊叫化成波纹，附近友军一起蹿出去。</x:v>
      </x:c>
      <x:c r="N27" s="36" t="str">
        <x:v>在冲刺方向放置前排或障碍。</x:v>
      </x:c>
      <x:c r="O27" s="36" t="str">
        <x:v>无</x:v>
      </x:c>
      <x:c r="P27" s="36" t="str">
        <x:v>需要群体短位移；中风险</x:v>
      </x:c>
      <x:c r="Q27" s="42" t="str">
        <x:v>C 史诗</x:v>
      </x:c>
    </x:row>
    <x:row r="28" ht="72" customHeight="1">
      <x:c r="A28" s="42" t="n">
        <x:v>24</x:v>
      </x:c>
      <x:c r="B28" s="36" t="str">
        <x:v>beaver</x:v>
      </x:c>
      <x:c r="C28" s="42" t="str">
        <x:v>河狸</x:v>
      </x:c>
      <x:c r="D28" s="42" t="str">
        <x:v>史诗</x:v>
      </x:c>
      <x:c r="E28" s="42" t="str">
        <x:v>疾行拓地</x:v>
      </x:c>
      <x:c r="F28" s="42" t="str">
        <x:v>交叉</x:v>
      </x:c>
      <x:c r="G28" s="42" t="str">
        <x:v>护群反攻</x:v>
      </x:c>
      <x:c r="H28" s="42" t="str">
        <x:v>敲敲补好</x:v>
      </x:c>
      <x:c r="I28" s="42" t="str">
        <x:v>每8秒</x:v>
      </x:c>
      <x:c r="J28" s="42" t="str">
        <x:v>修复最近友方建筑1点生命</x:v>
      </x:c>
      <x:c r="K28" s="36" t="str">
        <x:v>每8秒：修复最近友方建筑1点生命。</x:v>
      </x:c>
      <x:c r="L28" s="42" t="str">
        <x:v>成长期待</x:v>
      </x:c>
      <x:c r="M28" s="36" t="str">
        <x:v>河狸跑到建筑旁敲一下，裂缝合拢。</x:v>
      </x:c>
      <x:c r="N28" s="36" t="str">
        <x:v>击退河狸或在修复前完成集火。</x:v>
      </x:c>
      <x:c r="O28" s="36" t="str">
        <x:v>头顶显示8秒锤子计时</x:v>
      </x:c>
      <x:c r="P28" s="36" t="str">
        <x:v>复用周期与建筑治疗；低风险</x:v>
      </x:c>
      <x:c r="Q28" s="42" t="str">
        <x:v>C 史诗</x:v>
      </x:c>
    </x:row>
    <x:row r="29" ht="72" customHeight="1">
      <x:c r="A29" s="42" t="n">
        <x:v>25</x:v>
      </x:c>
      <x:c r="B29" s="36" t="str">
        <x:v>otter</x:v>
      </x:c>
      <x:c r="C29" s="42" t="str">
        <x:v>水獭</x:v>
      </x:c>
      <x:c r="D29" s="42" t="str">
        <x:v>史诗</x:v>
      </x:c>
      <x:c r="E29" s="42" t="str">
        <x:v>遗响接棒</x:v>
      </x:c>
      <x:c r="F29" s="42" t="str">
        <x:v>核心</x:v>
      </x:c>
      <x:c r="G29" s="42" t="str">
        <x:v>—</x:v>
      </x:c>
      <x:c r="H29" s="42" t="str">
        <x:v>捞回来</x:v>
      </x:c>
      <x:c r="I29" s="42" t="str">
        <x:v>附近友军阵亡</x:v>
      </x:c>
      <x:c r="J29" s="42" t="str">
        <x:v>获得1枚金币</x:v>
      </x:c>
      <x:c r="K29" s="36" t="str">
        <x:v>附近友军阵亡：水獭捞回1枚金币，每3秒1次。</x:v>
      </x:c>
      <x:c r="L29" s="42" t="str">
        <x:v>队友接力</x:v>
      </x:c>
      <x:c r="M29" s="36" t="str">
        <x:v>水獭用小网从阵亡位置捞回一枚金币。</x:v>
      </x:c>
      <x:c r="N29" s="36" t="str">
        <x:v>先击杀水獭，再处理遗响单位。</x:v>
      </x:c>
      <x:c r="O29" s="36" t="str">
        <x:v>公开3秒冷却</x:v>
      </x:c>
      <x:c r="P29" s="36" t="str">
        <x:v>复用附近阵亡事件与金币；中风险</x:v>
      </x:c>
      <x:c r="Q29" s="42" t="str">
        <x:v>C 史诗</x:v>
      </x:c>
    </x:row>
    <x:row r="30" ht="72" customHeight="1">
      <x:c r="A30" s="42" t="n">
        <x:v>26</x:v>
      </x:c>
      <x:c r="B30" s="36" t="str">
        <x:v>penguin</x:v>
      </x:c>
      <x:c r="C30" s="42" t="str">
        <x:v>企鹅</x:v>
      </x:c>
      <x:c r="D30" s="42" t="str">
        <x:v>史诗</x:v>
      </x:c>
      <x:c r="E30" s="42" t="str">
        <x:v>群潮推进</x:v>
      </x:c>
      <x:c r="F30" s="42" t="str">
        <x:v>重要</x:v>
      </x:c>
      <x:c r="G30" s="42" t="str">
        <x:v>—</x:v>
      </x:c>
      <x:c r="H30" s="42" t="str">
        <x:v>排好队</x:v>
      </x:c>
      <x:c r="I30" s="42" t="str">
        <x:v>登场</x:v>
      </x:c>
      <x:c r="J30" s="42" t="str">
        <x:v>附近友军3秒内移动更快</x:v>
      </x:c>
      <x:c r="K30" s="36" t="str">
        <x:v>登场：附近友军排成队，3秒内移动更快。</x:v>
      </x:c>
      <x:c r="L30" s="42" t="str">
        <x:v>队友接力</x:v>
      </x:c>
      <x:c r="M30" s="36" t="str">
        <x:v>企鹅吹哨，友军短暂排成整齐小队前进。</x:v>
      </x:c>
      <x:c r="N30" s="36" t="str">
        <x:v>用减速或击退打散这3秒队形。</x:v>
      </x:c>
      <x:c r="O30" s="36" t="str">
        <x:v>同名加速不叠加</x:v>
      </x:c>
      <x:c r="P30" s="36" t="str">
        <x:v>复用范围加速；队列仅表现；低风险</x:v>
      </x:c>
      <x:c r="Q30" s="42" t="str">
        <x:v>C 史诗</x:v>
      </x:c>
    </x:row>
    <x:row r="31" ht="72" customHeight="1">
      <x:c r="A31" s="42" t="n">
        <x:v>27</x:v>
      </x:c>
      <x:c r="B31" s="36" t="str">
        <x:v>peacock</x:v>
      </x:c>
      <x:c r="C31" s="42" t="str">
        <x:v>孔雀</x:v>
      </x:c>
      <x:c r="D31" s="42" t="str">
        <x:v>史诗</x:v>
      </x:c>
      <x:c r="E31" s="42" t="str">
        <x:v>控制围歼</x:v>
      </x:c>
      <x:c r="F31" s="42" t="str">
        <x:v>交叉</x:v>
      </x:c>
      <x:c r="G31" s="42" t="str">
        <x:v>标记围猎</x:v>
      </x:c>
      <x:c r="H31" s="42" t="str">
        <x:v>开屏停手</x:v>
      </x:c>
      <x:c r="I31" s="42" t="str">
        <x:v>首次成为攻击目标</x:v>
      </x:c>
      <x:c r="J31" s="42" t="str">
        <x:v>让攻击者停手2秒</x:v>
      </x:c>
      <x:c r="K31" s="36" t="str">
        <x:v>首次成为攻击目标：开屏让攻击者停手2秒。</x:v>
      </x:c>
      <x:c r="L31" s="42" t="str">
        <x:v>动作喜剧</x:v>
      </x:c>
      <x:c r="M31" s="36" t="str">
        <x:v>孔雀突然开屏，攻击者头顶冒出惊叹号。</x:v>
      </x:c>
      <x:c r="N31" s="36" t="str">
        <x:v>用低价值单位先触发开屏。</x:v>
      </x:c>
      <x:c r="O31" s="36" t="str">
        <x:v>每次登场1次</x:v>
      </x:c>
      <x:c r="P31" s="36" t="str">
        <x:v>复用首次被选中与缴械；中风险</x:v>
      </x:c>
      <x:c r="Q31" s="42" t="str">
        <x:v>C 史诗</x:v>
      </x:c>
    </x:row>
    <x:row r="32" ht="72" customHeight="1">
      <x:c r="A32" s="42" t="n">
        <x:v>28</x:v>
      </x:c>
      <x:c r="B32" s="36" t="str">
        <x:v>kangaroo</x:v>
      </x:c>
      <x:c r="C32" s="42" t="str">
        <x:v>袋鼠</x:v>
      </x:c>
      <x:c r="D32" s="42" t="str">
        <x:v>史诗</x:v>
      </x:c>
      <x:c r="E32" s="42" t="str">
        <x:v>标记围猎</x:v>
      </x:c>
      <x:c r="F32" s="42" t="str">
        <x:v>交叉</x:v>
      </x:c>
      <x:c r="G32" s="42" t="str">
        <x:v>控制围歼</x:v>
      </x:c>
      <x:c r="H32" s="42" t="str">
        <x:v>踢回去</x:v>
      </x:c>
      <x:c r="I32" s="42" t="str">
        <x:v>首次攻击</x:v>
      </x:c>
      <x:c r="J32" s="42" t="str">
        <x:v>跳到目标身后并把它踢向友军</x:v>
      </x:c>
      <x:c r="K32" s="36" t="str">
        <x:v>首次攻击：跳到目标身后，把它踢向友军。</x:v>
      </x:c>
      <x:c r="L32" s="42" t="str">
        <x:v>动作喜剧</x:v>
      </x:c>
      <x:c r="M32" s="36" t="str">
        <x:v>袋鼠越过目标，回身一脚把它踢回人群。</x:v>
      </x:c>
      <x:c r="N32" s="36" t="str">
        <x:v>让坦克站在第一攻击位，保护后排距离。</x:v>
      </x:c>
      <x:c r="O32" s="36" t="str">
        <x:v>每次登场1次</x:v>
      </x:c>
      <x:c r="P32" s="36" t="str">
        <x:v>需要跳跃落点与定向击退；高风险</x:v>
      </x:c>
      <x:c r="Q32" s="42" t="str">
        <x:v>C 史诗</x:v>
      </x:c>
    </x:row>
    <x:row r="33" ht="72" customHeight="1">
      <x:c r="A33" s="42" t="n">
        <x:v>29</x:v>
      </x:c>
      <x:c r="B33" s="36" t="str">
        <x:v>seal</x:v>
      </x:c>
      <x:c r="C33" s="42" t="str">
        <x:v>海豹</x:v>
      </x:c>
      <x:c r="D33" s="42" t="str">
        <x:v>史诗</x:v>
      </x:c>
      <x:c r="E33" s="42" t="str">
        <x:v>遗响接棒</x:v>
      </x:c>
      <x:c r="F33" s="42" t="str">
        <x:v>交叉</x:v>
      </x:c>
      <x:c r="G33" s="42" t="str">
        <x:v>护群反攻</x:v>
      </x:c>
      <x:c r="H33" s="42" t="str">
        <x:v>拍掌加油</x:v>
      </x:c>
      <x:c r="I33" s="42" t="str">
        <x:v>附近友军阵亡</x:v>
      </x:c>
      <x:c r="J33" s="42" t="str">
        <x:v>给最近友军1层屏障</x:v>
      </x:c>
      <x:c r="K33" s="36" t="str">
        <x:v>附近友军阵亡：海豹拍掌，给最近友军1层屏障。</x:v>
      </x:c>
      <x:c r="L33" s="42" t="str">
        <x:v>救援反转</x:v>
      </x:c>
      <x:c r="M33" s="36" t="str">
        <x:v>海豹拍掌，屏障像水花一样罩住接班者。</x:v>
      </x:c>
      <x:c r="N33" s="36" t="str">
        <x:v>先击杀海豹，或错开阵亡时间。</x:v>
      </x:c>
      <x:c r="O33" s="36" t="str">
        <x:v>公开3秒冷却</x:v>
      </x:c>
      <x:c r="P33" s="36" t="str">
        <x:v>复用阵亡侦听、最近友军与屏障；低风险</x:v>
      </x:c>
      <x:c r="Q33" s="42" t="str">
        <x:v>C 史诗</x:v>
      </x:c>
    </x:row>
    <x:row r="34" ht="72" customHeight="1">
      <x:c r="A34" s="42" t="n">
        <x:v>30</x:v>
      </x:c>
      <x:c r="B34" s="36" t="str">
        <x:v>swan</x:v>
      </x:c>
      <x:c r="C34" s="42" t="str">
        <x:v>天鹅</x:v>
      </x:c>
      <x:c r="D34" s="42" t="str">
        <x:v>史诗</x:v>
      </x:c>
      <x:c r="E34" s="42" t="str">
        <x:v>群潮推进</x:v>
      </x:c>
      <x:c r="F34" s="42" t="str">
        <x:v>交叉</x:v>
      </x:c>
      <x:c r="G34" s="42" t="str">
        <x:v>护群反攻</x:v>
      </x:c>
      <x:c r="H34" s="42" t="str">
        <x:v>成双护航</x:v>
      </x:c>
      <x:c r="I34" s="42" t="str">
        <x:v>登场</x:v>
      </x:c>
      <x:c r="J34" s="42" t="str">
        <x:v>与最近友军共同减伤1点</x:v>
      </x:c>
      <x:c r="K34" s="36" t="str">
        <x:v>登场：与最近友军结伴，双方受到伤害-1。</x:v>
      </x:c>
      <x:c r="L34" s="42" t="str">
        <x:v>队友接力</x:v>
      </x:c>
      <x:c r="M34" s="36" t="str">
        <x:v>两只动物之间出现一条心形护航线。</x:v>
      </x:c>
      <x:c r="N34" s="36" t="str">
        <x:v>击退其中一只或从两个方向分开攻击。</x:v>
      </x:c>
      <x:c r="O34" s="36" t="str">
        <x:v>同时只结伴1只友军</x:v>
      </x:c>
      <x:c r="P34" s="36" t="str">
        <x:v>需要配对状态与距离线；中风险</x:v>
      </x:c>
      <x:c r="Q34" s="42" t="str">
        <x:v>C 史诗</x:v>
      </x:c>
    </x:row>
    <x:row r="35" ht="72" customHeight="1">
      <x:c r="A35" s="42" t="n">
        <x:v>31</x:v>
      </x:c>
      <x:c r="B35" s="36" t="str">
        <x:v>wolf</x:v>
      </x:c>
      <x:c r="C35" s="42" t="str">
        <x:v>狼</x:v>
      </x:c>
      <x:c r="D35" s="42" t="str">
        <x:v>史诗</x:v>
      </x:c>
      <x:c r="E35" s="42" t="str">
        <x:v>标记围猎</x:v>
      </x:c>
      <x:c r="F35" s="42" t="str">
        <x:v>核心</x:v>
      </x:c>
      <x:c r="G35" s="42" t="str">
        <x:v>—</x:v>
      </x:c>
      <x:c r="H35" s="42" t="str">
        <x:v>一起咬</x:v>
      </x:c>
      <x:c r="I35" s="42" t="str">
        <x:v>攻击友军正在攻击的目标</x:v>
      </x:c>
      <x:c r="J35" s="42" t="str">
        <x:v>立刻补咬1口</x:v>
      </x:c>
      <x:c r="K35" s="36" t="str">
        <x:v>攻击友军正在攻击的目标：立刻补咬1口，每3秒1次。</x:v>
      </x:c>
      <x:c r="L35" s="42" t="str">
        <x:v>队友接力</x:v>
      </x:c>
      <x:c r="M35" s="36" t="str">
        <x:v>两个爪印合在一起，狼从侧面补咬。</x:v>
      </x:c>
      <x:c r="N35" s="36" t="str">
        <x:v>强迫友军分散目标或及时换目标。</x:v>
      </x:c>
      <x:c r="O35" s="36" t="str">
        <x:v>公开3秒冷却</x:v>
      </x:c>
      <x:c r="P35" s="36" t="str">
        <x:v>需要同目标检测与额外普攻；中风险</x:v>
      </x:c>
      <x:c r="Q35" s="42" t="str">
        <x:v>C 史诗</x:v>
      </x:c>
    </x:row>
    <x:row r="36" ht="72" customHeight="1">
      <x:c r="A36" s="42" t="n">
        <x:v>32</x:v>
      </x:c>
      <x:c r="B36" s="36" t="str">
        <x:v>horse</x:v>
      </x:c>
      <x:c r="C36" s="42" t="str">
        <x:v>马</x:v>
      </x:c>
      <x:c r="D36" s="42" t="str">
        <x:v>史诗</x:v>
      </x:c>
      <x:c r="E36" s="42" t="str">
        <x:v>疾行拓地</x:v>
      </x:c>
      <x:c r="F36" s="42" t="str">
        <x:v>重要</x:v>
      </x:c>
      <x:c r="G36" s="42" t="str">
        <x:v>—</x:v>
      </x:c>
      <x:c r="H36" s="42" t="str">
        <x:v>全队开跑</x:v>
      </x:c>
      <x:c r="I36" s="42" t="str">
        <x:v>登场</x:v>
      </x:c>
      <x:c r="J36" s="42" t="str">
        <x:v>所有在场友军向前冲一小段</x:v>
      </x:c>
      <x:c r="K36" s="36" t="str">
        <x:v>登场：所有在场友军向前冲一小段。</x:v>
      </x:c>
      <x:c r="L36" s="42" t="str">
        <x:v>路线抢点</x:v>
      </x:c>
      <x:c r="M36" s="36" t="str">
        <x:v>马扬蹄，全队脚下同时出现短冲刺线。</x:v>
      </x:c>
      <x:c r="N36" s="36" t="str">
        <x:v>在冲刺终点预置控制或前排。</x:v>
      </x:c>
      <x:c r="O36" s="36" t="str">
        <x:v>无</x:v>
      </x:c>
      <x:c r="P36" s="36" t="str">
        <x:v>需要群体短位移与落点校验；中风险</x:v>
      </x:c>
      <x:c r="Q36" s="42" t="str">
        <x:v>C 史诗</x:v>
      </x:c>
    </x:row>
    <x:row r="37" ht="72" customHeight="1">
      <x:c r="A37" s="42" t="n">
        <x:v>33</x:v>
      </x:c>
      <x:c r="B37" s="36" t="str">
        <x:v>cow</x:v>
      </x:c>
      <x:c r="C37" s="42" t="str">
        <x:v>牛</x:v>
      </x:c>
      <x:c r="D37" s="42" t="str">
        <x:v>史诗</x:v>
      </x:c>
      <x:c r="E37" s="42" t="str">
        <x:v>疾行拓地</x:v>
      </x:c>
      <x:c r="F37" s="42" t="str">
        <x:v>重要</x:v>
      </x:c>
      <x:c r="G37" s="42" t="str">
        <x:v>—</x:v>
      </x:c>
      <x:c r="H37" s="42" t="str">
        <x:v>占地送奶</x:v>
      </x:c>
      <x:c r="I37" s="42" t="str">
        <x:v>完成占领</x:v>
      </x:c>
      <x:c r="J37" s="42" t="str">
        <x:v>最低生命友军恢复2点生命</x:v>
      </x:c>
      <x:c r="K37" s="36" t="str">
        <x:v>完成占领：给附近最低生命友军送奶，恢复2点生命。</x:v>
      </x:c>
      <x:c r="L37" s="42" t="str">
        <x:v>路线抢点</x:v>
      </x:c>
      <x:c r="M37" s="36" t="str">
        <x:v>一小瓶牛奶沿弧线飞给受伤最重的队友。</x:v>
      </x:c>
      <x:c r="N37" s="36" t="str">
        <x:v>在占领前完成击杀，或迫使牛离开争夺区。</x:v>
      </x:c>
      <x:c r="O37" s="36" t="str">
        <x:v>每块地每次占领结算1次</x:v>
      </x:c>
      <x:c r="P37" s="36" t="str">
        <x:v>复用占领、低生命筛选与治疗；低风险</x:v>
      </x:c>
      <x:c r="Q37" s="42" t="str">
        <x:v>C 史诗</x:v>
      </x:c>
    </x:row>
    <x:row r="38" ht="72" customHeight="1">
      <x:c r="A38" s="42" t="n">
        <x:v>34</x:v>
      </x:c>
      <x:c r="B38" s="36" t="str">
        <x:v>zebra</x:v>
      </x:c>
      <x:c r="C38" s="42" t="str">
        <x:v>斑马</x:v>
      </x:c>
      <x:c r="D38" s="42" t="str">
        <x:v>史诗</x:v>
      </x:c>
      <x:c r="E38" s="42" t="str">
        <x:v>疾行拓地</x:v>
      </x:c>
      <x:c r="F38" s="42" t="str">
        <x:v>重要</x:v>
      </x:c>
      <x:c r="G38" s="42" t="str">
        <x:v>—</x:v>
      </x:c>
      <x:c r="H38" s="42" t="str">
        <x:v>冲刺飞踢</x:v>
      </x:c>
      <x:c r="I38" s="42" t="str">
        <x:v>移动一段距离后</x:v>
      </x:c>
      <x:c r="J38" s="42" t="str">
        <x:v>下一击把目标踢退一格</x:v>
      </x:c>
      <x:c r="K38" s="36" t="str">
        <x:v>移动一段距离后：下一击把目标踢退一格。</x:v>
      </x:c>
      <x:c r="L38" s="42" t="str">
        <x:v>路线抢点</x:v>
      </x:c>
      <x:c r="M38" s="36" t="str">
        <x:v>奔跑条纹逐渐变亮，第一脚把敌人踢飞。</x:v>
      </x:c>
      <x:c r="N38" s="36" t="str">
        <x:v>在它蓄满前减速或逼它提前接战。</x:v>
      </x:c>
      <x:c r="O38" s="36" t="str">
        <x:v>脚下公开显示蓄力条纹</x:v>
      </x:c>
      <x:c r="P38" s="36" t="str">
        <x:v>需要移动距离蓄力与击退；中风险</x:v>
      </x:c>
      <x:c r="Q38" s="42" t="str">
        <x:v>C 史诗</x:v>
      </x:c>
    </x:row>
    <x:row r="39" ht="72" customHeight="1">
      <x:c r="A39" s="42" t="n">
        <x:v>35</x:v>
      </x:c>
      <x:c r="B39" s="36" t="str">
        <x:v>camel</x:v>
      </x:c>
      <x:c r="C39" s="42" t="str">
        <x:v>骆驼</x:v>
      </x:c>
      <x:c r="D39" s="42" t="str">
        <x:v>史诗</x:v>
      </x:c>
      <x:c r="E39" s="42" t="str">
        <x:v>控制围歼</x:v>
      </x:c>
      <x:c r="F39" s="42" t="str">
        <x:v>交叉</x:v>
      </x:c>
      <x:c r="G39" s="42" t="str">
        <x:v>护群反攻</x:v>
      </x:c>
      <x:c r="H39" s="42" t="str">
        <x:v>呸你一下</x:v>
      </x:c>
      <x:c r="I39" s="42" t="str">
        <x:v>生命首次低于一半</x:v>
      </x:c>
      <x:c r="J39" s="42" t="str">
        <x:v>让攻击者减速3秒</x:v>
      </x:c>
      <x:c r="K39" s="36" t="str">
        <x:v>生命首次低于一半：朝攻击者吐口水，使其减速3秒。</x:v>
      </x:c>
      <x:c r="L39" s="42" t="str">
        <x:v>动作喜剧</x:v>
      </x:c>
      <x:c r="M39" s="36" t="str">
        <x:v>骆驼回头吐出一小团水花，攻击者脚下打滑。</x:v>
      </x:c>
      <x:c r="N39" s="36" t="str">
        <x:v>用远程小伤害触发后再让近战接近。</x:v>
      </x:c>
      <x:c r="O39" s="36" t="str">
        <x:v>每次登场1次</x:v>
      </x:c>
      <x:c r="P39" s="36" t="str">
        <x:v>复用生命阈值、攻击来源与减速；低风险</x:v>
      </x:c>
      <x:c r="Q39" s="42" t="str">
        <x:v>C 史诗</x:v>
      </x:c>
    </x:row>
    <x:row r="40" ht="72" customHeight="1">
      <x:c r="A40" s="42" t="n">
        <x:v>36</x:v>
      </x:c>
      <x:c r="B40" s="36" t="str">
        <x:v>dolphin</x:v>
      </x:c>
      <x:c r="C40" s="42" t="str">
        <x:v>海豚</x:v>
      </x:c>
      <x:c r="D40" s="42" t="str">
        <x:v>史诗</x:v>
      </x:c>
      <x:c r="E40" s="42" t="str">
        <x:v>标记围猎</x:v>
      </x:c>
      <x:c r="F40" s="42" t="str">
        <x:v>重要</x:v>
      </x:c>
      <x:c r="G40" s="42" t="str">
        <x:v>—</x:v>
      </x:c>
      <x:c r="H40" s="42" t="str">
        <x:v>回声点名</x:v>
      </x:c>
      <x:c r="I40" s="42" t="str">
        <x:v>首次攻击</x:v>
      </x:c>
      <x:c r="J40" s="42" t="str">
        <x:v>把目标标记给全队</x:v>
      </x:c>
      <x:c r="K40" s="36" t="str">
        <x:v>首次攻击：用回声把目标标记给全队。</x:v>
      </x:c>
      <x:c r="L40" s="42" t="str">
        <x:v>追逐猎杀</x:v>
      </x:c>
      <x:c r="M40" s="36" t="str">
        <x:v>一圈回声波从海豚扩散到目标，目标亮起蓝圈。</x:v>
      </x:c>
      <x:c r="N40" s="36" t="str">
        <x:v>用坦克接首击，或快速拉开被标记者。</x:v>
      </x:c>
      <x:c r="O40" s="36" t="str">
        <x:v>同时只保留1个海豚标记</x:v>
      </x:c>
      <x:c r="P40" s="36" t="str">
        <x:v>复用首次攻击与标记；低风险</x:v>
      </x:c>
      <x:c r="Q40" s="42" t="str">
        <x:v>C 史诗</x:v>
      </x:c>
    </x:row>
    <x:row r="41" ht="72" customHeight="1">
      <x:c r="A41" s="42" t="n">
        <x:v>37</x:v>
      </x:c>
      <x:c r="B41" s="36" t="str">
        <x:v>falcon</x:v>
      </x:c>
      <x:c r="C41" s="42" t="str">
        <x:v>猎鹰</x:v>
      </x:c>
      <x:c r="D41" s="42" t="str">
        <x:v>史诗</x:v>
      </x:c>
      <x:c r="E41" s="42" t="str">
        <x:v>疾行拓地</x:v>
      </x:c>
      <x:c r="F41" s="42" t="str">
        <x:v>交叉</x:v>
      </x:c>
      <x:c r="G41" s="42" t="str">
        <x:v>标记围猎</x:v>
      </x:c>
      <x:c r="H41" s="42" t="str">
        <x:v>俯冲打断</x:v>
      </x:c>
      <x:c r="I41" s="42" t="str">
        <x:v>首次攻击</x:v>
      </x:c>
      <x:c r="J41" s="42" t="str">
        <x:v>俯冲最远远程敌人并打断它</x:v>
      </x:c>
      <x:c r="K41" s="36" t="str">
        <x:v>首次攻击：俯冲最远的远程敌人并打断它。</x:v>
      </x:c>
      <x:c r="L41" s="42" t="str">
        <x:v>追逐猎杀</x:v>
      </x:c>
      <x:c r="M41" s="36" t="str">
        <x:v>猎鹰升高后画出俯冲线，撞断远程单位动作。</x:v>
      </x:c>
      <x:c r="N41" s="36" t="str">
        <x:v>用低价值远程站在更远处当诱饵。</x:v>
      </x:c>
      <x:c r="O41" s="36" t="str">
        <x:v>每次登场1次</x:v>
      </x:c>
      <x:c r="P41" s="36" t="str">
        <x:v>需要远程筛选、跳跃与攻击中断；高风险</x:v>
      </x:c>
      <x:c r="Q41" s="42" t="str">
        <x:v>C 史诗</x:v>
      </x:c>
    </x:row>
    <x:row r="42" ht="72" customHeight="1">
      <x:c r="A42" s="42" t="n">
        <x:v>38</x:v>
      </x:c>
      <x:c r="B42" s="36" t="str">
        <x:v>boar</x:v>
      </x:c>
      <x:c r="C42" s="42" t="str">
        <x:v>野猪</x:v>
      </x:c>
      <x:c r="D42" s="42" t="str">
        <x:v>史诗</x:v>
      </x:c>
      <x:c r="E42" s="42" t="str">
        <x:v>控制围歼</x:v>
      </x:c>
      <x:c r="F42" s="42" t="str">
        <x:v>核心</x:v>
      </x:c>
      <x:c r="G42" s="42" t="str">
        <x:v>—</x:v>
      </x:c>
      <x:c r="H42" s="42" t="str">
        <x:v>拱进去</x:v>
      </x:c>
      <x:c r="I42" s="42" t="str">
        <x:v>登场</x:v>
      </x:c>
      <x:c r="J42" s="42" t="str">
        <x:v>冲向最近敌人并眩晕2秒</x:v>
      </x:c>
      <x:c r="K42" s="36" t="str">
        <x:v>登场：冲向最近敌人，撞到后眩晕2秒。</x:v>
      </x:c>
      <x:c r="L42" s="42" t="str">
        <x:v>动作喜剧</x:v>
      </x:c>
      <x:c r="M42" s="36" t="str">
        <x:v>野猪刨地后直线冲出，敌人原地转圈。</x:v>
      </x:c>
      <x:c r="N42" s="36" t="str">
        <x:v>用前排截住冲锋，保护后排。</x:v>
      </x:c>
      <x:c r="O42" s="36" t="str">
        <x:v>无</x:v>
      </x:c>
      <x:c r="P42" s="36" t="str">
        <x:v>复用冲锋、碰撞与眩晕；中风险</x:v>
      </x:c>
      <x:c r="Q42" s="42" t="str">
        <x:v>C 史诗</x:v>
      </x:c>
    </x:row>
    <x:row r="43" ht="72" customHeight="1">
      <x:c r="A43" s="42" t="n">
        <x:v>39</x:v>
      </x:c>
      <x:c r="B43" s="36" t="str">
        <x:v>crane</x:v>
      </x:c>
      <x:c r="C43" s="42" t="str">
        <x:v>鹤</x:v>
      </x:c>
      <x:c r="D43" s="42" t="str">
        <x:v>史诗</x:v>
      </x:c>
      <x:c r="E43" s="42" t="str">
        <x:v>护群反攻</x:v>
      </x:c>
      <x:c r="F43" s="42" t="str">
        <x:v>重要</x:v>
      </x:c>
      <x:c r="G43" s="42" t="str">
        <x:v>—</x:v>
      </x:c>
      <x:c r="H43" s="42" t="str">
        <x:v>羽毛绷带</x:v>
      </x:c>
      <x:c r="I43" s="42" t="str">
        <x:v>每8秒</x:v>
      </x:c>
      <x:c r="J43" s="42" t="str">
        <x:v>最低生命友军恢复2点生命</x:v>
      </x:c>
      <x:c r="K43" s="36" t="str">
        <x:v>每8秒：给最低生命友军绑上羽毛绷带，恢复2点生命。</x:v>
      </x:c>
      <x:c r="L43" s="42" t="str">
        <x:v>救援反转</x:v>
      </x:c>
      <x:c r="M43" s="36" t="str">
        <x:v>一根羽毛绕受伤友军转一圈，变成小绷带。</x:v>
      </x:c>
      <x:c r="N43" s="36" t="str">
        <x:v>在治疗前集火完成击杀，或先处理鹤。</x:v>
      </x:c>
      <x:c r="O43" s="36" t="str">
        <x:v>公开8秒羽毛计时</x:v>
      </x:c>
      <x:c r="P43" s="36" t="str">
        <x:v>复用周期、低生命筛选与治疗；低风险</x:v>
      </x:c>
      <x:c r="Q43" s="42" t="str">
        <x:v>C 史诗</x:v>
      </x:c>
    </x:row>
    <x:row r="44" ht="72" customHeight="1">
      <x:c r="A44" s="42" t="n">
        <x:v>40</x:v>
      </x:c>
      <x:c r="B44" s="36" t="str">
        <x:v>lynx</x:v>
      </x:c>
      <x:c r="C44" s="42" t="str">
        <x:v>猞猁</x:v>
      </x:c>
      <x:c r="D44" s="42" t="str">
        <x:v>史诗</x:v>
      </x:c>
      <x:c r="E44" s="42" t="str">
        <x:v>标记围猎</x:v>
      </x:c>
      <x:c r="F44" s="42" t="str">
        <x:v>交叉</x:v>
      </x:c>
      <x:c r="G44" s="42" t="str">
        <x:v>控制围歼</x:v>
      </x:c>
      <x:c r="H44" s="42" t="str">
        <x:v>侧扑锁住</x:v>
      </x:c>
      <x:c r="I44" s="42" t="str">
        <x:v>首次攻击</x:v>
      </x:c>
      <x:c r="J44" s="42" t="str">
        <x:v>从侧面扑出并定身目标2秒</x:v>
      </x:c>
      <x:c r="K44" s="36" t="str">
        <x:v>首次攻击：从侧面扑出，让目标2秒不能移动。</x:v>
      </x:c>
      <x:c r="L44" s="42" t="str">
        <x:v>追逐猎杀</x:v>
      </x:c>
      <x:c r="M44" s="36" t="str">
        <x:v>猞猁从目标侧面草影中跳出，地面出现爪印锁。</x:v>
      </x:c>
      <x:c r="N44" s="36" t="str">
        <x:v>用前排接首次攻击，或提前暴露猞猁。</x:v>
      </x:c>
      <x:c r="O44" s="36" t="str">
        <x:v>每次登场1次</x:v>
      </x:c>
      <x:c r="P44" s="36" t="str">
        <x:v>需要侧面落点、跳跃与定身；高风险</x:v>
      </x:c>
      <x:c r="Q44" s="42" t="str">
        <x:v>C 史诗</x:v>
      </x:c>
    </x:row>
    <x:row r="45" ht="72" customHeight="1">
      <x:c r="A45" s="42" t="n">
        <x:v>41</x:v>
      </x:c>
      <x:c r="B45" s="36" t="str">
        <x:v>bear</x:v>
      </x:c>
      <x:c r="C45" s="42" t="str">
        <x:v>熊</x:v>
      </x:c>
      <x:c r="D45" s="42" t="str">
        <x:v>传说</x:v>
      </x:c>
      <x:c r="E45" s="42" t="str">
        <x:v>控制围歼</x:v>
      </x:c>
      <x:c r="F45" s="42" t="str">
        <x:v>交叉</x:v>
      </x:c>
      <x:c r="G45" s="42" t="str">
        <x:v>护群反攻</x:v>
      </x:c>
      <x:c r="H45" s="42" t="str">
        <x:v>都看我！</x:v>
      </x:c>
      <x:c r="I45" s="42" t="str">
        <x:v>登场</x:v>
      </x:c>
      <x:c r="J45" s="42" t="str">
        <x:v>震退附近敌人并让它们转向熊</x:v>
      </x:c>
      <x:c r="K45" s="36" t="str">
        <x:v>登场：大吼一声，震退附近敌人并让它们转向熊。</x:v>
      </x:c>
      <x:c r="L45" s="42" t="str">
        <x:v>救援反转</x:v>
      </x:c>
      <x:c r="M45" s="36" t="str">
        <x:v>圆形吼声波把敌人推开，所有视线箭头转向熊。</x:v>
      </x:c>
      <x:c r="N45" s="36" t="str">
        <x:v>分线站位，避免全队同时吃咆哮。</x:v>
      </x:c>
      <x:c r="O45" s="36" t="str">
        <x:v>每次登场1次</x:v>
      </x:c>
      <x:c r="P45" s="36" t="str">
        <x:v>需要范围击退与短嘲讽；高风险</x:v>
      </x:c>
      <x:c r="Q45" s="42" t="str">
        <x:v>D 传说</x:v>
      </x:c>
    </x:row>
    <x:row r="46" ht="72" customHeight="1">
      <x:c r="A46" s="42" t="n">
        <x:v>42</x:v>
      </x:c>
      <x:c r="B46" s="36" t="str">
        <x:v>tiger</x:v>
      </x:c>
      <x:c r="C46" s="42" t="str">
        <x:v>老虎</x:v>
      </x:c>
      <x:c r="D46" s="42" t="str">
        <x:v>传说</x:v>
      </x:c>
      <x:c r="E46" s="42" t="str">
        <x:v>控制围歼</x:v>
      </x:c>
      <x:c r="F46" s="42" t="str">
        <x:v>重要</x:v>
      </x:c>
      <x:c r="G46" s="42" t="str">
        <x:v>—</x:v>
      </x:c>
      <x:c r="H46" s="42" t="str">
        <x:v>第三拍横扫</x:v>
      </x:c>
      <x:c r="I46" s="42" t="str">
        <x:v>每第3次攻击</x:v>
      </x:c>
      <x:c r="J46" s="42" t="str">
        <x:v>横扫目标周围敌人</x:v>
      </x:c>
      <x:c r="K46" s="36" t="str">
        <x:v>每第3次攻击：横扫目标周围所有敌人。</x:v>
      </x:c>
      <x:c r="L46" s="42" t="str">
        <x:v>成长期待</x:v>
      </x:c>
      <x:c r="M46" s="36" t="str">
        <x:v>爪印逐格点亮，第三格亮时扫出大扇形。</x:v>
      </x:c>
      <x:c r="N46" s="36" t="str">
        <x:v>在第三拍前打断、击退或分散站位。</x:v>
      </x:c>
      <x:c r="O46" s="36" t="str">
        <x:v>头顶公开3格爪印计数</x:v>
      </x:c>
      <x:c r="P46" s="36" t="str">
        <x:v>复用公开攻击计数与范围伤害；中风险</x:v>
      </x:c>
      <x:c r="Q46" s="42" t="str">
        <x:v>D 传说</x:v>
      </x:c>
    </x:row>
    <x:row r="47" ht="72" customHeight="1">
      <x:c r="A47" s="42" t="n">
        <x:v>43</x:v>
      </x:c>
      <x:c r="B47" s="36" t="str">
        <x:v>lion</x:v>
      </x:c>
      <x:c r="C47" s="42" t="str">
        <x:v>狮子</x:v>
      </x:c>
      <x:c r="D47" s="42" t="str">
        <x:v>传说</x:v>
      </x:c>
      <x:c r="E47" s="42" t="str">
        <x:v>遗响接棒</x:v>
      </x:c>
      <x:c r="F47" s="42" t="str">
        <x:v>重要</x:v>
      </x:c>
      <x:c r="G47" s="42" t="str">
        <x:v>—</x:v>
      </x:c>
      <x:c r="H47" s="42" t="str">
        <x:v>幼狮接班</x:v>
      </x:c>
      <x:c r="I47" s="42" t="str">
        <x:v>阵亡</x:v>
      </x:c>
      <x:c r="J47" s="42" t="str">
        <x:v>召唤2只幼狮</x:v>
      </x:c>
      <x:c r="K47" s="36" t="str">
        <x:v>阵亡：两只幼狮从身后跳出来接班。</x:v>
      </x:c>
      <x:c r="L47" s="42" t="str">
        <x:v>惊喜增援</x:v>
      </x:c>
      <x:c r="M47" s="36" t="str">
        <x:v>两只幼狮一左一右从鬃毛后面跳出来。</x:v>
      </x:c>
      <x:c r="N47" s="36" t="str">
        <x:v>把狮子拉到范围伤害区再击杀。</x:v>
      </x:c>
      <x:c r="O47" s="36" t="str">
        <x:v>幼狮无技能</x:v>
      </x:c>
      <x:c r="P47" s="36" t="str">
        <x:v>复用亡语双召唤与落点；中风险</x:v>
      </x:c>
      <x:c r="Q47" s="42" t="str">
        <x:v>D 传说</x:v>
      </x:c>
    </x:row>
    <x:row r="48" ht="72" customHeight="1">
      <x:c r="A48" s="42" t="n">
        <x:v>44</x:v>
      </x:c>
      <x:c r="B48" s="36" t="str">
        <x:v>rhino</x:v>
      </x:c>
      <x:c r="C48" s="42" t="str">
        <x:v>犀牛</x:v>
      </x:c>
      <x:c r="D48" s="42" t="str">
        <x:v>传说</x:v>
      </x:c>
      <x:c r="E48" s="42" t="str">
        <x:v>疾行拓地</x:v>
      </x:c>
      <x:c r="F48" s="42" t="str">
        <x:v>交叉</x:v>
      </x:c>
      <x:c r="G48" s="42" t="str">
        <x:v>控制围歼</x:v>
      </x:c>
      <x:c r="H48" s="42" t="str">
        <x:v>一路顶开</x:v>
      </x:c>
      <x:c r="I48" s="42" t="str">
        <x:v>登场</x:v>
      </x:c>
      <x:c r="J48" s="42" t="str">
        <x:v>沿直线把首个敌人撞到下一格</x:v>
      </x:c>
      <x:c r="K48" s="36" t="str">
        <x:v>登场：沿直线冲锋，把首个敌人撞到下一格。</x:v>
      </x:c>
      <x:c r="L48" s="42" t="str">
        <x:v>路线抢点</x:v>
      </x:c>
      <x:c r="M48" s="36" t="str">
        <x:v>地面画出粗直线，犀牛顶着敌人滑到下一格。</x:v>
      </x:c>
      <x:c r="N48" s="36" t="str">
        <x:v>用低价值前排挡在冲锋线上。</x:v>
      </x:c>
      <x:c r="O48" s="36" t="str">
        <x:v>遇到首个敌人即停止</x:v>
      </x:c>
      <x:c r="P48" s="36" t="str">
        <x:v>需要跨格直线冲锋与碰撞落点；高风险</x:v>
      </x:c>
      <x:c r="Q48" s="42" t="str">
        <x:v>D 传说</x:v>
      </x:c>
    </x:row>
    <x:row r="49" ht="72" customHeight="1">
      <x:c r="A49" s="42" t="n">
        <x:v>45</x:v>
      </x:c>
      <x:c r="B49" s="36" t="str">
        <x:v>hippo</x:v>
      </x:c>
      <x:c r="C49" s="42" t="str">
        <x:v>河马</x:v>
      </x:c>
      <x:c r="D49" s="42" t="str">
        <x:v>传说</x:v>
      </x:c>
      <x:c r="E49" s="42" t="str">
        <x:v>疾行拓地</x:v>
      </x:c>
      <x:c r="F49" s="42" t="str">
        <x:v>重要</x:v>
      </x:c>
      <x:c r="G49" s="42" t="str">
        <x:v>—</x:v>
      </x:c>
      <x:c r="H49" s="42" t="str">
        <x:v>河口跺脚</x:v>
      </x:c>
      <x:c r="I49" s="42" t="str">
        <x:v>进入争夺地块</x:v>
      </x:c>
      <x:c r="J49" s="42" t="str">
        <x:v>把附近敌人震到地块边缘</x:v>
      </x:c>
      <x:c r="K49" s="36" t="str">
        <x:v>进入争夺地块：跺脚把附近敌人震到地块边缘。</x:v>
      </x:c>
      <x:c r="L49" s="42" t="str">
        <x:v>路线抢点</x:v>
      </x:c>
      <x:c r="M49" s="36" t="str">
        <x:v>地块中心鼓起水波，敌人滑向六边形边缘。</x:v>
      </x:c>
      <x:c r="N49" s="36" t="str">
        <x:v>分批进入，或在河马进圈前将其控制。</x:v>
      </x:c>
      <x:c r="O49" s="36" t="str">
        <x:v>每次登场1次</x:v>
      </x:c>
      <x:c r="P49" s="36" t="str">
        <x:v>需要争夺状态与地块边缘落点；高风险</x:v>
      </x:c>
      <x:c r="Q49" s="42" t="str">
        <x:v>D 传说</x:v>
      </x:c>
    </x:row>
    <x:row r="50" ht="72" customHeight="1">
      <x:c r="A50" s="42" t="n">
        <x:v>46</x:v>
      </x:c>
      <x:c r="B50" s="36" t="str">
        <x:v>giraffe</x:v>
      </x:c>
      <x:c r="C50" s="42" t="str">
        <x:v>长颈鹿</x:v>
      </x:c>
      <x:c r="D50" s="42" t="str">
        <x:v>传说</x:v>
      </x:c>
      <x:c r="E50" s="42" t="str">
        <x:v>疾行拓地</x:v>
      </x:c>
      <x:c r="F50" s="42" t="str">
        <x:v>交叉</x:v>
      </x:c>
      <x:c r="G50" s="42" t="str">
        <x:v>护群反攻</x:v>
      </x:c>
      <x:c r="H50" s="42" t="str">
        <x:v>高处报点</x:v>
      </x:c>
      <x:c r="I50" s="42" t="str">
        <x:v>登场</x:v>
      </x:c>
      <x:c r="J50" s="42" t="str">
        <x:v>全队各挡住下一次远程攻击</x:v>
      </x:c>
      <x:c r="K50" s="36" t="str">
        <x:v>登场：俯身给全队报点，各自挡住下一次远程攻击。</x:v>
      </x:c>
      <x:c r="L50" s="42" t="str">
        <x:v>救援反转</x:v>
      </x:c>
      <x:c r="M50" s="36" t="str">
        <x:v>长颈鹿抬头望远，友军头顶同时亮起望远镜盾牌。</x:v>
      </x:c>
      <x:c r="N50" s="36" t="str">
        <x:v>先用小额远程攻击消耗护盾。</x:v>
      </x:c>
      <x:c r="O50" s="36" t="str">
        <x:v>每名友军1次远程护盾</x:v>
      </x:c>
      <x:c r="P50" s="36" t="str">
        <x:v>需要全队一次性远程伤害拦截；中风险</x:v>
      </x:c>
      <x:c r="Q50" s="42" t="str">
        <x:v>D 传说</x:v>
      </x:c>
    </x:row>
    <x:row r="51" ht="72" customHeight="1">
      <x:c r="A51" s="42" t="n">
        <x:v>47</x:v>
      </x:c>
      <x:c r="B51" s="36" t="str">
        <x:v>gorilla</x:v>
      </x:c>
      <x:c r="C51" s="42" t="str">
        <x:v>大猩猩</x:v>
      </x:c>
      <x:c r="D51" s="42" t="str">
        <x:v>传说</x:v>
      </x:c>
      <x:c r="E51" s="42" t="str">
        <x:v>护群反攻</x:v>
      </x:c>
      <x:c r="F51" s="42" t="str">
        <x:v>重要</x:v>
      </x:c>
      <x:c r="G51" s="42" t="str">
        <x:v>—</x:v>
      </x:c>
      <x:c r="H51" s="42" t="str">
        <x:v>挨打就捶胸</x:v>
      </x:c>
      <x:c r="I51" s="42" t="str">
        <x:v>首次受伤</x:v>
      </x:c>
      <x:c r="J51" s="42" t="str">
        <x:v>立即反击攻击者1次</x:v>
      </x:c>
      <x:c r="K51" s="36" t="str">
        <x:v>首次受伤：捶胸，立即对攻击者反击1次。</x:v>
      </x:c>
      <x:c r="L51" s="42" t="str">
        <x:v>救援反转</x:v>
      </x:c>
      <x:c r="M51" s="36" t="str">
        <x:v>大猩猩捶胸两下，立刻回身打一拳。</x:v>
      </x:c>
      <x:c r="N51" s="36" t="str">
        <x:v>用远程或低价值攻击骗掉反击。</x:v>
      </x:c>
      <x:c r="O51" s="36" t="str">
        <x:v>每次登场1次</x:v>
      </x:c>
      <x:c r="P51" s="36" t="str">
        <x:v>复用首次受伤与立即普攻；中风险</x:v>
      </x:c>
      <x:c r="Q51" s="42" t="str">
        <x:v>D 传说</x:v>
      </x:c>
    </x:row>
    <x:row r="52" ht="72" customHeight="1">
      <x:c r="A52" s="42" t="n">
        <x:v>48</x:v>
      </x:c>
      <x:c r="B52" s="36" t="str">
        <x:v>leopard</x:v>
      </x:c>
      <x:c r="C52" s="42" t="str">
        <x:v>豹子</x:v>
      </x:c>
      <x:c r="D52" s="42" t="str">
        <x:v>传说</x:v>
      </x:c>
      <x:c r="E52" s="42" t="str">
        <x:v>标记围猎</x:v>
      </x:c>
      <x:c r="F52" s="42" t="str">
        <x:v>重要</x:v>
      </x:c>
      <x:c r="G52" s="42" t="str">
        <x:v>—</x:v>
      </x:c>
      <x:c r="H52" s="42" t="str">
        <x:v>再扑一个</x:v>
      </x:c>
      <x:c r="I52" s="42" t="str">
        <x:v>击杀远程敌人</x:v>
      </x:c>
      <x:c r="J52" s="42" t="str">
        <x:v>扑向下一名远程敌人</x:v>
      </x:c>
      <x:c r="K52" s="36" t="str">
        <x:v>击杀远程敌人：立刻扑向下一名远程敌人。</x:v>
      </x:c>
      <x:c r="L52" s="42" t="str">
        <x:v>追逐猎杀</x:v>
      </x:c>
      <x:c r="M52" s="36" t="str">
        <x:v>豹子落地不停，马上画出下一条扑击弧线。</x:v>
      </x:c>
      <x:c r="N52" s="36" t="str">
        <x:v>用近战保护远程，或分散远程站位。</x:v>
      </x:c>
      <x:c r="O52" s="36" t="str">
        <x:v>没有远程目标则停止</x:v>
      </x:c>
      <x:c r="P52" s="36" t="str">
        <x:v>复用击杀、远程筛选与跳跃；高风险</x:v>
      </x:c>
      <x:c r="Q52" s="42" t="str">
        <x:v>D 传说</x:v>
      </x:c>
    </x:row>
    <x:row r="53" ht="72" customHeight="1">
      <x:c r="A53" s="42" t="n">
        <x:v>49</x:v>
      </x:c>
      <x:c r="B53" s="36" t="str">
        <x:v>eagle</x:v>
      </x:c>
      <x:c r="C53" s="42" t="str">
        <x:v>老鹰</x:v>
      </x:c>
      <x:c r="D53" s="42" t="str">
        <x:v>传说</x:v>
      </x:c>
      <x:c r="E53" s="42" t="str">
        <x:v>标记围猎</x:v>
      </x:c>
      <x:c r="F53" s="42" t="str">
        <x:v>重要</x:v>
      </x:c>
      <x:c r="G53" s="42" t="str">
        <x:v>—</x:v>
      </x:c>
      <x:c r="H53" s="42" t="str">
        <x:v>抓回来</x:v>
      </x:c>
      <x:c r="I53" s="42" t="str">
        <x:v>发现低生命敌人</x:v>
      </x:c>
      <x:c r="J53" s="42" t="str">
        <x:v>把它摔到己方阵前</x:v>
      </x:c>
      <x:c r="K53" s="36" t="str">
        <x:v>发现低生命敌人：把它抓起，摔到己方阵前。</x:v>
      </x:c>
      <x:c r="L53" s="42" t="str">
        <x:v>追逐猎杀</x:v>
      </x:c>
      <x:c r="M53" s="36" t="str">
        <x:v>老鹰短暂抓起目标，影子越过地面后把它放下。</x:v>
      </x:c>
      <x:c r="N53" s="36" t="str">
        <x:v>及时治疗低生命目标，或让坦克更早掉血当诱饵。</x:v>
      </x:c>
      <x:c r="O53" s="36" t="str">
        <x:v>每次登场1次</x:v>
      </x:c>
      <x:c r="P53" s="36" t="str">
        <x:v>需要抓取、无敌保护与安全落点；高风险</x:v>
      </x:c>
      <x:c r="Q53" s="42" t="str">
        <x:v>D 传说</x:v>
      </x:c>
    </x:row>
    <x:row r="54" ht="72" customHeight="1">
      <x:c r="A54" s="42" t="n">
        <x:v>50</x:v>
      </x:c>
      <x:c r="B54" s="36" t="str">
        <x:v>crocodile</x:v>
      </x:c>
      <x:c r="C54" s="42" t="str">
        <x:v>鳄鱼</x:v>
      </x:c>
      <x:c r="D54" s="42" t="str">
        <x:v>传说</x:v>
      </x:c>
      <x:c r="E54" s="42" t="str">
        <x:v>控制围歼</x:v>
      </x:c>
      <x:c r="F54" s="42" t="str">
        <x:v>重要</x:v>
      </x:c>
      <x:c r="G54" s="42" t="str">
        <x:v>—</x:v>
      </x:c>
      <x:c r="H54" s="42" t="str">
        <x:v>咬住翻滚</x:v>
      </x:c>
      <x:c r="I54" s="42" t="str">
        <x:v>连续咬中同一目标3次</x:v>
      </x:c>
      <x:c r="J54" s="42" t="str">
        <x:v>翻滚并束缚目标3秒</x:v>
      </x:c>
      <x:c r="K54" s="36" t="str">
        <x:v>连续咬中同一目标3次：翻滚并束缚它3秒。</x:v>
      </x:c>
      <x:c r="L54" s="42" t="str">
        <x:v>成长期待</x:v>
      </x:c>
      <x:c r="M54" s="36" t="str">
        <x:v>牙印逐个亮起，第三口后鳄鱼抱着目标滚一圈。</x:v>
      </x:c>
      <x:c r="N54" s="36" t="str">
        <x:v>在第三口前换目标、击退或打断。</x:v>
      </x:c>
      <x:c r="O54" s="36" t="str">
        <x:v>目标旁公开3枚牙印</x:v>
      </x:c>
      <x:c r="P54" s="36" t="str">
        <x:v>需要公开同目标计数、动画与束缚；高风险</x:v>
      </x:c>
      <x:c r="Q54" s="42" t="str">
        <x:v>D 传说</x:v>
      </x:c>
    </x:row>
    <x:row r="55" ht="72" customHeight="1">
      <x:c r="A55" s="42" t="n">
        <x:v>51</x:v>
      </x:c>
      <x:c r="B55" s="36" t="str">
        <x:v>elephant</x:v>
      </x:c>
      <x:c r="C55" s="42" t="str">
        <x:v>大象</x:v>
      </x:c>
      <x:c r="D55" s="42" t="str">
        <x:v>传说</x:v>
      </x:c>
      <x:c r="E55" s="42" t="str">
        <x:v>护群反攻</x:v>
      </x:c>
      <x:c r="F55" s="42" t="str">
        <x:v>重要</x:v>
      </x:c>
      <x:c r="G55" s="42" t="str">
        <x:v>—</x:v>
      </x:c>
      <x:c r="H55" s="42" t="str">
        <x:v>鼻子救援</x:v>
      </x:c>
      <x:c r="I55" s="42" t="str">
        <x:v>附近友军将受致命伤</x:v>
      </x:c>
      <x:c r="J55" s="42" t="str">
        <x:v>把它拉到身后并代受此击</x:v>
      </x:c>
      <x:c r="K55" s="36" t="str">
        <x:v>附近友军将受致命伤：拉到身后，并由大象代受此击。</x:v>
      </x:c>
      <x:c r="L55" s="42" t="str">
        <x:v>救援反转</x:v>
      </x:c>
      <x:c r="M55" s="36" t="str">
        <x:v>长鼻卷住友军拉到身后，大象跨步接下攻击。</x:v>
      </x:c>
      <x:c r="N55" s="36" t="str">
        <x:v>先用小爆发逼出救援，再处理真正核心。</x:v>
      </x:c>
      <x:c r="O55" s="36" t="str">
        <x:v>每次登场1次</x:v>
      </x:c>
      <x:c r="P55" s="36" t="str">
        <x:v>需要致命伤预判、拉回与伤害替代；高风险</x:v>
      </x:c>
      <x:c r="Q55" s="42" t="str">
        <x:v>D 传说</x:v>
      </x:c>
    </x:row>
    <x:row r="56" ht="72" customHeight="1">
      <x:c r="A56" s="42" t="n">
        <x:v>52</x:v>
      </x:c>
      <x:c r="B56" s="36" t="str">
        <x:v>blue_whale</x:v>
      </x:c>
      <x:c r="C56" s="42" t="str">
        <x:v>蓝鲸</x:v>
      </x:c>
      <x:c r="D56" s="42" t="str">
        <x:v>传说</x:v>
      </x:c>
      <x:c r="E56" s="42" t="str">
        <x:v>护群反攻</x:v>
      </x:c>
      <x:c r="F56" s="42" t="str">
        <x:v>交叉</x:v>
      </x:c>
      <x:c r="G56" s="42" t="str">
        <x:v>群潮推进</x:v>
      </x:c>
      <x:c r="H56" s="42" t="str">
        <x:v>泡泡鲸歌</x:v>
      </x:c>
      <x:c r="I56" s="42" t="str">
        <x:v>每10秒</x:v>
      </x:c>
      <x:c r="J56" s="42" t="str">
        <x:v>附近友军各获得1层屏障</x:v>
      </x:c>
      <x:c r="K56" s="36" t="str">
        <x:v>每10秒：吹出大泡泡，附近友军各获得1层屏障。</x:v>
      </x:c>
      <x:c r="L56" s="42" t="str">
        <x:v>成长期待</x:v>
      </x:c>
      <x:c r="M56" s="36" t="str">
        <x:v>大泡泡从蓝鲸头顶升起，再分成小泡泡罩住友军。</x:v>
      </x:c>
      <x:c r="N56" s="36" t="str">
        <x:v>在泡泡完成前集火，或先击退友军离开范围。</x:v>
      </x:c>
      <x:c r="O56" s="36" t="str">
        <x:v>公开10秒泡泡计时</x:v>
      </x:c>
      <x:c r="P56" s="36" t="str">
        <x:v>复用周期、范围与屏障；中风险</x:v>
      </x:c>
      <x:c r="Q56" s="42" t="str">
        <x:v>D 传说</x:v>
      </x:c>
    </x:row>
    <x:row r="57" ht="72" customHeight="1">
      <x:c r="A57" s="42" t="n">
        <x:v>53</x:v>
      </x:c>
      <x:c r="B57" s="36" t="str">
        <x:v>orca</x:v>
      </x:c>
      <x:c r="C57" s="42" t="str">
        <x:v>虎鲸</x:v>
      </x:c>
      <x:c r="D57" s="42" t="str">
        <x:v>传说</x:v>
      </x:c>
      <x:c r="E57" s="42" t="str">
        <x:v>标记围猎</x:v>
      </x:c>
      <x:c r="F57" s="42" t="str">
        <x:v>重要</x:v>
      </x:c>
      <x:c r="G57" s="42" t="str">
        <x:v>—</x:v>
      </x:c>
      <x:c r="H57" s="42" t="str">
        <x:v>跃起拍击</x:v>
      </x:c>
      <x:c r="I57" s="42" t="str">
        <x:v>两名友军攻击同一目标</x:v>
      </x:c>
      <x:c r="J57" s="42" t="str">
        <x:v>跃起拍击该目标</x:v>
      </x:c>
      <x:c r="K57" s="36" t="str">
        <x:v>两名友军攻击同一目标：虎鲸跃起拍击，每4秒1次。</x:v>
      </x:c>
      <x:c r="L57" s="42" t="str">
        <x:v>队友接力</x:v>
      </x:c>
      <x:c r="M57" s="36" t="str">
        <x:v>同目标出现两条攻击线后，虎鲸跃起压下水花。</x:v>
      </x:c>
      <x:c r="N57" s="36" t="str">
        <x:v>分散友军目标，或及时让被围攻者脱离。</x:v>
      </x:c>
      <x:c r="O57" s="36" t="str">
        <x:v>公开4秒冷却</x:v>
      </x:c>
      <x:c r="P57" s="36" t="str">
        <x:v>需要同目标人数检测与跃起表现；高风险</x:v>
      </x:c>
      <x:c r="Q57" s="42" t="str">
        <x:v>D 传说</x:v>
      </x:c>
    </x:row>
    <x:row r="58" ht="72" customHeight="1">
      <x:c r="A58" s="42" t="n">
        <x:v>54</x:v>
      </x:c>
      <x:c r="B58" s="36" t="str">
        <x:v>shark</x:v>
      </x:c>
      <x:c r="C58" s="42" t="str">
        <x:v>鲨鱼</x:v>
      </x:c>
      <x:c r="D58" s="42" t="str">
        <x:v>传说</x:v>
      </x:c>
      <x:c r="E58" s="42" t="str">
        <x:v>标记围猎</x:v>
      </x:c>
      <x:c r="F58" s="42" t="str">
        <x:v>交叉</x:v>
      </x:c>
      <x:c r="G58" s="42" t="str">
        <x:v>控制围歼</x:v>
      </x:c>
      <x:c r="H58" s="42" t="str">
        <x:v>闻血开追</x:v>
      </x:c>
      <x:c r="I58" s="42" t="str">
        <x:v>敌人低于一半生命</x:v>
      </x:c>
      <x:c r="J58" s="42" t="str">
        <x:v>加速追击该敌人</x:v>
      </x:c>
      <x:c r="K58" s="36" t="str">
        <x:v>敌人低于一半生命：鲨鱼加速追击，直到换目标。</x:v>
      </x:c>
      <x:c r="L58" s="42" t="str">
        <x:v>追逐猎杀</x:v>
      </x:c>
      <x:c r="M58" s="36" t="str">
        <x:v>血滴图标亮起，鲨鱼背鳍沿地面快速逼近。</x:v>
      </x:c>
      <x:c r="N58" s="36" t="str">
        <x:v>治疗过半血，或用位移让鲨鱼换目标。</x:v>
      </x:c>
      <x:c r="O58" s="36" t="str">
        <x:v>同一时间只追1个目标</x:v>
      </x:c>
      <x:c r="P58" s="36" t="str">
        <x:v>复用生命阈值、目标锁定与加速；中风险</x:v>
      </x:c>
      <x:c r="Q58" s="42" t="str">
        <x:v>D 传说</x:v>
      </x:c>
    </x:row>
    <x:row r="59" ht="72" customHeight="1">
      <x:c r="A59" s="42" t="n">
        <x:v>55</x:v>
      </x:c>
      <x:c r="B59" s="36" t="str">
        <x:v>python</x:v>
      </x:c>
      <x:c r="C59" s="42" t="str">
        <x:v>巨蟒</x:v>
      </x:c>
      <x:c r="D59" s="42" t="str">
        <x:v>传说</x:v>
      </x:c>
      <x:c r="E59" s="42" t="str">
        <x:v>控制围歼</x:v>
      </x:c>
      <x:c r="F59" s="42" t="str">
        <x:v>重要</x:v>
      </x:c>
      <x:c r="G59" s="42" t="str">
        <x:v>—</x:v>
      </x:c>
      <x:c r="H59" s="42" t="str">
        <x:v>一起别动</x:v>
      </x:c>
      <x:c r="I59" s="42" t="str">
        <x:v>首次咬中</x:v>
      </x:c>
      <x:c r="J59" s="42" t="str">
        <x:v>与目标一起定身3秒</x:v>
      </x:c>
      <x:c r="K59" s="36" t="str">
        <x:v>首次咬中：缠住目标，双方3秒不能移动。</x:v>
      </x:c>
      <x:c r="L59" s="42" t="str">
        <x:v>动作喜剧</x:v>
      </x:c>
      <x:c r="M59" s="36" t="str">
        <x:v>巨蟒把自己和目标卷成一个清楚的圆结。</x:v>
      </x:c>
      <x:c r="N59" s="36" t="str">
        <x:v>用低价值前排接首次咬击，随后绕开。</x:v>
      </x:c>
      <x:c r="O59" s="36" t="str">
        <x:v>每次登场1次；双方都受限</x:v>
      </x:c>
      <x:c r="P59" s="36" t="str">
        <x:v>需要双向定身与中断清理；中风险</x:v>
      </x:c>
      <x:c r="Q59" s="42" t="str">
        <x:v>D 传说</x:v>
      </x:c>
    </x:row>
    <x:row r="60" ht="72" customHeight="1">
      <x:c r="A60" s="42" t="n">
        <x:v>56</x:v>
      </x:c>
      <x:c r="B60" s="36" t="str">
        <x:v>komodo_dragon</x:v>
      </x:c>
      <x:c r="C60" s="42" t="str">
        <x:v>科莫多龙</x:v>
      </x:c>
      <x:c r="D60" s="42" t="str">
        <x:v>传说</x:v>
      </x:c>
      <x:c r="E60" s="42" t="str">
        <x:v>控制围歼</x:v>
      </x:c>
      <x:c r="F60" s="42" t="str">
        <x:v>重要</x:v>
      </x:c>
      <x:c r="G60" s="42" t="str">
        <x:v>—</x:v>
      </x:c>
      <x:c r="H60" s="42" t="str">
        <x:v>毒雾脚印</x:v>
      </x:c>
      <x:c r="I60" s="42" t="str">
        <x:v>咬中目标</x:v>
      </x:c>
      <x:c r="J60" s="42" t="str">
        <x:v>让目标身后留下减速毒雾</x:v>
      </x:c>
      <x:c r="K60" s="36" t="str">
        <x:v>咬中目标：目标身后拖出毒雾，经过的敌人会减速。</x:v>
      </x:c>
      <x:c r="L60" s="42" t="str">
        <x:v>路线抢点</x:v>
      </x:c>
      <x:c r="M60" s="36" t="str">
        <x:v>目标逃跑时拖出绿色脚印，后续敌人踩上会打滑。</x:v>
      </x:c>
      <x:c r="N60" s="36" t="str">
        <x:v>换路线，或让低价值单位把毒雾带离战线。</x:v>
      </x:c>
      <x:c r="O60" s="36" t="str">
        <x:v>场上只保留1条毒雾</x:v>
      </x:c>
      <x:c r="P60" s="36" t="str">
        <x:v>需要移动轨迹区域与单实例限制；高风险</x:v>
      </x:c>
      <x:c r="Q60" s="42" t="str">
        <x:v>D 传说</x:v>
      </x:c>
    </x:row>
    <x:row r="61" ht="72" customHeight="1">
      <x:c r="A61" s="42" t="n">
        <x:v>57</x:v>
      </x:c>
      <x:c r="B61" s="36" t="str">
        <x:v>polar_bear</x:v>
      </x:c>
      <x:c r="C61" s="42" t="str">
        <x:v>北极熊</x:v>
      </x:c>
      <x:c r="D61" s="42" t="str">
        <x:v>传说</x:v>
      </x:c>
      <x:c r="E61" s="42" t="str">
        <x:v>护群反攻</x:v>
      </x:c>
      <x:c r="F61" s="42" t="str">
        <x:v>交叉</x:v>
      </x:c>
      <x:c r="G61" s="42" t="str">
        <x:v>控制围歼</x:v>
      </x:c>
      <x:c r="H61" s="42" t="str">
        <x:v>抖雪反冻</x:v>
      </x:c>
      <x:c r="I61" s="42" t="str">
        <x:v>连续挨打3次</x:v>
      </x:c>
      <x:c r="J61" s="42" t="str">
        <x:v>冻住附近敌人2秒</x:v>
      </x:c>
      <x:c r="K61" s="36" t="str">
        <x:v>连续挨打3次：抖出一圈雪，冻住附近敌人2秒。</x:v>
      </x:c>
      <x:c r="L61" s="42" t="str">
        <x:v>救援反转</x:v>
      </x:c>
      <x:c r="M61" s="36" t="str">
        <x:v>雪球逐颗堆在背上，第三颗时北极熊抖出雪圈。</x:v>
      </x:c>
      <x:c r="N61" s="36" t="str">
        <x:v>错开攻击节奏，或在第三击前退开。</x:v>
      </x:c>
      <x:c r="O61" s="36" t="str">
        <x:v>头顶公开3颗雪球计数</x:v>
      </x:c>
      <x:c r="P61" s="36" t="str">
        <x:v>需要公开受击计数与范围定身；中风险</x:v>
      </x:c>
      <x:c r="Q61" s="42" t="str">
        <x:v>D 传说</x:v>
      </x:c>
    </x:row>
    <x:row r="62" ht="72" customHeight="1">
      <x:c r="A62" s="42" t="n">
        <x:v>58</x:v>
      </x:c>
      <x:c r="B62" s="36" t="str">
        <x:v>silverback</x:v>
      </x:c>
      <x:c r="C62" s="42" t="str">
        <x:v>银背猩猩</x:v>
      </x:c>
      <x:c r="D62" s="42" t="str">
        <x:v>传说</x:v>
      </x:c>
      <x:c r="E62" s="42" t="str">
        <x:v>遗响接棒</x:v>
      </x:c>
      <x:c r="F62" s="42" t="str">
        <x:v>重要</x:v>
      </x:c>
      <x:c r="G62" s="42" t="str">
        <x:v>—</x:v>
      </x:c>
      <x:c r="H62" s="42" t="str">
        <x:v>青年接班</x:v>
      </x:c>
      <x:c r="I62" s="42" t="str">
        <x:v>阵亡</x:v>
      </x:c>
      <x:c r="J62" s="42" t="str">
        <x:v>召唤1只青年猩猩</x:v>
      </x:c>
      <x:c r="K62" s="36" t="str">
        <x:v>阵亡：青年猩猩捶着胸口从后方接班。</x:v>
      </x:c>
      <x:c r="L62" s="42" t="str">
        <x:v>惊喜增援</x:v>
      </x:c>
      <x:c r="M62" s="36" t="str">
        <x:v>银背倒下后，青年猩猩从后方跑来捶胸。</x:v>
      </x:c>
      <x:c r="N62" s="36" t="str">
        <x:v>把阵亡位置留在不利地形或范围伤害中。</x:v>
      </x:c>
      <x:c r="O62" s="36" t="str">
        <x:v>青年猩猩无技能</x:v>
      </x:c>
      <x:c r="P62" s="36" t="str">
        <x:v>复用亡语召唤与后方落点；低风险</x:v>
      </x:c>
      <x:c r="Q62" s="42" t="str">
        <x:v>D 传说</x:v>
      </x:c>
    </x:row>
    <x:row r="63" ht="72" customHeight="1">
      <x:c r="A63" s="42" t="n">
        <x:v>59</x:v>
      </x:c>
      <x:c r="B63" s="36" t="str">
        <x:v>golden_eagle</x:v>
      </x:c>
      <x:c r="C63" s="42" t="str">
        <x:v>金雕</x:v>
      </x:c>
      <x:c r="D63" s="42" t="str">
        <x:v>传说</x:v>
      </x:c>
      <x:c r="E63" s="42" t="str">
        <x:v>标记围猎</x:v>
      </x:c>
      <x:c r="F63" s="42" t="str">
        <x:v>交叉</x:v>
      </x:c>
      <x:c r="G63" s="42" t="str">
        <x:v>群潮推进</x:v>
      </x:c>
      <x:c r="H63" s="42" t="str">
        <x:v>金羽三连</x:v>
      </x:c>
      <x:c r="I63" s="42" t="str">
        <x:v>每次攻击</x:v>
      </x:c>
      <x:c r="J63" s="42" t="str">
        <x:v>同时命中目标旁边2个敌人</x:v>
      </x:c>
      <x:c r="K63" s="36" t="str">
        <x:v>每次攻击：飞羽同时命中目标旁边2个敌人。</x:v>
      </x:c>
      <x:c r="L63" s="42" t="str">
        <x:v>队友接力</x:v>
      </x:c>
      <x:c r="M63" s="36" t="str">
        <x:v>主爪击后分出两片金羽，飞向左右目标。</x:v>
      </x:c>
      <x:c r="N63" s="36" t="str">
        <x:v>分散站位，避免三个目标靠在一起。</x:v>
      </x:c>
      <x:c r="O63" s="36" t="str">
        <x:v>最多2个额外目标</x:v>
      </x:c>
      <x:c r="P63" s="36" t="str">
        <x:v>复用邻近目标与额外弹道；中风险</x:v>
      </x:c>
      <x:c r="Q63" s="42" t="str">
        <x:v>D 传说</x:v>
      </x:c>
    </x:row>
    <x:row r="64" ht="72" customHeight="1">
      <x:c r="A64" s="42" t="n">
        <x:v>60</x:v>
      </x:c>
      <x:c r="B64" s="36" t="str">
        <x:v>mammoth</x:v>
      </x:c>
      <x:c r="C64" s="42" t="str">
        <x:v>猛犸象</x:v>
      </x:c>
      <x:c r="D64" s="42" t="str">
        <x:v>传说</x:v>
      </x:c>
      <x:c r="E64" s="42" t="str">
        <x:v>群潮推进</x:v>
      </x:c>
      <x:c r="F64" s="42" t="str">
        <x:v>交叉</x:v>
      </x:c>
      <x:c r="G64" s="42" t="str">
        <x:v>护群反攻</x:v>
      </x:c>
      <x:c r="H64" s="42" t="str">
        <x:v>长牙开路</x:v>
      </x:c>
      <x:c r="I64" s="42" t="str">
        <x:v>登场</x:v>
      </x:c>
      <x:c r="J64" s="42" t="str">
        <x:v>推开前方敌人并保护身后友军</x:v>
      </x:c>
      <x:c r="K64" s="36" t="str">
        <x:v>登场：推开前方敌人，并给身后友军1层屏障。</x:v>
      </x:c>
      <x:c r="L64" s="42" t="str">
        <x:v>救援反转</x:v>
      </x:c>
      <x:c r="M64" s="36" t="str">
        <x:v>长牙掀开前线，回落的雪尘变成身后友军屏障。</x:v>
      </x:c>
      <x:c r="N64" s="36" t="str">
        <x:v>从侧面进攻，避开正面扇形。</x:v>
      </x:c>
      <x:c r="O64" s="36" t="str">
        <x:v>只保护最近1名身后友军</x:v>
      </x:c>
      <x:c r="P64" s="36" t="str">
        <x:v>复用扇形击退、方向判定与屏障；高风险</x:v>
      </x:c>
      <x:c r="Q64" s="42" t="str">
        <x:v>D 传说</x:v>
      </x:c>
    </x:row>
  </x:sheetData>
  <x:mergeCells>
    <x:mergeCell ref="A1:Q1"/>
    <x:mergeCell ref="A2:Q2"/>
  </x:mergeCells>
  <x:conditionalFormatting sqref="D5:D64">
    <x:cfRule type="containsText" dxfId="3" priority="1" operator="containsText" text="普通"/>
    <x:cfRule type="containsText" dxfId="4" priority="2" operator="containsText" text="稀有"/>
    <x:cfRule type="containsText" dxfId="5" priority="3" operator="containsText" text="史诗"/>
    <x:cfRule type="containsText" dxfId="6" priority="4" operator="containsText" text="传说"/>
  </x:conditionalFormatting>
  <x:conditionalFormatting sqref="F5:F64">
    <x:cfRule type="containsText" dxfId="7" priority="5" operator="containsText" text="核心"/>
    <x:cfRule type="containsText" dxfId="8" priority="6" operator="containsText" text="交叉"/>
  </x:conditionalFormatting>
  <x:pageMargins left="0.7" right="0.7" top="0.75" bottom="0.75" header="0.3" footer="0.3"/>
  <x:tableParts count="1">
    <x:tablePart xmlns:r="http://schemas.openxmlformats.org/officeDocument/2006/relationships" r:id="Rf83405c8ac1e46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" hidden="0" customWidth="1"/>
    <x:col min="3" max="3" width="9" hidden="0" customWidth="1"/>
    <x:col min="4" max="4" width="11" hidden="0" customWidth="1"/>
    <x:col min="5" max="5" width="11" hidden="0" customWidth="1"/>
    <x:col min="6" max="6" width="10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2" hidden="0" customWidth="1"/>
    <x:col min="12" max="12" width="12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3" hidden="0" customWidth="1"/>
    <x:col min="18" max="18" width="15" hidden="0" customWidth="1"/>
  </x:cols>
  <x:sheetData>
    <x:row r="1" ht="34" customHeight="1">
      <x:c r="A1" s="4" t="str">
        <x:v>逐行质量检查｜复杂度、结构、长度、趣味与唯一性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30" customHeight="1">
      <x:c r="A2" s="8" t="str">
        <x:v>所有派生结论均由公式读取60只轻量技能页；PASS不是运行时完成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4" ht="32" customHeight="1">
      <x:c r="A4" s="14" t="str">
        <x:v>ID</x:v>
      </x:c>
      <x:c r="B4" s="14" t="str">
        <x:v>动物</x:v>
      </x:c>
      <x:c r="C4" s="14" t="str">
        <x:v>品质</x:v>
      </x:c>
      <x:c r="D4" s="14" t="str">
        <x:v>复杂度</x:v>
      </x:c>
      <x:c r="E4" s="14" t="str">
        <x:v>品质上限</x:v>
      </x:c>
      <x:c r="F4" s="14" t="str">
        <x:v>触发数</x:v>
      </x:c>
      <x:c r="G4" s="14" t="str">
        <x:v>结果数</x:v>
      </x:c>
      <x:c r="H4" s="14" t="str">
        <x:v>条件数</x:v>
      </x:c>
      <x:c r="I4" s="14" t="str">
        <x:v>随机</x:v>
      </x:c>
      <x:c r="J4" s="14" t="str">
        <x:v>隐藏计数</x:v>
      </x:c>
      <x:c r="K4" s="14" t="str">
        <x:v>文案长度</x:v>
      </x:c>
      <x:c r="L4" s="14" t="str">
        <x:v>长度上限</x:v>
      </x:c>
      <x:c r="M4" s="14" t="str">
        <x:v>复杂度检查</x:v>
      </x:c>
      <x:c r="N4" s="14" t="str">
        <x:v>结构检查</x:v>
      </x:c>
      <x:c r="O4" s="14" t="str">
        <x:v>长度检查</x:v>
      </x:c>
      <x:c r="P4" s="14" t="str">
        <x:v>趣味/反制</x:v>
      </x:c>
      <x:c r="Q4" s="14" t="str">
        <x:v>唯一ID</x:v>
      </x:c>
      <x:c r="R4" s="14" t="str">
        <x:v>整行结论</x:v>
      </x:c>
    </x:row>
    <x:row r="5" ht="34" customHeight="1">
      <x:c r="A5" s="41" t="str">
        <x:v>mouse</x:v>
      </x:c>
      <x:c r="B5" s="41" t="str">
        <x:v>老鼠</x:v>
      </x:c>
      <x:c r="C5" s="41" t="str">
        <x:v>普通</x:v>
      </x:c>
      <x:c r="D5" s="41" t="n">
        <x:v>1</x:v>
      </x:c>
      <x:c r="E5" s="41" t="n">
        <x:v>1</x:v>
      </x:c>
      <x:c r="F5" s="41" t="n">
        <x:v>1</x:v>
      </x:c>
      <x:c r="G5" s="41" t="n">
        <x:v>1</x:v>
      </x:c>
      <x:c r="H5" s="41" t="n">
        <x:v>0</x:v>
      </x:c>
      <x:c r="I5" s="41" t="str">
        <x:v>否</x:v>
      </x:c>
      <x:c r="J5" s="41" t="str">
        <x:v>否</x:v>
      </x:c>
      <x:c r="K5" s="41" t="n">
        <x:f>LEN('60只轻量技能'!K5)</x:f>
        <x:v>12</x:v>
      </x:c>
      <x:c r="L5" s="41" t="n">
        <x:v>24</x:v>
      </x:c>
      <x:c r="M5" s="41" t="str">
        <x:f>IF(D5&lt;=E5,"PASS","FAIL")</x:f>
        <x:v>PASS</x:v>
      </x:c>
      <x:c r="N5" s="41" t="str">
        <x:f>IF(C5="普通",IF(AND(F5=1,G5=1,H5=0,I5="否",J5="否"),"PASS","FAIL"),IF(C5="稀有",IF(AND(F5=1,G5&lt;=1,H5&lt;=1,I5="否",J5="否"),"PASS","FAIL"),IF(C5="史诗",IF(AND(F5=1,G5&lt;=2,H5&lt;=1,I5="否",J5="否"),"PASS","FAIL"),IF(AND(F5=1,G5&lt;=2,H5&lt;=1,I5="否",J5="否"),"PASS","FAIL"))))</x:f>
        <x:v>PASS</x:v>
      </x:c>
      <x:c r="O5" s="41" t="str">
        <x:f>IF(K5&lt;=L5,"PASS","FAIL")</x:f>
        <x:v>PASS</x:v>
      </x:c>
      <x:c r="P5" s="41" t="str">
        <x:f>IF(AND('60只轻量技能'!L5&lt;&gt;"",'60只轻量技能'!M5&lt;&gt;"",'60只轻量技能'!N5&lt;&gt;""),"PASS","FAIL")</x:f>
        <x:v>PASS</x:v>
      </x:c>
      <x:c r="Q5" s="41" t="str">
        <x:f>IF(COUNTIF($A$5:$A$64,A5)=1,"PASS","FAIL")</x:f>
        <x:v>PASS</x:v>
      </x:c>
      <x:c r="R5" s="41" t="str">
        <x:f>IF(AND(M5="PASS",N5="PASS",O5="PASS",P5="PASS",Q5="PASS"),"PASS","FAIL")</x:f>
        <x:v>PASS</x:v>
      </x:c>
    </x:row>
    <x:row r="6" ht="34" customHeight="1">
      <x:c r="A6" s="42" t="str">
        <x:v>ant</x:v>
      </x:c>
      <x:c r="B6" s="42" t="str">
        <x:v>蚂蚁</x:v>
      </x:c>
      <x:c r="C6" s="42" t="str">
        <x:v>普通</x:v>
      </x:c>
      <x:c r="D6" s="42" t="n">
        <x:v>1</x:v>
      </x:c>
      <x:c r="E6" s="42" t="n">
        <x:v>1</x:v>
      </x:c>
      <x:c r="F6" s="42" t="n">
        <x:v>1</x:v>
      </x:c>
      <x:c r="G6" s="42" t="n">
        <x:v>1</x:v>
      </x:c>
      <x:c r="H6" s="42" t="n">
        <x:v>0</x:v>
      </x:c>
      <x:c r="I6" s="42" t="str">
        <x:v>否</x:v>
      </x:c>
      <x:c r="J6" s="42" t="str">
        <x:v>否</x:v>
      </x:c>
      <x:c r="K6" s="42" t="n">
        <x:f>LEN('60只轻量技能'!K6)</x:f>
        <x:v>20</x:v>
      </x:c>
      <x:c r="L6" s="42" t="n">
        <x:v>24</x:v>
      </x:c>
      <x:c r="M6" s="42" t="str">
        <x:f>IF(D6&lt;=E6,"PASS","FAIL")</x:f>
        <x:v>PASS</x:v>
      </x:c>
      <x:c r="N6" s="42" t="str">
        <x:f>IF(C6="普通",IF(AND(F6=1,G6=1,H6=0,I6="否",J6="否"),"PASS","FAIL"),IF(C6="稀有",IF(AND(F6=1,G6&lt;=1,H6&lt;=1,I6="否",J6="否"),"PASS","FAIL"),IF(C6="史诗",IF(AND(F6=1,G6&lt;=2,H6&lt;=1,I6="否",J6="否"),"PASS","FAIL"),IF(AND(F6=1,G6&lt;=2,H6&lt;=1,I6="否",J6="否"),"PASS","FAIL"))))</x:f>
        <x:v>PASS</x:v>
      </x:c>
      <x:c r="O6" s="42" t="str">
        <x:f>IF(K6&lt;=L6,"PASS","FAIL")</x:f>
        <x:v>PASS</x:v>
      </x:c>
      <x:c r="P6" s="42" t="str">
        <x:f>IF(AND('60只轻量技能'!L6&lt;&gt;"",'60只轻量技能'!M6&lt;&gt;"",'60只轻量技能'!N6&lt;&gt;""),"PASS","FAIL")</x:f>
        <x:v>PASS</x:v>
      </x:c>
      <x:c r="Q6" s="42" t="str">
        <x:f>IF(COUNTIF($A$5:$A$64,A6)=1,"PASS","FAIL")</x:f>
        <x:v>PASS</x:v>
      </x:c>
      <x:c r="R6" s="42" t="str">
        <x:f>IF(AND(M6="PASS",N6="PASS",O6="PASS",P6="PASS",Q6="PASS"),"PASS","FAIL")</x:f>
        <x:v>PASS</x:v>
      </x:c>
    </x:row>
    <x:row r="7" ht="34" customHeight="1">
      <x:c r="A7" s="42" t="str">
        <x:v>sparrow</x:v>
      </x:c>
      <x:c r="B7" s="42" t="str">
        <x:v>麻雀</x:v>
      </x:c>
      <x:c r="C7" s="42" t="str">
        <x:v>普通</x:v>
      </x:c>
      <x:c r="D7" s="42" t="n">
        <x:v>1</x:v>
      </x:c>
      <x:c r="E7" s="42" t="n">
        <x:v>1</x:v>
      </x:c>
      <x:c r="F7" s="42" t="n">
        <x:v>1</x:v>
      </x:c>
      <x:c r="G7" s="42" t="n">
        <x:v>1</x:v>
      </x:c>
      <x:c r="H7" s="42" t="n">
        <x:v>0</x:v>
      </x:c>
      <x:c r="I7" s="42" t="str">
        <x:v>否</x:v>
      </x:c>
      <x:c r="J7" s="42" t="str">
        <x:v>否</x:v>
      </x:c>
      <x:c r="K7" s="42" t="n">
        <x:f>LEN('60只轻量技能'!K7)</x:f>
        <x:v>17</x:v>
      </x:c>
      <x:c r="L7" s="42" t="n">
        <x:v>24</x:v>
      </x:c>
      <x:c r="M7" s="42" t="str">
        <x:f>IF(D7&lt;=E7,"PASS","FAIL")</x:f>
        <x:v>PASS</x:v>
      </x:c>
      <x:c r="N7" s="42" t="str">
        <x:f>IF(C7="普通",IF(AND(F7=1,G7=1,H7=0,I7="否",J7="否"),"PASS","FAIL"),IF(C7="稀有",IF(AND(F7=1,G7&lt;=1,H7&lt;=1,I7="否",J7="否"),"PASS","FAIL"),IF(C7="史诗",IF(AND(F7=1,G7&lt;=2,H7&lt;=1,I7="否",J7="否"),"PASS","FAIL"),IF(AND(F7=1,G7&lt;=2,H7&lt;=1,I7="否",J7="否"),"PASS","FAIL"))))</x:f>
        <x:v>PASS</x:v>
      </x:c>
      <x:c r="O7" s="42" t="str">
        <x:f>IF(K7&lt;=L7,"PASS","FAIL")</x:f>
        <x:v>PASS</x:v>
      </x:c>
      <x:c r="P7" s="42" t="str">
        <x:f>IF(AND('60只轻量技能'!L7&lt;&gt;"",'60只轻量技能'!M7&lt;&gt;"",'60只轻量技能'!N7&lt;&gt;""),"PASS","FAIL")</x:f>
        <x:v>PASS</x:v>
      </x:c>
      <x:c r="Q7" s="42" t="str">
        <x:f>IF(COUNTIF($A$5:$A$64,A7)=1,"PASS","FAIL")</x:f>
        <x:v>PASS</x:v>
      </x:c>
      <x:c r="R7" s="42" t="str">
        <x:f>IF(AND(M7="PASS",N7="PASS",O7="PASS",P7="PASS",Q7="PASS"),"PASS","FAIL")</x:f>
        <x:v>PASS</x:v>
      </x:c>
    </x:row>
    <x:row r="8" ht="34" customHeight="1">
      <x:c r="A8" s="42" t="str">
        <x:v>frog</x:v>
      </x:c>
      <x:c r="B8" s="42" t="str">
        <x:v>青蛙</x:v>
      </x:c>
      <x:c r="C8" s="42" t="str">
        <x:v>普通</x:v>
      </x:c>
      <x:c r="D8" s="42" t="n">
        <x:v>1</x:v>
      </x:c>
      <x:c r="E8" s="42" t="n">
        <x:v>1</x:v>
      </x:c>
      <x:c r="F8" s="42" t="n">
        <x:v>1</x:v>
      </x:c>
      <x:c r="G8" s="42" t="n">
        <x:v>1</x:v>
      </x:c>
      <x:c r="H8" s="42" t="n">
        <x:v>0</x:v>
      </x:c>
      <x:c r="I8" s="42" t="str">
        <x:v>否</x:v>
      </x:c>
      <x:c r="J8" s="42" t="str">
        <x:v>否</x:v>
      </x:c>
      <x:c r="K8" s="42" t="n">
        <x:f>LEN('60只轻量技能'!K8)</x:f>
        <x:v>16</x:v>
      </x:c>
      <x:c r="L8" s="42" t="n">
        <x:v>24</x:v>
      </x:c>
      <x:c r="M8" s="42" t="str">
        <x:f>IF(D8&lt;=E8,"PASS","FAIL")</x:f>
        <x:v>PASS</x:v>
      </x:c>
      <x:c r="N8" s="42" t="str">
        <x:f>IF(C8="普通",IF(AND(F8=1,G8=1,H8=0,I8="否",J8="否"),"PASS","FAIL"),IF(C8="稀有",IF(AND(F8=1,G8&lt;=1,H8&lt;=1,I8="否",J8="否"),"PASS","FAIL"),IF(C8="史诗",IF(AND(F8=1,G8&lt;=2,H8&lt;=1,I8="否",J8="否"),"PASS","FAIL"),IF(AND(F8=1,G8&lt;=2,H8&lt;=1,I8="否",J8="否"),"PASS","FAIL"))))</x:f>
        <x:v>PASS</x:v>
      </x:c>
      <x:c r="O8" s="42" t="str">
        <x:f>IF(K8&lt;=L8,"PASS","FAIL")</x:f>
        <x:v>PASS</x:v>
      </x:c>
      <x:c r="P8" s="42" t="str">
        <x:f>IF(AND('60只轻量技能'!L8&lt;&gt;"",'60只轻量技能'!M8&lt;&gt;"",'60只轻量技能'!N8&lt;&gt;""),"PASS","FAIL")</x:f>
        <x:v>PASS</x:v>
      </x:c>
      <x:c r="Q8" s="42" t="str">
        <x:f>IF(COUNTIF($A$5:$A$64,A8)=1,"PASS","FAIL")</x:f>
        <x:v>PASS</x:v>
      </x:c>
      <x:c r="R8" s="42" t="str">
        <x:f>IF(AND(M8="PASS",N8="PASS",O8="PASS",P8="PASS",Q8="PASS"),"PASS","FAIL")</x:f>
        <x:v>PASS</x:v>
      </x:c>
    </x:row>
    <x:row r="9" ht="34" customHeight="1">
      <x:c r="A9" s="42" t="str">
        <x:v>rabbit</x:v>
      </x:c>
      <x:c r="B9" s="42" t="str">
        <x:v>兔子</x:v>
      </x:c>
      <x:c r="C9" s="42" t="str">
        <x:v>普通</x:v>
      </x:c>
      <x:c r="D9" s="42" t="n">
        <x:v>1</x:v>
      </x:c>
      <x:c r="E9" s="42" t="n">
        <x:v>1</x:v>
      </x:c>
      <x:c r="F9" s="42" t="n">
        <x:v>1</x:v>
      </x:c>
      <x:c r="G9" s="42" t="n">
        <x:v>1</x:v>
      </x:c>
      <x:c r="H9" s="42" t="n">
        <x:v>0</x:v>
      </x:c>
      <x:c r="I9" s="42" t="str">
        <x:v>否</x:v>
      </x:c>
      <x:c r="J9" s="42" t="str">
        <x:v>否</x:v>
      </x:c>
      <x:c r="K9" s="42" t="n">
        <x:f>LEN('60只轻量技能'!K9)</x:f>
        <x:v>13</x:v>
      </x:c>
      <x:c r="L9" s="42" t="n">
        <x:v>24</x:v>
      </x:c>
      <x:c r="M9" s="42" t="str">
        <x:f>IF(D9&lt;=E9,"PASS","FAIL")</x:f>
        <x:v>PASS</x:v>
      </x:c>
      <x:c r="N9" s="42" t="str">
        <x:f>IF(C9="普通",IF(AND(F9=1,G9=1,H9=0,I9="否",J9="否"),"PASS","FAIL"),IF(C9="稀有",IF(AND(F9=1,G9&lt;=1,H9&lt;=1,I9="否",J9="否"),"PASS","FAIL"),IF(C9="史诗",IF(AND(F9=1,G9&lt;=2,H9&lt;=1,I9="否",J9="否"),"PASS","FAIL"),IF(AND(F9=1,G9&lt;=2,H9&lt;=1,I9="否",J9="否"),"PASS","FAIL"))))</x:f>
        <x:v>PASS</x:v>
      </x:c>
      <x:c r="O9" s="42" t="str">
        <x:f>IF(K9&lt;=L9,"PASS","FAIL")</x:f>
        <x:v>PASS</x:v>
      </x:c>
      <x:c r="P9" s="42" t="str">
        <x:f>IF(AND('60只轻量技能'!L9&lt;&gt;"",'60只轻量技能'!M9&lt;&gt;"",'60只轻量技能'!N9&lt;&gt;""),"PASS","FAIL")</x:f>
        <x:v>PASS</x:v>
      </x:c>
      <x:c r="Q9" s="42" t="str">
        <x:f>IF(COUNTIF($A$5:$A$64,A9)=1,"PASS","FAIL")</x:f>
        <x:v>PASS</x:v>
      </x:c>
      <x:c r="R9" s="42" t="str">
        <x:f>IF(AND(M9="PASS",N9="PASS",O9="PASS",P9="PASS",Q9="PASS"),"PASS","FAIL")</x:f>
        <x:v>PASS</x:v>
      </x:c>
    </x:row>
    <x:row r="10" ht="34" customHeight="1">
      <x:c r="A10" s="42" t="str">
        <x:v>chicken</x:v>
      </x:c>
      <x:c r="B10" s="42" t="str">
        <x:v>鸡</x:v>
      </x:c>
      <x:c r="C10" s="42" t="str">
        <x:v>普通</x:v>
      </x:c>
      <x:c r="D10" s="42" t="n">
        <x:v>1</x:v>
      </x:c>
      <x:c r="E10" s="42" t="n">
        <x:v>1</x:v>
      </x:c>
      <x:c r="F10" s="42" t="n">
        <x:v>1</x:v>
      </x:c>
      <x:c r="G10" s="42" t="n">
        <x:v>1</x:v>
      </x:c>
      <x:c r="H10" s="42" t="n">
        <x:v>0</x:v>
      </x:c>
      <x:c r="I10" s="42" t="str">
        <x:v>否</x:v>
      </x:c>
      <x:c r="J10" s="42" t="str">
        <x:v>否</x:v>
      </x:c>
      <x:c r="K10" s="42" t="n">
        <x:f>LEN('60只轻量技能'!K10)</x:f>
        <x:v>10</x:v>
      </x:c>
      <x:c r="L10" s="42" t="n">
        <x:v>24</x:v>
      </x:c>
      <x:c r="M10" s="42" t="str">
        <x:f>IF(D10&lt;=E10,"PASS","FAIL")</x:f>
        <x:v>PASS</x:v>
      </x:c>
      <x:c r="N10" s="42" t="str">
        <x:f>IF(C10="普通",IF(AND(F10=1,G10=1,H10=0,I10="否",J10="否"),"PASS","FAIL"),IF(C10="稀有",IF(AND(F10=1,G10&lt;=1,H10&lt;=1,I10="否",J10="否"),"PASS","FAIL"),IF(C10="史诗",IF(AND(F10=1,G10&lt;=2,H10&lt;=1,I10="否",J10="否"),"PASS","FAIL"),IF(AND(F10=1,G10&lt;=2,H10&lt;=1,I10="否",J10="否"),"PASS","FAIL"))))</x:f>
        <x:v>PASS</x:v>
      </x:c>
      <x:c r="O10" s="42" t="str">
        <x:f>IF(K10&lt;=L10,"PASS","FAIL")</x:f>
        <x:v>PASS</x:v>
      </x:c>
      <x:c r="P10" s="42" t="str">
        <x:f>IF(AND('60只轻量技能'!L10&lt;&gt;"",'60只轻量技能'!M10&lt;&gt;"",'60只轻量技能'!N10&lt;&gt;""),"PASS","FAIL")</x:f>
        <x:v>PASS</x:v>
      </x:c>
      <x:c r="Q10" s="42" t="str">
        <x:f>IF(COUNTIF($A$5:$A$64,A10)=1,"PASS","FAIL")</x:f>
        <x:v>PASS</x:v>
      </x:c>
      <x:c r="R10" s="42" t="str">
        <x:f>IF(AND(M10="PASS",N10="PASS",O10="PASS",P10="PASS",Q10="PASS"),"PASS","FAIL")</x:f>
        <x:v>PASS</x:v>
      </x:c>
    </x:row>
    <x:row r="11" ht="34" customHeight="1">
      <x:c r="A11" s="42" t="str">
        <x:v>pigeon</x:v>
      </x:c>
      <x:c r="B11" s="42" t="str">
        <x:v>鸽子</x:v>
      </x:c>
      <x:c r="C11" s="42" t="str">
        <x:v>普通</x:v>
      </x:c>
      <x:c r="D11" s="42" t="n">
        <x:v>1</x:v>
      </x:c>
      <x:c r="E11" s="42" t="n">
        <x:v>1</x:v>
      </x:c>
      <x:c r="F11" s="42" t="n">
        <x:v>1</x:v>
      </x:c>
      <x:c r="G11" s="42" t="n">
        <x:v>1</x:v>
      </x:c>
      <x:c r="H11" s="42" t="n">
        <x:v>0</x:v>
      </x:c>
      <x:c r="I11" s="42" t="str">
        <x:v>否</x:v>
      </x:c>
      <x:c r="J11" s="42" t="str">
        <x:v>否</x:v>
      </x:c>
      <x:c r="K11" s="42" t="n">
        <x:f>LEN('60只轻量技能'!K11)</x:f>
        <x:v>14</x:v>
      </x:c>
      <x:c r="L11" s="42" t="n">
        <x:v>24</x:v>
      </x:c>
      <x:c r="M11" s="42" t="str">
        <x:f>IF(D11&lt;=E11,"PASS","FAIL")</x:f>
        <x:v>PASS</x:v>
      </x:c>
      <x:c r="N11" s="42" t="str">
        <x:f>IF(C11="普通",IF(AND(F11=1,G11=1,H11=0,I11="否",J11="否"),"PASS","FAIL"),IF(C11="稀有",IF(AND(F11=1,G11&lt;=1,H11&lt;=1,I11="否",J11="否"),"PASS","FAIL"),IF(C11="史诗",IF(AND(F11=1,G11&lt;=2,H11&lt;=1,I11="否",J11="否"),"PASS","FAIL"),IF(AND(F11=1,G11&lt;=2,H11&lt;=1,I11="否",J11="否"),"PASS","FAIL"))))</x:f>
        <x:v>PASS</x:v>
      </x:c>
      <x:c r="O11" s="42" t="str">
        <x:f>IF(K11&lt;=L11,"PASS","FAIL")</x:f>
        <x:v>PASS</x:v>
      </x:c>
      <x:c r="P11" s="42" t="str">
        <x:f>IF(AND('60只轻量技能'!L11&lt;&gt;"",'60只轻量技能'!M11&lt;&gt;"",'60只轻量技能'!N11&lt;&gt;""),"PASS","FAIL")</x:f>
        <x:v>PASS</x:v>
      </x:c>
      <x:c r="Q11" s="42" t="str">
        <x:f>IF(COUNTIF($A$5:$A$64,A11)=1,"PASS","FAIL")</x:f>
        <x:v>PASS</x:v>
      </x:c>
      <x:c r="R11" s="42" t="str">
        <x:f>IF(AND(M11="PASS",N11="PASS",O11="PASS",P11="PASS",Q11="PASS"),"PASS","FAIL")</x:f>
        <x:v>PASS</x:v>
      </x:c>
    </x:row>
    <x:row r="12" ht="34" customHeight="1">
      <x:c r="A12" s="42" t="str">
        <x:v>hamster</x:v>
      </x:c>
      <x:c r="B12" s="42" t="str">
        <x:v>仓鼠</x:v>
      </x:c>
      <x:c r="C12" s="42" t="str">
        <x:v>普通</x:v>
      </x:c>
      <x:c r="D12" s="42" t="n">
        <x:v>1</x:v>
      </x:c>
      <x:c r="E12" s="42" t="n">
        <x:v>1</x:v>
      </x:c>
      <x:c r="F12" s="42" t="n">
        <x:v>1</x:v>
      </x:c>
      <x:c r="G12" s="42" t="n">
        <x:v>1</x:v>
      </x:c>
      <x:c r="H12" s="42" t="n">
        <x:v>0</x:v>
      </x:c>
      <x:c r="I12" s="42" t="str">
        <x:v>否</x:v>
      </x:c>
      <x:c r="J12" s="42" t="str">
        <x:v>否</x:v>
      </x:c>
      <x:c r="K12" s="42" t="n">
        <x:f>LEN('60只轻量技能'!K12)</x:f>
        <x:v>12</x:v>
      </x:c>
      <x:c r="L12" s="42" t="n">
        <x:v>24</x:v>
      </x:c>
      <x:c r="M12" s="42" t="str">
        <x:f>IF(D12&lt;=E12,"PASS","FAIL")</x:f>
        <x:v>PASS</x:v>
      </x:c>
      <x:c r="N12" s="42" t="str">
        <x:f>IF(C12="普通",IF(AND(F12=1,G12=1,H12=0,I12="否",J12="否"),"PASS","FAIL"),IF(C12="稀有",IF(AND(F12=1,G12&lt;=1,H12&lt;=1,I12="否",J12="否"),"PASS","FAIL"),IF(C12="史诗",IF(AND(F12=1,G12&lt;=2,H12&lt;=1,I12="否",J12="否"),"PASS","FAIL"),IF(AND(F12=1,G12&lt;=2,H12&lt;=1,I12="否",J12="否"),"PASS","FAIL"))))</x:f>
        <x:v>PASS</x:v>
      </x:c>
      <x:c r="O12" s="42" t="str">
        <x:f>IF(K12&lt;=L12,"PASS","FAIL")</x:f>
        <x:v>PASS</x:v>
      </x:c>
      <x:c r="P12" s="42" t="str">
        <x:f>IF(AND('60只轻量技能'!L12&lt;&gt;"",'60只轻量技能'!M12&lt;&gt;"",'60只轻量技能'!N12&lt;&gt;""),"PASS","FAIL")</x:f>
        <x:v>PASS</x:v>
      </x:c>
      <x:c r="Q12" s="42" t="str">
        <x:f>IF(COUNTIF($A$5:$A$64,A12)=1,"PASS","FAIL")</x:f>
        <x:v>PASS</x:v>
      </x:c>
      <x:c r="R12" s="42" t="str">
        <x:f>IF(AND(M12="PASS",N12="PASS",O12="PASS",P12="PASS",Q12="PASS"),"PASS","FAIL")</x:f>
        <x:v>PASS</x:v>
      </x:c>
    </x:row>
    <x:row r="13" ht="34" customHeight="1">
      <x:c r="A13" s="42" t="str">
        <x:v>snail</x:v>
      </x:c>
      <x:c r="B13" s="42" t="str">
        <x:v>蜗牛</x:v>
      </x:c>
      <x:c r="C13" s="42" t="str">
        <x:v>普通</x:v>
      </x:c>
      <x:c r="D13" s="42" t="n">
        <x:v>1</x:v>
      </x:c>
      <x:c r="E13" s="42" t="n">
        <x:v>1</x:v>
      </x:c>
      <x:c r="F13" s="42" t="n">
        <x:v>1</x:v>
      </x:c>
      <x:c r="G13" s="42" t="n">
        <x:v>1</x:v>
      </x:c>
      <x:c r="H13" s="42" t="n">
        <x:v>0</x:v>
      </x:c>
      <x:c r="I13" s="42" t="str">
        <x:v>否</x:v>
      </x:c>
      <x:c r="J13" s="42" t="str">
        <x:v>否</x:v>
      </x:c>
      <x:c r="K13" s="42" t="n">
        <x:f>LEN('60只轻量技能'!K13)</x:f>
        <x:v>16</x:v>
      </x:c>
      <x:c r="L13" s="42" t="n">
        <x:v>24</x:v>
      </x:c>
      <x:c r="M13" s="42" t="str">
        <x:f>IF(D13&lt;=E13,"PASS","FAIL")</x:f>
        <x:v>PASS</x:v>
      </x:c>
      <x:c r="N13" s="42" t="str">
        <x:f>IF(C13="普通",IF(AND(F13=1,G13=1,H13=0,I13="否",J13="否"),"PASS","FAIL"),IF(C13="稀有",IF(AND(F13=1,G13&lt;=1,H13&lt;=1,I13="否",J13="否"),"PASS","FAIL"),IF(C13="史诗",IF(AND(F13=1,G13&lt;=2,H13&lt;=1,I13="否",J13="否"),"PASS","FAIL"),IF(AND(F13=1,G13&lt;=2,H13&lt;=1,I13="否",J13="否"),"PASS","FAIL"))))</x:f>
        <x:v>PASS</x:v>
      </x:c>
      <x:c r="O13" s="42" t="str">
        <x:f>IF(K13&lt;=L13,"PASS","FAIL")</x:f>
        <x:v>PASS</x:v>
      </x:c>
      <x:c r="P13" s="42" t="str">
        <x:f>IF(AND('60只轻量技能'!L13&lt;&gt;"",'60只轻量技能'!M13&lt;&gt;"",'60只轻量技能'!N13&lt;&gt;""),"PASS","FAIL")</x:f>
        <x:v>PASS</x:v>
      </x:c>
      <x:c r="Q13" s="42" t="str">
        <x:f>IF(COUNTIF($A$5:$A$64,A13)=1,"PASS","FAIL")</x:f>
        <x:v>PASS</x:v>
      </x:c>
      <x:c r="R13" s="42" t="str">
        <x:f>IF(AND(M13="PASS",N13="PASS",O13="PASS",P13="PASS",Q13="PASS"),"PASS","FAIL")</x:f>
        <x:v>PASS</x:v>
      </x:c>
    </x:row>
    <x:row r="14" ht="34" customHeight="1">
      <x:c r="A14" s="42" t="str">
        <x:v>tadpole</x:v>
      </x:c>
      <x:c r="B14" s="42" t="str">
        <x:v>蝌蚪</x:v>
      </x:c>
      <x:c r="C14" s="42" t="str">
        <x:v>普通</x:v>
      </x:c>
      <x:c r="D14" s="42" t="n">
        <x:v>1</x:v>
      </x:c>
      <x:c r="E14" s="42" t="n">
        <x:v>1</x:v>
      </x:c>
      <x:c r="F14" s="42" t="n">
        <x:v>1</x:v>
      </x:c>
      <x:c r="G14" s="42" t="n">
        <x:v>1</x:v>
      </x:c>
      <x:c r="H14" s="42" t="n">
        <x:v>0</x:v>
      </x:c>
      <x:c r="I14" s="42" t="str">
        <x:v>否</x:v>
      </x:c>
      <x:c r="J14" s="42" t="str">
        <x:v>否</x:v>
      </x:c>
      <x:c r="K14" s="42" t="n">
        <x:f>LEN('60只轻量技能'!K14)</x:f>
        <x:v>10</x:v>
      </x:c>
      <x:c r="L14" s="42" t="n">
        <x:v>24</x:v>
      </x:c>
      <x:c r="M14" s="42" t="str">
        <x:f>IF(D14&lt;=E14,"PASS","FAIL")</x:f>
        <x:v>PASS</x:v>
      </x:c>
      <x:c r="N14" s="42" t="str">
        <x:f>IF(C14="普通",IF(AND(F14=1,G14=1,H14=0,I14="否",J14="否"),"PASS","FAIL"),IF(C14="稀有",IF(AND(F14=1,G14&lt;=1,H14&lt;=1,I14="否",J14="否"),"PASS","FAIL"),IF(C14="史诗",IF(AND(F14=1,G14&lt;=2,H14&lt;=1,I14="否",J14="否"),"PASS","FAIL"),IF(AND(F14=1,G14&lt;=2,H14&lt;=1,I14="否",J14="否"),"PASS","FAIL"))))</x:f>
        <x:v>PASS</x:v>
      </x:c>
      <x:c r="O14" s="42" t="str">
        <x:f>IF(K14&lt;=L14,"PASS","FAIL")</x:f>
        <x:v>PASS</x:v>
      </x:c>
      <x:c r="P14" s="42" t="str">
        <x:f>IF(AND('60只轻量技能'!L14&lt;&gt;"",'60只轻量技能'!M14&lt;&gt;"",'60只轻量技能'!N14&lt;&gt;""),"PASS","FAIL")</x:f>
        <x:v>PASS</x:v>
      </x:c>
      <x:c r="Q14" s="42" t="str">
        <x:f>IF(COUNTIF($A$5:$A$64,A14)=1,"PASS","FAIL")</x:f>
        <x:v>PASS</x:v>
      </x:c>
      <x:c r="R14" s="42" t="str">
        <x:f>IF(AND(M14="PASS",N14="PASS",O14="PASS",P14="PASS",Q14="PASS"),"PASS","FAIL")</x:f>
        <x:v>PASS</x:v>
      </x:c>
    </x:row>
    <x:row r="15" ht="34" customHeight="1">
      <x:c r="A15" s="42" t="str">
        <x:v>cat</x:v>
      </x:c>
      <x:c r="B15" s="42" t="str">
        <x:v>猫</x:v>
      </x:c>
      <x:c r="C15" s="42" t="str">
        <x:v>稀有</x:v>
      </x:c>
      <x:c r="D15" s="42" t="n">
        <x:v>2</x:v>
      </x:c>
      <x:c r="E15" s="42" t="n">
        <x:v>2</x:v>
      </x:c>
      <x:c r="F15" s="42" t="n">
        <x:v>1</x:v>
      </x:c>
      <x:c r="G15" s="42" t="n">
        <x:v>1</x:v>
      </x:c>
      <x:c r="H15" s="42" t="n">
        <x:v>1</x:v>
      </x:c>
      <x:c r="I15" s="42" t="str">
        <x:v>否</x:v>
      </x:c>
      <x:c r="J15" s="42" t="str">
        <x:v>否</x:v>
      </x:c>
      <x:c r="K15" s="42" t="n">
        <x:f>LEN('60只轻量技能'!K15)</x:f>
        <x:v>16</x:v>
      </x:c>
      <x:c r="L15" s="42" t="n">
        <x:v>30</x:v>
      </x:c>
      <x:c r="M15" s="42" t="str">
        <x:f>IF(D15&lt;=E15,"PASS","FAIL")</x:f>
        <x:v>PASS</x:v>
      </x:c>
      <x:c r="N15" s="42" t="str">
        <x:f>IF(C15="普通",IF(AND(F15=1,G15=1,H15=0,I15="否",J15="否"),"PASS","FAIL"),IF(C15="稀有",IF(AND(F15=1,G15&lt;=1,H15&lt;=1,I15="否",J15="否"),"PASS","FAIL"),IF(C15="史诗",IF(AND(F15=1,G15&lt;=2,H15&lt;=1,I15="否",J15="否"),"PASS","FAIL"),IF(AND(F15=1,G15&lt;=2,H15&lt;=1,I15="否",J15="否"),"PASS","FAIL"))))</x:f>
        <x:v>PASS</x:v>
      </x:c>
      <x:c r="O15" s="42" t="str">
        <x:f>IF(K15&lt;=L15,"PASS","FAIL")</x:f>
        <x:v>PASS</x:v>
      </x:c>
      <x:c r="P15" s="42" t="str">
        <x:f>IF(AND('60只轻量技能'!L15&lt;&gt;"",'60只轻量技能'!M15&lt;&gt;"",'60只轻量技能'!N15&lt;&gt;""),"PASS","FAIL")</x:f>
        <x:v>PASS</x:v>
      </x:c>
      <x:c r="Q15" s="42" t="str">
        <x:f>IF(COUNTIF($A$5:$A$64,A15)=1,"PASS","FAIL")</x:f>
        <x:v>PASS</x:v>
      </x:c>
      <x:c r="R15" s="42" t="str">
        <x:f>IF(AND(M15="PASS",N15="PASS",O15="PASS",P15="PASS",Q15="PASS"),"PASS","FAIL")</x:f>
        <x:v>PASS</x:v>
      </x:c>
    </x:row>
    <x:row r="16" ht="34" customHeight="1">
      <x:c r="A16" s="42" t="str">
        <x:v>dog</x:v>
      </x:c>
      <x:c r="B16" s="42" t="str">
        <x:v>狗</x:v>
      </x:c>
      <x:c r="C16" s="42" t="str">
        <x:v>稀有</x:v>
      </x:c>
      <x:c r="D16" s="42" t="n">
        <x:v>2</x:v>
      </x:c>
      <x:c r="E16" s="42" t="n">
        <x:v>2</x:v>
      </x:c>
      <x:c r="F16" s="42" t="n">
        <x:v>1</x:v>
      </x:c>
      <x:c r="G16" s="42" t="n">
        <x:v>1</x:v>
      </x:c>
      <x:c r="H16" s="42" t="n">
        <x:v>1</x:v>
      </x:c>
      <x:c r="I16" s="42" t="str">
        <x:v>否</x:v>
      </x:c>
      <x:c r="J16" s="42" t="str">
        <x:v>否</x:v>
      </x:c>
      <x:c r="K16" s="42" t="n">
        <x:f>LEN('60只轻量技能'!K16)</x:f>
        <x:v>19</x:v>
      </x:c>
      <x:c r="L16" s="42" t="n">
        <x:v>30</x:v>
      </x:c>
      <x:c r="M16" s="42" t="str">
        <x:f>IF(D16&lt;=E16,"PASS","FAIL")</x:f>
        <x:v>PASS</x:v>
      </x:c>
      <x:c r="N16" s="42" t="str">
        <x:f>IF(C16="普通",IF(AND(F16=1,G16=1,H16=0,I16="否",J16="否"),"PASS","FAIL"),IF(C16="稀有",IF(AND(F16=1,G16&lt;=1,H16&lt;=1,I16="否",J16="否"),"PASS","FAIL"),IF(C16="史诗",IF(AND(F16=1,G16&lt;=2,H16&lt;=1,I16="否",J16="否"),"PASS","FAIL"),IF(AND(F16=1,G16&lt;=2,H16&lt;=1,I16="否",J16="否"),"PASS","FAIL"))))</x:f>
        <x:v>PASS</x:v>
      </x:c>
      <x:c r="O16" s="42" t="str">
        <x:f>IF(K16&lt;=L16,"PASS","FAIL")</x:f>
        <x:v>PASS</x:v>
      </x:c>
      <x:c r="P16" s="42" t="str">
        <x:f>IF(AND('60只轻量技能'!L16&lt;&gt;"",'60只轻量技能'!M16&lt;&gt;"",'60只轻量技能'!N16&lt;&gt;""),"PASS","FAIL")</x:f>
        <x:v>PASS</x:v>
      </x:c>
      <x:c r="Q16" s="42" t="str">
        <x:f>IF(COUNTIF($A$5:$A$64,A16)=1,"PASS","FAIL")</x:f>
        <x:v>PASS</x:v>
      </x:c>
      <x:c r="R16" s="42" t="str">
        <x:f>IF(AND(M16="PASS",N16="PASS",O16="PASS",P16="PASS",Q16="PASS"),"PASS","FAIL")</x:f>
        <x:v>PASS</x:v>
      </x:c>
    </x:row>
    <x:row r="17" ht="34" customHeight="1">
      <x:c r="A17" s="42" t="str">
        <x:v>duck</x:v>
      </x:c>
      <x:c r="B17" s="42" t="str">
        <x:v>鸭</x:v>
      </x:c>
      <x:c r="C17" s="42" t="str">
        <x:v>稀有</x:v>
      </x:c>
      <x:c r="D17" s="42" t="n">
        <x:v>2</x:v>
      </x:c>
      <x:c r="E17" s="42" t="n">
        <x:v>2</x:v>
      </x:c>
      <x:c r="F17" s="42" t="n">
        <x:v>1</x:v>
      </x:c>
      <x:c r="G17" s="42" t="n">
        <x:v>1</x:v>
      </x:c>
      <x:c r="H17" s="42" t="n">
        <x:v>0</x:v>
      </x:c>
      <x:c r="I17" s="42" t="str">
        <x:v>否</x:v>
      </x:c>
      <x:c r="J17" s="42" t="str">
        <x:v>否</x:v>
      </x:c>
      <x:c r="K17" s="42" t="n">
        <x:f>LEN('60只轻量技能'!K17)</x:f>
        <x:v>12</x:v>
      </x:c>
      <x:c r="L17" s="42" t="n">
        <x:v>30</x:v>
      </x:c>
      <x:c r="M17" s="42" t="str">
        <x:f>IF(D17&lt;=E17,"PASS","FAIL")</x:f>
        <x:v>PASS</x:v>
      </x:c>
      <x:c r="N17" s="42" t="str">
        <x:f>IF(C17="普通",IF(AND(F17=1,G17=1,H17=0,I17="否",J17="否"),"PASS","FAIL"),IF(C17="稀有",IF(AND(F17=1,G17&lt;=1,H17&lt;=1,I17="否",J17="否"),"PASS","FAIL"),IF(C17="史诗",IF(AND(F17=1,G17&lt;=2,H17&lt;=1,I17="否",J17="否"),"PASS","FAIL"),IF(AND(F17=1,G17&lt;=2,H17&lt;=1,I17="否",J17="否"),"PASS","FAIL"))))</x:f>
        <x:v>PASS</x:v>
      </x:c>
      <x:c r="O17" s="42" t="str">
        <x:f>IF(K17&lt;=L17,"PASS","FAIL")</x:f>
        <x:v>PASS</x:v>
      </x:c>
      <x:c r="P17" s="42" t="str">
        <x:f>IF(AND('60只轻量技能'!L17&lt;&gt;"",'60只轻量技能'!M17&lt;&gt;"",'60只轻量技能'!N17&lt;&gt;""),"PASS","FAIL")</x:f>
        <x:v>PASS</x:v>
      </x:c>
      <x:c r="Q17" s="42" t="str">
        <x:f>IF(COUNTIF($A$5:$A$64,A17)=1,"PASS","FAIL")</x:f>
        <x:v>PASS</x:v>
      </x:c>
      <x:c r="R17" s="42" t="str">
        <x:f>IF(AND(M17="PASS",N17="PASS",O17="PASS",P17="PASS",Q17="PASS"),"PASS","FAIL")</x:f>
        <x:v>PASS</x:v>
      </x:c>
    </x:row>
    <x:row r="18" ht="34" customHeight="1">
      <x:c r="A18" s="42" t="str">
        <x:v>squirrel</x:v>
      </x:c>
      <x:c r="B18" s="42" t="str">
        <x:v>松鼠</x:v>
      </x:c>
      <x:c r="C18" s="42" t="str">
        <x:v>稀有</x:v>
      </x:c>
      <x:c r="D18" s="42" t="n">
        <x:v>2</x:v>
      </x:c>
      <x:c r="E18" s="42" t="n">
        <x:v>2</x:v>
      </x:c>
      <x:c r="F18" s="42" t="n">
        <x:v>1</x:v>
      </x:c>
      <x:c r="G18" s="42" t="n">
        <x:v>1</x:v>
      </x:c>
      <x:c r="H18" s="42" t="n">
        <x:v>0</x:v>
      </x:c>
      <x:c r="I18" s="42" t="str">
        <x:v>否</x:v>
      </x:c>
      <x:c r="J18" s="42" t="str">
        <x:v>否</x:v>
      </x:c>
      <x:c r="K18" s="42" t="n">
        <x:f>LEN('60只轻量技能'!K18)</x:f>
        <x:v>19</x:v>
      </x:c>
      <x:c r="L18" s="42" t="n">
        <x:v>30</x:v>
      </x:c>
      <x:c r="M18" s="42" t="str">
        <x:f>IF(D18&lt;=E18,"PASS","FAIL")</x:f>
        <x:v>PASS</x:v>
      </x:c>
      <x:c r="N18" s="42" t="str">
        <x:f>IF(C18="普通",IF(AND(F18=1,G18=1,H18=0,I18="否",J18="否"),"PASS","FAIL"),IF(C18="稀有",IF(AND(F18=1,G18&lt;=1,H18&lt;=1,I18="否",J18="否"),"PASS","FAIL"),IF(C18="史诗",IF(AND(F18=1,G18&lt;=2,H18&lt;=1,I18="否",J18="否"),"PASS","FAIL"),IF(AND(F18=1,G18&lt;=2,H18&lt;=1,I18="否",J18="否"),"PASS","FAIL"))))</x:f>
        <x:v>PASS</x:v>
      </x:c>
      <x:c r="O18" s="42" t="str">
        <x:f>IF(K18&lt;=L18,"PASS","FAIL")</x:f>
        <x:v>PASS</x:v>
      </x:c>
      <x:c r="P18" s="42" t="str">
        <x:f>IF(AND('60只轻量技能'!L18&lt;&gt;"",'60只轻量技能'!M18&lt;&gt;"",'60只轻量技能'!N18&lt;&gt;""),"PASS","FAIL")</x:f>
        <x:v>PASS</x:v>
      </x:c>
      <x:c r="Q18" s="42" t="str">
        <x:f>IF(COUNTIF($A$5:$A$64,A18)=1,"PASS","FAIL")</x:f>
        <x:v>PASS</x:v>
      </x:c>
      <x:c r="R18" s="42" t="str">
        <x:f>IF(AND(M18="PASS",N18="PASS",O18="PASS",P18="PASS",Q18="PASS"),"PASS","FAIL")</x:f>
        <x:v>PASS</x:v>
      </x:c>
    </x:row>
    <x:row r="19" ht="34" customHeight="1">
      <x:c r="A19" s="42" t="str">
        <x:v>hedgehog</x:v>
      </x:c>
      <x:c r="B19" s="42" t="str">
        <x:v>刺猬</x:v>
      </x:c>
      <x:c r="C19" s="42" t="str">
        <x:v>稀有</x:v>
      </x:c>
      <x:c r="D19" s="42" t="n">
        <x:v>2</x:v>
      </x:c>
      <x:c r="E19" s="42" t="n">
        <x:v>2</x:v>
      </x:c>
      <x:c r="F19" s="42" t="n">
        <x:v>1</x:v>
      </x:c>
      <x:c r="G19" s="42" t="n">
        <x:v>1</x:v>
      </x:c>
      <x:c r="H19" s="42" t="n">
        <x:v>1</x:v>
      </x:c>
      <x:c r="I19" s="42" t="str">
        <x:v>否</x:v>
      </x:c>
      <x:c r="J19" s="42" t="str">
        <x:v>否</x:v>
      </x:c>
      <x:c r="K19" s="42" t="n">
        <x:f>LEN('60只轻量技能'!K19)</x:f>
        <x:v>13</x:v>
      </x:c>
      <x:c r="L19" s="42" t="n">
        <x:v>30</x:v>
      </x:c>
      <x:c r="M19" s="42" t="str">
        <x:f>IF(D19&lt;=E19,"PASS","FAIL")</x:f>
        <x:v>PASS</x:v>
      </x:c>
      <x:c r="N19" s="42" t="str">
        <x:f>IF(C19="普通",IF(AND(F19=1,G19=1,H19=0,I19="否",J19="否"),"PASS","FAIL"),IF(C19="稀有",IF(AND(F19=1,G19&lt;=1,H19&lt;=1,I19="否",J19="否"),"PASS","FAIL"),IF(C19="史诗",IF(AND(F19=1,G19&lt;=2,H19&lt;=1,I19="否",J19="否"),"PASS","FAIL"),IF(AND(F19=1,G19&lt;=2,H19&lt;=1,I19="否",J19="否"),"PASS","FAIL"))))</x:f>
        <x:v>PASS</x:v>
      </x:c>
      <x:c r="O19" s="42" t="str">
        <x:f>IF(K19&lt;=L19,"PASS","FAIL")</x:f>
        <x:v>PASS</x:v>
      </x:c>
      <x:c r="P19" s="42" t="str">
        <x:f>IF(AND('60只轻量技能'!L19&lt;&gt;"",'60只轻量技能'!M19&lt;&gt;"",'60只轻量技能'!N19&lt;&gt;""),"PASS","FAIL")</x:f>
        <x:v>PASS</x:v>
      </x:c>
      <x:c r="Q19" s="42" t="str">
        <x:f>IF(COUNTIF($A$5:$A$64,A19)=1,"PASS","FAIL")</x:f>
        <x:v>PASS</x:v>
      </x:c>
      <x:c r="R19" s="42" t="str">
        <x:f>IF(AND(M19="PASS",N19="PASS",O19="PASS",P19="PASS",Q19="PASS"),"PASS","FAIL")</x:f>
        <x:v>PASS</x:v>
      </x:c>
    </x:row>
    <x:row r="20" ht="34" customHeight="1">
      <x:c r="A20" s="42" t="str">
        <x:v>turtle</x:v>
      </x:c>
      <x:c r="B20" s="42" t="str">
        <x:v>乌龟</x:v>
      </x:c>
      <x:c r="C20" s="42" t="str">
        <x:v>稀有</x:v>
      </x:c>
      <x:c r="D20" s="42" t="n">
        <x:v>2</x:v>
      </x:c>
      <x:c r="E20" s="42" t="n">
        <x:v>2</x:v>
      </x:c>
      <x:c r="F20" s="42" t="n">
        <x:v>1</x:v>
      </x:c>
      <x:c r="G20" s="42" t="n">
        <x:v>1</x:v>
      </x:c>
      <x:c r="H20" s="42" t="n">
        <x:v>1</x:v>
      </x:c>
      <x:c r="I20" s="42" t="str">
        <x:v>否</x:v>
      </x:c>
      <x:c r="J20" s="42" t="str">
        <x:v>否</x:v>
      </x:c>
      <x:c r="K20" s="42" t="n">
        <x:f>LEN('60只轻量技能'!K20)</x:f>
        <x:v>17</x:v>
      </x:c>
      <x:c r="L20" s="42" t="n">
        <x:v>30</x:v>
      </x:c>
      <x:c r="M20" s="42" t="str">
        <x:f>IF(D20&lt;=E20,"PASS","FAIL")</x:f>
        <x:v>PASS</x:v>
      </x:c>
      <x:c r="N20" s="42" t="str">
        <x:f>IF(C20="普通",IF(AND(F20=1,G20=1,H20=0,I20="否",J20="否"),"PASS","FAIL"),IF(C20="稀有",IF(AND(F20=1,G20&lt;=1,H20&lt;=1,I20="否",J20="否"),"PASS","FAIL"),IF(C20="史诗",IF(AND(F20=1,G20&lt;=2,H20&lt;=1,I20="否",J20="否"),"PASS","FAIL"),IF(AND(F20=1,G20&lt;=2,H20&lt;=1,I20="否",J20="否"),"PASS","FAIL"))))</x:f>
        <x:v>PASS</x:v>
      </x:c>
      <x:c r="O20" s="42" t="str">
        <x:f>IF(K20&lt;=L20,"PASS","FAIL")</x:f>
        <x:v>PASS</x:v>
      </x:c>
      <x:c r="P20" s="42" t="str">
        <x:f>IF(AND('60只轻量技能'!L20&lt;&gt;"",'60只轻量技能'!M20&lt;&gt;"",'60只轻量技能'!N20&lt;&gt;""),"PASS","FAIL")</x:f>
        <x:v>PASS</x:v>
      </x:c>
      <x:c r="Q20" s="42" t="str">
        <x:f>IF(COUNTIF($A$5:$A$64,A20)=1,"PASS","FAIL")</x:f>
        <x:v>PASS</x:v>
      </x:c>
      <x:c r="R20" s="42" t="str">
        <x:f>IF(AND(M20="PASS",N20="PASS",O20="PASS",P20="PASS",Q20="PASS"),"PASS","FAIL")</x:f>
        <x:v>PASS</x:v>
      </x:c>
    </x:row>
    <x:row r="21" ht="34" customHeight="1">
      <x:c r="A21" s="42" t="str">
        <x:v>goat</x:v>
      </x:c>
      <x:c r="B21" s="42" t="str">
        <x:v>山羊</x:v>
      </x:c>
      <x:c r="C21" s="42" t="str">
        <x:v>稀有</x:v>
      </x:c>
      <x:c r="D21" s="42" t="n">
        <x:v>2</x:v>
      </x:c>
      <x:c r="E21" s="42" t="n">
        <x:v>2</x:v>
      </x:c>
      <x:c r="F21" s="42" t="n">
        <x:v>1</x:v>
      </x:c>
      <x:c r="G21" s="42" t="n">
        <x:v>1</x:v>
      </x:c>
      <x:c r="H21" s="42" t="n">
        <x:v>0</x:v>
      </x:c>
      <x:c r="I21" s="42" t="str">
        <x:v>否</x:v>
      </x:c>
      <x:c r="J21" s="42" t="str">
        <x:v>否</x:v>
      </x:c>
      <x:c r="K21" s="42" t="n">
        <x:f>LEN('60只轻量技能'!K21)</x:f>
        <x:v>13</x:v>
      </x:c>
      <x:c r="L21" s="42" t="n">
        <x:v>30</x:v>
      </x:c>
      <x:c r="M21" s="42" t="str">
        <x:f>IF(D21&lt;=E21,"PASS","FAIL")</x:f>
        <x:v>PASS</x:v>
      </x:c>
      <x:c r="N21" s="42" t="str">
        <x:f>IF(C21="普通",IF(AND(F21=1,G21=1,H21=0,I21="否",J21="否"),"PASS","FAIL"),IF(C21="稀有",IF(AND(F21=1,G21&lt;=1,H21&lt;=1,I21="否",J21="否"),"PASS","FAIL"),IF(C21="史诗",IF(AND(F21=1,G21&lt;=2,H21&lt;=1,I21="否",J21="否"),"PASS","FAIL"),IF(AND(F21=1,G21&lt;=2,H21&lt;=1,I21="否",J21="否"),"PASS","FAIL"))))</x:f>
        <x:v>PASS</x:v>
      </x:c>
      <x:c r="O21" s="42" t="str">
        <x:f>IF(K21&lt;=L21,"PASS","FAIL")</x:f>
        <x:v>PASS</x:v>
      </x:c>
      <x:c r="P21" s="42" t="str">
        <x:f>IF(AND('60只轻量技能'!L21&lt;&gt;"",'60只轻量技能'!M21&lt;&gt;"",'60只轻量技能'!N21&lt;&gt;""),"PASS","FAIL")</x:f>
        <x:v>PASS</x:v>
      </x:c>
      <x:c r="Q21" s="42" t="str">
        <x:f>IF(COUNTIF($A$5:$A$64,A21)=1,"PASS","FAIL")</x:f>
        <x:v>PASS</x:v>
      </x:c>
      <x:c r="R21" s="42" t="str">
        <x:f>IF(AND(M21="PASS",N21="PASS",O21="PASS",P21="PASS",Q21="PASS"),"PASS","FAIL")</x:f>
        <x:v>PASS</x:v>
      </x:c>
    </x:row>
    <x:row r="22" ht="34" customHeight="1">
      <x:c r="A22" s="42" t="str">
        <x:v>sheep</x:v>
      </x:c>
      <x:c r="B22" s="42" t="str">
        <x:v>羊</x:v>
      </x:c>
      <x:c r="C22" s="42" t="str">
        <x:v>稀有</x:v>
      </x:c>
      <x:c r="D22" s="42" t="n">
        <x:v>2</x:v>
      </x:c>
      <x:c r="E22" s="42" t="n">
        <x:v>2</x:v>
      </x:c>
      <x:c r="F22" s="42" t="n">
        <x:v>1</x:v>
      </x:c>
      <x:c r="G22" s="42" t="n">
        <x:v>1</x:v>
      </x:c>
      <x:c r="H22" s="42" t="n">
        <x:v>0</x:v>
      </x:c>
      <x:c r="I22" s="42" t="str">
        <x:v>否</x:v>
      </x:c>
      <x:c r="J22" s="42" t="str">
        <x:v>否</x:v>
      </x:c>
      <x:c r="K22" s="42" t="n">
        <x:f>LEN('60只轻量技能'!K22)</x:f>
        <x:v>15</x:v>
      </x:c>
      <x:c r="L22" s="42" t="n">
        <x:v>30</x:v>
      </x:c>
      <x:c r="M22" s="42" t="str">
        <x:f>IF(D22&lt;=E22,"PASS","FAIL")</x:f>
        <x:v>PASS</x:v>
      </x:c>
      <x:c r="N22" s="42" t="str">
        <x:f>IF(C22="普通",IF(AND(F22=1,G22=1,H22=0,I22="否",J22="否"),"PASS","FAIL"),IF(C22="稀有",IF(AND(F22=1,G22&lt;=1,H22&lt;=1,I22="否",J22="否"),"PASS","FAIL"),IF(C22="史诗",IF(AND(F22=1,G22&lt;=2,H22&lt;=1,I22="否",J22="否"),"PASS","FAIL"),IF(AND(F22=1,G22&lt;=2,H22&lt;=1,I22="否",J22="否"),"PASS","FAIL"))))</x:f>
        <x:v>PASS</x:v>
      </x:c>
      <x:c r="O22" s="42" t="str">
        <x:f>IF(K22&lt;=L22,"PASS","FAIL")</x:f>
        <x:v>PASS</x:v>
      </x:c>
      <x:c r="P22" s="42" t="str">
        <x:f>IF(AND('60只轻量技能'!L22&lt;&gt;"",'60只轻量技能'!M22&lt;&gt;"",'60只轻量技能'!N22&lt;&gt;""),"PASS","FAIL")</x:f>
        <x:v>PASS</x:v>
      </x:c>
      <x:c r="Q22" s="42" t="str">
        <x:f>IF(COUNTIF($A$5:$A$64,A22)=1,"PASS","FAIL")</x:f>
        <x:v>PASS</x:v>
      </x:c>
      <x:c r="R22" s="42" t="str">
        <x:f>IF(AND(M22="PASS",N22="PASS",O22="PASS",P22="PASS",Q22="PASS"),"PASS","FAIL")</x:f>
        <x:v>PASS</x:v>
      </x:c>
    </x:row>
    <x:row r="23" ht="34" customHeight="1">
      <x:c r="A23" s="42" t="str">
        <x:v>parrot</x:v>
      </x:c>
      <x:c r="B23" s="42" t="str">
        <x:v>鹦鹉</x:v>
      </x:c>
      <x:c r="C23" s="42" t="str">
        <x:v>稀有</x:v>
      </x:c>
      <x:c r="D23" s="42" t="n">
        <x:v>2</x:v>
      </x:c>
      <x:c r="E23" s="42" t="n">
        <x:v>2</x:v>
      </x:c>
      <x:c r="F23" s="42" t="n">
        <x:v>1</x:v>
      </x:c>
      <x:c r="G23" s="42" t="n">
        <x:v>1</x:v>
      </x:c>
      <x:c r="H23" s="42" t="n">
        <x:v>1</x:v>
      </x:c>
      <x:c r="I23" s="42" t="str">
        <x:v>否</x:v>
      </x:c>
      <x:c r="J23" s="42" t="str">
        <x:v>否</x:v>
      </x:c>
      <x:c r="K23" s="42" t="n">
        <x:f>LEN('60只轻量技能'!K23)</x:f>
        <x:v>21</x:v>
      </x:c>
      <x:c r="L23" s="42" t="n">
        <x:v>30</x:v>
      </x:c>
      <x:c r="M23" s="42" t="str">
        <x:f>IF(D23&lt;=E23,"PASS","FAIL")</x:f>
        <x:v>PASS</x:v>
      </x:c>
      <x:c r="N23" s="42" t="str">
        <x:f>IF(C23="普通",IF(AND(F23=1,G23=1,H23=0,I23="否",J23="否"),"PASS","FAIL"),IF(C23="稀有",IF(AND(F23=1,G23&lt;=1,H23&lt;=1,I23="否",J23="否"),"PASS","FAIL"),IF(C23="史诗",IF(AND(F23=1,G23&lt;=2,H23&lt;=1,I23="否",J23="否"),"PASS","FAIL"),IF(AND(F23=1,G23&lt;=2,H23&lt;=1,I23="否",J23="否"),"PASS","FAIL"))))</x:f>
        <x:v>PASS</x:v>
      </x:c>
      <x:c r="O23" s="42" t="str">
        <x:f>IF(K23&lt;=L23,"PASS","FAIL")</x:f>
        <x:v>PASS</x:v>
      </x:c>
      <x:c r="P23" s="42" t="str">
        <x:f>IF(AND('60只轻量技能'!L23&lt;&gt;"",'60只轻量技能'!M23&lt;&gt;"",'60只轻量技能'!N23&lt;&gt;""),"PASS","FAIL")</x:f>
        <x:v>PASS</x:v>
      </x:c>
      <x:c r="Q23" s="42" t="str">
        <x:f>IF(COUNTIF($A$5:$A$64,A23)=1,"PASS","FAIL")</x:f>
        <x:v>PASS</x:v>
      </x:c>
      <x:c r="R23" s="42" t="str">
        <x:f>IF(AND(M23="PASS",N23="PASS",O23="PASS",P23="PASS",Q23="PASS"),"PASS","FAIL")</x:f>
        <x:v>PASS</x:v>
      </x:c>
    </x:row>
    <x:row r="24" ht="34" customHeight="1">
      <x:c r="A24" s="42" t="str">
        <x:v>fox</x:v>
      </x:c>
      <x:c r="B24" s="42" t="str">
        <x:v>狐狸</x:v>
      </x:c>
      <x:c r="C24" s="42" t="str">
        <x:v>史诗</x:v>
      </x:c>
      <x:c r="D24" s="42" t="n">
        <x:v>3</x:v>
      </x:c>
      <x:c r="E24" s="42" t="n">
        <x:v>3</x:v>
      </x:c>
      <x:c r="F24" s="42" t="n">
        <x:v>1</x:v>
      </x:c>
      <x:c r="G24" s="42" t="n">
        <x:v>1</x:v>
      </x:c>
      <x:c r="H24" s="42" t="n">
        <x:v>0</x:v>
      </x:c>
      <x:c r="I24" s="42" t="str">
        <x:v>否</x:v>
      </x:c>
      <x:c r="J24" s="42" t="str">
        <x:v>否</x:v>
      </x:c>
      <x:c r="K24" s="42" t="n">
        <x:f>LEN('60只轻量技能'!K24)</x:f>
        <x:v>16</x:v>
      </x:c>
      <x:c r="L24" s="42" t="n">
        <x:v>38</x:v>
      </x:c>
      <x:c r="M24" s="42" t="str">
        <x:f>IF(D24&lt;=E24,"PASS","FAIL")</x:f>
        <x:v>PASS</x:v>
      </x:c>
      <x:c r="N24" s="42" t="str">
        <x:f>IF(C24="普通",IF(AND(F24=1,G24=1,H24=0,I24="否",J24="否"),"PASS","FAIL"),IF(C24="稀有",IF(AND(F24=1,G24&lt;=1,H24&lt;=1,I24="否",J24="否"),"PASS","FAIL"),IF(C24="史诗",IF(AND(F24=1,G24&lt;=2,H24&lt;=1,I24="否",J24="否"),"PASS","FAIL"),IF(AND(F24=1,G24&lt;=2,H24&lt;=1,I24="否",J24="否"),"PASS","FAIL"))))</x:f>
        <x:v>PASS</x:v>
      </x:c>
      <x:c r="O24" s="42" t="str">
        <x:f>IF(K24&lt;=L24,"PASS","FAIL")</x:f>
        <x:v>PASS</x:v>
      </x:c>
      <x:c r="P24" s="42" t="str">
        <x:f>IF(AND('60只轻量技能'!L24&lt;&gt;"",'60只轻量技能'!M24&lt;&gt;"",'60只轻量技能'!N24&lt;&gt;""),"PASS","FAIL")</x:f>
        <x:v>PASS</x:v>
      </x:c>
      <x:c r="Q24" s="42" t="str">
        <x:f>IF(COUNTIF($A$5:$A$64,A24)=1,"PASS","FAIL")</x:f>
        <x:v>PASS</x:v>
      </x:c>
      <x:c r="R24" s="42" t="str">
        <x:f>IF(AND(M24="PASS",N24="PASS",O24="PASS",P24="PASS",Q24="PASS"),"PASS","FAIL")</x:f>
        <x:v>PASS</x:v>
      </x:c>
    </x:row>
    <x:row r="25" ht="34" customHeight="1">
      <x:c r="A25" s="42" t="str">
        <x:v>monkey</x:v>
      </x:c>
      <x:c r="B25" s="42" t="str">
        <x:v>猴子</x:v>
      </x:c>
      <x:c r="C25" s="42" t="str">
        <x:v>史诗</x:v>
      </x:c>
      <x:c r="D25" s="42" t="n">
        <x:v>3</x:v>
      </x:c>
      <x:c r="E25" s="42" t="n">
        <x:v>3</x:v>
      </x:c>
      <x:c r="F25" s="42" t="n">
        <x:v>1</x:v>
      </x:c>
      <x:c r="G25" s="42" t="n">
        <x:v>1</x:v>
      </x:c>
      <x:c r="H25" s="42" t="n">
        <x:v>1</x:v>
      </x:c>
      <x:c r="I25" s="42" t="str">
        <x:v>否</x:v>
      </x:c>
      <x:c r="J25" s="42" t="str">
        <x:v>否</x:v>
      </x:c>
      <x:c r="K25" s="42" t="n">
        <x:f>LEN('60只轻量技能'!K25)</x:f>
        <x:v>20</x:v>
      </x:c>
      <x:c r="L25" s="42" t="n">
        <x:v>38</x:v>
      </x:c>
      <x:c r="M25" s="42" t="str">
        <x:f>IF(D25&lt;=E25,"PASS","FAIL")</x:f>
        <x:v>PASS</x:v>
      </x:c>
      <x:c r="N25" s="42" t="str">
        <x:f>IF(C25="普通",IF(AND(F25=1,G25=1,H25=0,I25="否",J25="否"),"PASS","FAIL"),IF(C25="稀有",IF(AND(F25=1,G25&lt;=1,H25&lt;=1,I25="否",J25="否"),"PASS","FAIL"),IF(C25="史诗",IF(AND(F25=1,G25&lt;=2,H25&lt;=1,I25="否",J25="否"),"PASS","FAIL"),IF(AND(F25=1,G25&lt;=2,H25&lt;=1,I25="否",J25="否"),"PASS","FAIL"))))</x:f>
        <x:v>PASS</x:v>
      </x:c>
      <x:c r="O25" s="42" t="str">
        <x:f>IF(K25&lt;=L25,"PASS","FAIL")</x:f>
        <x:v>PASS</x:v>
      </x:c>
      <x:c r="P25" s="42" t="str">
        <x:f>IF(AND('60只轻量技能'!L25&lt;&gt;"",'60只轻量技能'!M25&lt;&gt;"",'60只轻量技能'!N25&lt;&gt;""),"PASS","FAIL")</x:f>
        <x:v>PASS</x:v>
      </x:c>
      <x:c r="Q25" s="42" t="str">
        <x:f>IF(COUNTIF($A$5:$A$64,A25)=1,"PASS","FAIL")</x:f>
        <x:v>PASS</x:v>
      </x:c>
      <x:c r="R25" s="42" t="str">
        <x:f>IF(AND(M25="PASS",N25="PASS",O25="PASS",P25="PASS",Q25="PASS"),"PASS","FAIL")</x:f>
        <x:v>PASS</x:v>
      </x:c>
    </x:row>
    <x:row r="26" ht="34" customHeight="1">
      <x:c r="A26" s="42" t="str">
        <x:v>pig</x:v>
      </x:c>
      <x:c r="B26" s="42" t="str">
        <x:v>猪</x:v>
      </x:c>
      <x:c r="C26" s="42" t="str">
        <x:v>史诗</x:v>
      </x:c>
      <x:c r="D26" s="42" t="n">
        <x:v>3</x:v>
      </x:c>
      <x:c r="E26" s="42" t="n">
        <x:v>3</x:v>
      </x:c>
      <x:c r="F26" s="42" t="n">
        <x:v>1</x:v>
      </x:c>
      <x:c r="G26" s="42" t="n">
        <x:v>1</x:v>
      </x:c>
      <x:c r="H26" s="42" t="n">
        <x:v>0</x:v>
      </x:c>
      <x:c r="I26" s="42" t="str">
        <x:v>否</x:v>
      </x:c>
      <x:c r="J26" s="42" t="str">
        <x:v>否</x:v>
      </x:c>
      <x:c r="K26" s="42" t="n">
        <x:f>LEN('60只轻量技能'!K26)</x:f>
        <x:v>19</x:v>
      </x:c>
      <x:c r="L26" s="42" t="n">
        <x:v>38</x:v>
      </x:c>
      <x:c r="M26" s="42" t="str">
        <x:f>IF(D26&lt;=E26,"PASS","FAIL")</x:f>
        <x:v>PASS</x:v>
      </x:c>
      <x:c r="N26" s="42" t="str">
        <x:f>IF(C26="普通",IF(AND(F26=1,G26=1,H26=0,I26="否",J26="否"),"PASS","FAIL"),IF(C26="稀有",IF(AND(F26=1,G26&lt;=1,H26&lt;=1,I26="否",J26="否"),"PASS","FAIL"),IF(C26="史诗",IF(AND(F26=1,G26&lt;=2,H26&lt;=1,I26="否",J26="否"),"PASS","FAIL"),IF(AND(F26=1,G26&lt;=2,H26&lt;=1,I26="否",J26="否"),"PASS","FAIL"))))</x:f>
        <x:v>PASS</x:v>
      </x:c>
      <x:c r="O26" s="42" t="str">
        <x:f>IF(K26&lt;=L26,"PASS","FAIL")</x:f>
        <x:v>PASS</x:v>
      </x:c>
      <x:c r="P26" s="42" t="str">
        <x:f>IF(AND('60只轻量技能'!L26&lt;&gt;"",'60只轻量技能'!M26&lt;&gt;"",'60只轻量技能'!N26&lt;&gt;""),"PASS","FAIL")</x:f>
        <x:v>PASS</x:v>
      </x:c>
      <x:c r="Q26" s="42" t="str">
        <x:f>IF(COUNTIF($A$5:$A$64,A26)=1,"PASS","FAIL")</x:f>
        <x:v>PASS</x:v>
      </x:c>
      <x:c r="R26" s="42" t="str">
        <x:f>IF(AND(M26="PASS",N26="PASS",O26="PASS",P26="PASS",Q26="PASS"),"PASS","FAIL")</x:f>
        <x:v>PASS</x:v>
      </x:c>
    </x:row>
    <x:row r="27" ht="34" customHeight="1">
      <x:c r="A27" s="42" t="str">
        <x:v>deer</x:v>
      </x:c>
      <x:c r="B27" s="42" t="str">
        <x:v>鹿</x:v>
      </x:c>
      <x:c r="C27" s="42" t="str">
        <x:v>史诗</x:v>
      </x:c>
      <x:c r="D27" s="42" t="n">
        <x:v>3</x:v>
      </x:c>
      <x:c r="E27" s="42" t="n">
        <x:v>3</x:v>
      </x:c>
      <x:c r="F27" s="42" t="n">
        <x:v>1</x:v>
      </x:c>
      <x:c r="G27" s="42" t="n">
        <x:v>1</x:v>
      </x:c>
      <x:c r="H27" s="42" t="n">
        <x:v>0</x:v>
      </x:c>
      <x:c r="I27" s="42" t="str">
        <x:v>否</x:v>
      </x:c>
      <x:c r="J27" s="42" t="str">
        <x:v>否</x:v>
      </x:c>
      <x:c r="K27" s="42" t="n">
        <x:f>LEN('60只轻量技能'!K27)</x:f>
        <x:v>16</x:v>
      </x:c>
      <x:c r="L27" s="42" t="n">
        <x:v>38</x:v>
      </x:c>
      <x:c r="M27" s="42" t="str">
        <x:f>IF(D27&lt;=E27,"PASS","FAIL")</x:f>
        <x:v>PASS</x:v>
      </x:c>
      <x:c r="N27" s="42" t="str">
        <x:f>IF(C27="普通",IF(AND(F27=1,G27=1,H27=0,I27="否",J27="否"),"PASS","FAIL"),IF(C27="稀有",IF(AND(F27=1,G27&lt;=1,H27&lt;=1,I27="否",J27="否"),"PASS","FAIL"),IF(C27="史诗",IF(AND(F27=1,G27&lt;=2,H27&lt;=1,I27="否",J27="否"),"PASS","FAIL"),IF(AND(F27=1,G27&lt;=2,H27&lt;=1,I27="否",J27="否"),"PASS","FAIL"))))</x:f>
        <x:v>PASS</x:v>
      </x:c>
      <x:c r="O27" s="42" t="str">
        <x:f>IF(K27&lt;=L27,"PASS","FAIL")</x:f>
        <x:v>PASS</x:v>
      </x:c>
      <x:c r="P27" s="42" t="str">
        <x:f>IF(AND('60只轻量技能'!L27&lt;&gt;"",'60只轻量技能'!M27&lt;&gt;"",'60只轻量技能'!N27&lt;&gt;""),"PASS","FAIL")</x:f>
        <x:v>PASS</x:v>
      </x:c>
      <x:c r="Q27" s="42" t="str">
        <x:f>IF(COUNTIF($A$5:$A$64,A27)=1,"PASS","FAIL")</x:f>
        <x:v>PASS</x:v>
      </x:c>
      <x:c r="R27" s="42" t="str">
        <x:f>IF(AND(M27="PASS",N27="PASS",O27="PASS",P27="PASS",Q27="PASS"),"PASS","FAIL")</x:f>
        <x:v>PASS</x:v>
      </x:c>
    </x:row>
    <x:row r="28" ht="34" customHeight="1">
      <x:c r="A28" s="42" t="str">
        <x:v>beaver</x:v>
      </x:c>
      <x:c r="B28" s="42" t="str">
        <x:v>河狸</x:v>
      </x:c>
      <x:c r="C28" s="42" t="str">
        <x:v>史诗</x:v>
      </x:c>
      <x:c r="D28" s="42" t="n">
        <x:v>3</x:v>
      </x:c>
      <x:c r="E28" s="42" t="n">
        <x:v>3</x:v>
      </x:c>
      <x:c r="F28" s="42" t="n">
        <x:v>1</x:v>
      </x:c>
      <x:c r="G28" s="42" t="n">
        <x:v>1</x:v>
      </x:c>
      <x:c r="H28" s="42" t="n">
        <x:v>1</x:v>
      </x:c>
      <x:c r="I28" s="42" t="str">
        <x:v>否</x:v>
      </x:c>
      <x:c r="J28" s="42" t="str">
        <x:v>否</x:v>
      </x:c>
      <x:c r="K28" s="42" t="n">
        <x:f>LEN('60只轻量技能'!K28)</x:f>
        <x:v>17</x:v>
      </x:c>
      <x:c r="L28" s="42" t="n">
        <x:v>38</x:v>
      </x:c>
      <x:c r="M28" s="42" t="str">
        <x:f>IF(D28&lt;=E28,"PASS","FAIL")</x:f>
        <x:v>PASS</x:v>
      </x:c>
      <x:c r="N28" s="42" t="str">
        <x:f>IF(C28="普通",IF(AND(F28=1,G28=1,H28=0,I28="否",J28="否"),"PASS","FAIL"),IF(C28="稀有",IF(AND(F28=1,G28&lt;=1,H28&lt;=1,I28="否",J28="否"),"PASS","FAIL"),IF(C28="史诗",IF(AND(F28=1,G28&lt;=2,H28&lt;=1,I28="否",J28="否"),"PASS","FAIL"),IF(AND(F28=1,G28&lt;=2,H28&lt;=1,I28="否",J28="否"),"PASS","FAIL"))))</x:f>
        <x:v>PASS</x:v>
      </x:c>
      <x:c r="O28" s="42" t="str">
        <x:f>IF(K28&lt;=L28,"PASS","FAIL")</x:f>
        <x:v>PASS</x:v>
      </x:c>
      <x:c r="P28" s="42" t="str">
        <x:f>IF(AND('60只轻量技能'!L28&lt;&gt;"",'60只轻量技能'!M28&lt;&gt;"",'60只轻量技能'!N28&lt;&gt;""),"PASS","FAIL")</x:f>
        <x:v>PASS</x:v>
      </x:c>
      <x:c r="Q28" s="42" t="str">
        <x:f>IF(COUNTIF($A$5:$A$64,A28)=1,"PASS","FAIL")</x:f>
        <x:v>PASS</x:v>
      </x:c>
      <x:c r="R28" s="42" t="str">
        <x:f>IF(AND(M28="PASS",N28="PASS",O28="PASS",P28="PASS",Q28="PASS"),"PASS","FAIL")</x:f>
        <x:v>PASS</x:v>
      </x:c>
    </x:row>
    <x:row r="29" ht="34" customHeight="1">
      <x:c r="A29" s="42" t="str">
        <x:v>otter</x:v>
      </x:c>
      <x:c r="B29" s="42" t="str">
        <x:v>水獭</x:v>
      </x:c>
      <x:c r="C29" s="42" t="str">
        <x:v>史诗</x:v>
      </x:c>
      <x:c r="D29" s="42" t="n">
        <x:v>3</x:v>
      </x:c>
      <x:c r="E29" s="42" t="n">
        <x:v>3</x:v>
      </x:c>
      <x:c r="F29" s="42" t="n">
        <x:v>1</x:v>
      </x:c>
      <x:c r="G29" s="42" t="n">
        <x:v>1</x:v>
      </x:c>
      <x:c r="H29" s="42" t="n">
        <x:v>1</x:v>
      </x:c>
      <x:c r="I29" s="42" t="str">
        <x:v>否</x:v>
      </x:c>
      <x:c r="J29" s="42" t="str">
        <x:v>否</x:v>
      </x:c>
      <x:c r="K29" s="42" t="n">
        <x:f>LEN('60只轻量技能'!K29)</x:f>
        <x:v>22</x:v>
      </x:c>
      <x:c r="L29" s="42" t="n">
        <x:v>38</x:v>
      </x:c>
      <x:c r="M29" s="42" t="str">
        <x:f>IF(D29&lt;=E29,"PASS","FAIL")</x:f>
        <x:v>PASS</x:v>
      </x:c>
      <x:c r="N29" s="42" t="str">
        <x:f>IF(C29="普通",IF(AND(F29=1,G29=1,H29=0,I29="否",J29="否"),"PASS","FAIL"),IF(C29="稀有",IF(AND(F29=1,G29&lt;=1,H29&lt;=1,I29="否",J29="否"),"PASS","FAIL"),IF(C29="史诗",IF(AND(F29=1,G29&lt;=2,H29&lt;=1,I29="否",J29="否"),"PASS","FAIL"),IF(AND(F29=1,G29&lt;=2,H29&lt;=1,I29="否",J29="否"),"PASS","FAIL"))))</x:f>
        <x:v>PASS</x:v>
      </x:c>
      <x:c r="O29" s="42" t="str">
        <x:f>IF(K29&lt;=L29,"PASS","FAIL")</x:f>
        <x:v>PASS</x:v>
      </x:c>
      <x:c r="P29" s="42" t="str">
        <x:f>IF(AND('60只轻量技能'!L29&lt;&gt;"",'60只轻量技能'!M29&lt;&gt;"",'60只轻量技能'!N29&lt;&gt;""),"PASS","FAIL")</x:f>
        <x:v>PASS</x:v>
      </x:c>
      <x:c r="Q29" s="42" t="str">
        <x:f>IF(COUNTIF($A$5:$A$64,A29)=1,"PASS","FAIL")</x:f>
        <x:v>PASS</x:v>
      </x:c>
      <x:c r="R29" s="42" t="str">
        <x:f>IF(AND(M29="PASS",N29="PASS",O29="PASS",P29="PASS",Q29="PASS"),"PASS","FAIL")</x:f>
        <x:v>PASS</x:v>
      </x:c>
    </x:row>
    <x:row r="30" ht="34" customHeight="1">
      <x:c r="A30" s="42" t="str">
        <x:v>penguin</x:v>
      </x:c>
      <x:c r="B30" s="42" t="str">
        <x:v>企鹅</x:v>
      </x:c>
      <x:c r="C30" s="42" t="str">
        <x:v>史诗</x:v>
      </x:c>
      <x:c r="D30" s="42" t="n">
        <x:v>3</x:v>
      </x:c>
      <x:c r="E30" s="42" t="n">
        <x:v>3</x:v>
      </x:c>
      <x:c r="F30" s="42" t="n">
        <x:v>1</x:v>
      </x:c>
      <x:c r="G30" s="42" t="n">
        <x:v>1</x:v>
      </x:c>
      <x:c r="H30" s="42" t="n">
        <x:v>0</x:v>
      </x:c>
      <x:c r="I30" s="42" t="str">
        <x:v>否</x:v>
      </x:c>
      <x:c r="J30" s="42" t="str">
        <x:v>否</x:v>
      </x:c>
      <x:c r="K30" s="42" t="n">
        <x:f>LEN('60只轻量技能'!K30)</x:f>
        <x:v>19</x:v>
      </x:c>
      <x:c r="L30" s="42" t="n">
        <x:v>38</x:v>
      </x:c>
      <x:c r="M30" s="42" t="str">
        <x:f>IF(D30&lt;=E30,"PASS","FAIL")</x:f>
        <x:v>PASS</x:v>
      </x:c>
      <x:c r="N30" s="42" t="str">
        <x:f>IF(C30="普通",IF(AND(F30=1,G30=1,H30=0,I30="否",J30="否"),"PASS","FAIL"),IF(C30="稀有",IF(AND(F30=1,G30&lt;=1,H30&lt;=1,I30="否",J30="否"),"PASS","FAIL"),IF(C30="史诗",IF(AND(F30=1,G30&lt;=2,H30&lt;=1,I30="否",J30="否"),"PASS","FAIL"),IF(AND(F30=1,G30&lt;=2,H30&lt;=1,I30="否",J30="否"),"PASS","FAIL"))))</x:f>
        <x:v>PASS</x:v>
      </x:c>
      <x:c r="O30" s="42" t="str">
        <x:f>IF(K30&lt;=L30,"PASS","FAIL")</x:f>
        <x:v>PASS</x:v>
      </x:c>
      <x:c r="P30" s="42" t="str">
        <x:f>IF(AND('60只轻量技能'!L30&lt;&gt;"",'60只轻量技能'!M30&lt;&gt;"",'60只轻量技能'!N30&lt;&gt;""),"PASS","FAIL")</x:f>
        <x:v>PASS</x:v>
      </x:c>
      <x:c r="Q30" s="42" t="str">
        <x:f>IF(COUNTIF($A$5:$A$64,A30)=1,"PASS","FAIL")</x:f>
        <x:v>PASS</x:v>
      </x:c>
      <x:c r="R30" s="42" t="str">
        <x:f>IF(AND(M30="PASS",N30="PASS",O30="PASS",P30="PASS",Q30="PASS"),"PASS","FAIL")</x:f>
        <x:v>PASS</x:v>
      </x:c>
    </x:row>
    <x:row r="31" ht="34" customHeight="1">
      <x:c r="A31" s="42" t="str">
        <x:v>peacock</x:v>
      </x:c>
      <x:c r="B31" s="42" t="str">
        <x:v>孔雀</x:v>
      </x:c>
      <x:c r="C31" s="42" t="str">
        <x:v>史诗</x:v>
      </x:c>
      <x:c r="D31" s="42" t="n">
        <x:v>3</x:v>
      </x:c>
      <x:c r="E31" s="42" t="n">
        <x:v>3</x:v>
      </x:c>
      <x:c r="F31" s="42" t="n">
        <x:v>1</x:v>
      </x:c>
      <x:c r="G31" s="42" t="n">
        <x:v>1</x:v>
      </x:c>
      <x:c r="H31" s="42" t="n">
        <x:v>1</x:v>
      </x:c>
      <x:c r="I31" s="42" t="str">
        <x:v>否</x:v>
      </x:c>
      <x:c r="J31" s="42" t="str">
        <x:v>否</x:v>
      </x:c>
      <x:c r="K31" s="42" t="n">
        <x:f>LEN('60只轻量技能'!K31)</x:f>
        <x:v>20</x:v>
      </x:c>
      <x:c r="L31" s="42" t="n">
        <x:v>38</x:v>
      </x:c>
      <x:c r="M31" s="42" t="str">
        <x:f>IF(D31&lt;=E31,"PASS","FAIL")</x:f>
        <x:v>PASS</x:v>
      </x:c>
      <x:c r="N31" s="42" t="str">
        <x:f>IF(C31="普通",IF(AND(F31=1,G31=1,H31=0,I31="否",J31="否"),"PASS","FAIL"),IF(C31="稀有",IF(AND(F31=1,G31&lt;=1,H31&lt;=1,I31="否",J31="否"),"PASS","FAIL"),IF(C31="史诗",IF(AND(F31=1,G31&lt;=2,H31&lt;=1,I31="否",J31="否"),"PASS","FAIL"),IF(AND(F31=1,G31&lt;=2,H31&lt;=1,I31="否",J31="否"),"PASS","FAIL"))))</x:f>
        <x:v>PASS</x:v>
      </x:c>
      <x:c r="O31" s="42" t="str">
        <x:f>IF(K31&lt;=L31,"PASS","FAIL")</x:f>
        <x:v>PASS</x:v>
      </x:c>
      <x:c r="P31" s="42" t="str">
        <x:f>IF(AND('60只轻量技能'!L31&lt;&gt;"",'60只轻量技能'!M31&lt;&gt;"",'60只轻量技能'!N31&lt;&gt;""),"PASS","FAIL")</x:f>
        <x:v>PASS</x:v>
      </x:c>
      <x:c r="Q31" s="42" t="str">
        <x:f>IF(COUNTIF($A$5:$A$64,A31)=1,"PASS","FAIL")</x:f>
        <x:v>PASS</x:v>
      </x:c>
      <x:c r="R31" s="42" t="str">
        <x:f>IF(AND(M31="PASS",N31="PASS",O31="PASS",P31="PASS",Q31="PASS"),"PASS","FAIL")</x:f>
        <x:v>PASS</x:v>
      </x:c>
    </x:row>
    <x:row r="32" ht="34" customHeight="1">
      <x:c r="A32" s="42" t="str">
        <x:v>kangaroo</x:v>
      </x:c>
      <x:c r="B32" s="42" t="str">
        <x:v>袋鼠</x:v>
      </x:c>
      <x:c r="C32" s="42" t="str">
        <x:v>史诗</x:v>
      </x:c>
      <x:c r="D32" s="42" t="n">
        <x:v>3</x:v>
      </x:c>
      <x:c r="E32" s="42" t="n">
        <x:v>3</x:v>
      </x:c>
      <x:c r="F32" s="42" t="n">
        <x:v>1</x:v>
      </x:c>
      <x:c r="G32" s="42" t="n">
        <x:v>2</x:v>
      </x:c>
      <x:c r="H32" s="42" t="n">
        <x:v>0</x:v>
      </x:c>
      <x:c r="I32" s="42" t="str">
        <x:v>否</x:v>
      </x:c>
      <x:c r="J32" s="42" t="str">
        <x:v>否</x:v>
      </x:c>
      <x:c r="K32" s="42" t="n">
        <x:f>LEN('60只轻量技能'!K32)</x:f>
        <x:v>19</x:v>
      </x:c>
      <x:c r="L32" s="42" t="n">
        <x:v>38</x:v>
      </x:c>
      <x:c r="M32" s="42" t="str">
        <x:f>IF(D32&lt;=E32,"PASS","FAIL")</x:f>
        <x:v>PASS</x:v>
      </x:c>
      <x:c r="N32" s="42" t="str">
        <x:f>IF(C32="普通",IF(AND(F32=1,G32=1,H32=0,I32="否",J32="否"),"PASS","FAIL"),IF(C32="稀有",IF(AND(F32=1,G32&lt;=1,H32&lt;=1,I32="否",J32="否"),"PASS","FAIL"),IF(C32="史诗",IF(AND(F32=1,G32&lt;=2,H32&lt;=1,I32="否",J32="否"),"PASS","FAIL"),IF(AND(F32=1,G32&lt;=2,H32&lt;=1,I32="否",J32="否"),"PASS","FAIL"))))</x:f>
        <x:v>PASS</x:v>
      </x:c>
      <x:c r="O32" s="42" t="str">
        <x:f>IF(K32&lt;=L32,"PASS","FAIL")</x:f>
        <x:v>PASS</x:v>
      </x:c>
      <x:c r="P32" s="42" t="str">
        <x:f>IF(AND('60只轻量技能'!L32&lt;&gt;"",'60只轻量技能'!M32&lt;&gt;"",'60只轻量技能'!N32&lt;&gt;""),"PASS","FAIL")</x:f>
        <x:v>PASS</x:v>
      </x:c>
      <x:c r="Q32" s="42" t="str">
        <x:f>IF(COUNTIF($A$5:$A$64,A32)=1,"PASS","FAIL")</x:f>
        <x:v>PASS</x:v>
      </x:c>
      <x:c r="R32" s="42" t="str">
        <x:f>IF(AND(M32="PASS",N32="PASS",O32="PASS",P32="PASS",Q32="PASS"),"PASS","FAIL")</x:f>
        <x:v>PASS</x:v>
      </x:c>
    </x:row>
    <x:row r="33" ht="34" customHeight="1">
      <x:c r="A33" s="42" t="str">
        <x:v>seal</x:v>
      </x:c>
      <x:c r="B33" s="42" t="str">
        <x:v>海豹</x:v>
      </x:c>
      <x:c r="C33" s="42" t="str">
        <x:v>史诗</x:v>
      </x:c>
      <x:c r="D33" s="42" t="n">
        <x:v>3</x:v>
      </x:c>
      <x:c r="E33" s="42" t="n">
        <x:v>3</x:v>
      </x:c>
      <x:c r="F33" s="42" t="n">
        <x:v>1</x:v>
      </x:c>
      <x:c r="G33" s="42" t="n">
        <x:v>1</x:v>
      </x:c>
      <x:c r="H33" s="42" t="n">
        <x:v>1</x:v>
      </x:c>
      <x:c r="I33" s="42" t="str">
        <x:v>否</x:v>
      </x:c>
      <x:c r="J33" s="42" t="str">
        <x:v>否</x:v>
      </x:c>
      <x:c r="K33" s="42" t="n">
        <x:f>LEN('60只轻量技能'!K33)</x:f>
        <x:v>22</x:v>
      </x:c>
      <x:c r="L33" s="42" t="n">
        <x:v>38</x:v>
      </x:c>
      <x:c r="M33" s="42" t="str">
        <x:f>IF(D33&lt;=E33,"PASS","FAIL")</x:f>
        <x:v>PASS</x:v>
      </x:c>
      <x:c r="N33" s="42" t="str">
        <x:f>IF(C33="普通",IF(AND(F33=1,G33=1,H33=0,I33="否",J33="否"),"PASS","FAIL"),IF(C33="稀有",IF(AND(F33=1,G33&lt;=1,H33&lt;=1,I33="否",J33="否"),"PASS","FAIL"),IF(C33="史诗",IF(AND(F33=1,G33&lt;=2,H33&lt;=1,I33="否",J33="否"),"PASS","FAIL"),IF(AND(F33=1,G33&lt;=2,H33&lt;=1,I33="否",J33="否"),"PASS","FAIL"))))</x:f>
        <x:v>PASS</x:v>
      </x:c>
      <x:c r="O33" s="42" t="str">
        <x:f>IF(K33&lt;=L33,"PASS","FAIL")</x:f>
        <x:v>PASS</x:v>
      </x:c>
      <x:c r="P33" s="42" t="str">
        <x:f>IF(AND('60只轻量技能'!L33&lt;&gt;"",'60只轻量技能'!M33&lt;&gt;"",'60只轻量技能'!N33&lt;&gt;""),"PASS","FAIL")</x:f>
        <x:v>PASS</x:v>
      </x:c>
      <x:c r="Q33" s="42" t="str">
        <x:f>IF(COUNTIF($A$5:$A$64,A33)=1,"PASS","FAIL")</x:f>
        <x:v>PASS</x:v>
      </x:c>
      <x:c r="R33" s="42" t="str">
        <x:f>IF(AND(M33="PASS",N33="PASS",O33="PASS",P33="PASS",Q33="PASS"),"PASS","FAIL")</x:f>
        <x:v>PASS</x:v>
      </x:c>
    </x:row>
    <x:row r="34" ht="34" customHeight="1">
      <x:c r="A34" s="42" t="str">
        <x:v>swan</x:v>
      </x:c>
      <x:c r="B34" s="42" t="str">
        <x:v>天鹅</x:v>
      </x:c>
      <x:c r="C34" s="42" t="str">
        <x:v>史诗</x:v>
      </x:c>
      <x:c r="D34" s="42" t="n">
        <x:v>3</x:v>
      </x:c>
      <x:c r="E34" s="42" t="n">
        <x:v>3</x:v>
      </x:c>
      <x:c r="F34" s="42" t="n">
        <x:v>1</x:v>
      </x:c>
      <x:c r="G34" s="42" t="n">
        <x:v>1</x:v>
      </x:c>
      <x:c r="H34" s="42" t="n">
        <x:v>1</x:v>
      </x:c>
      <x:c r="I34" s="42" t="str">
        <x:v>否</x:v>
      </x:c>
      <x:c r="J34" s="42" t="str">
        <x:v>否</x:v>
      </x:c>
      <x:c r="K34" s="42" t="n">
        <x:f>LEN('60只轻量技能'!K34)</x:f>
        <x:v>20</x:v>
      </x:c>
      <x:c r="L34" s="42" t="n">
        <x:v>38</x:v>
      </x:c>
      <x:c r="M34" s="42" t="str">
        <x:f>IF(D34&lt;=E34,"PASS","FAIL")</x:f>
        <x:v>PASS</x:v>
      </x:c>
      <x:c r="N34" s="42" t="str">
        <x:f>IF(C34="普通",IF(AND(F34=1,G34=1,H34=0,I34="否",J34="否"),"PASS","FAIL"),IF(C34="稀有",IF(AND(F34=1,G34&lt;=1,H34&lt;=1,I34="否",J34="否"),"PASS","FAIL"),IF(C34="史诗",IF(AND(F34=1,G34&lt;=2,H34&lt;=1,I34="否",J34="否"),"PASS","FAIL"),IF(AND(F34=1,G34&lt;=2,H34&lt;=1,I34="否",J34="否"),"PASS","FAIL"))))</x:f>
        <x:v>PASS</x:v>
      </x:c>
      <x:c r="O34" s="42" t="str">
        <x:f>IF(K34&lt;=L34,"PASS","FAIL")</x:f>
        <x:v>PASS</x:v>
      </x:c>
      <x:c r="P34" s="42" t="str">
        <x:f>IF(AND('60只轻量技能'!L34&lt;&gt;"",'60只轻量技能'!M34&lt;&gt;"",'60只轻量技能'!N34&lt;&gt;""),"PASS","FAIL")</x:f>
        <x:v>PASS</x:v>
      </x:c>
      <x:c r="Q34" s="42" t="str">
        <x:f>IF(COUNTIF($A$5:$A$64,A34)=1,"PASS","FAIL")</x:f>
        <x:v>PASS</x:v>
      </x:c>
      <x:c r="R34" s="42" t="str">
        <x:f>IF(AND(M34="PASS",N34="PASS",O34="PASS",P34="PASS",Q34="PASS"),"PASS","FAIL")</x:f>
        <x:v>PASS</x:v>
      </x:c>
    </x:row>
    <x:row r="35" ht="34" customHeight="1">
      <x:c r="A35" s="42" t="str">
        <x:v>wolf</x:v>
      </x:c>
      <x:c r="B35" s="42" t="str">
        <x:v>狼</x:v>
      </x:c>
      <x:c r="C35" s="42" t="str">
        <x:v>史诗</x:v>
      </x:c>
      <x:c r="D35" s="42" t="n">
        <x:v>3</x:v>
      </x:c>
      <x:c r="E35" s="42" t="n">
        <x:v>3</x:v>
      </x:c>
      <x:c r="F35" s="42" t="n">
        <x:v>1</x:v>
      </x:c>
      <x:c r="G35" s="42" t="n">
        <x:v>1</x:v>
      </x:c>
      <x:c r="H35" s="42" t="n">
        <x:v>1</x:v>
      </x:c>
      <x:c r="I35" s="42" t="str">
        <x:v>否</x:v>
      </x:c>
      <x:c r="J35" s="42" t="str">
        <x:v>否</x:v>
      </x:c>
      <x:c r="K35" s="42" t="n">
        <x:f>LEN('60只轻量技能'!K35)</x:f>
        <x:v>25</x:v>
      </x:c>
      <x:c r="L35" s="42" t="n">
        <x:v>38</x:v>
      </x:c>
      <x:c r="M35" s="42" t="str">
        <x:f>IF(D35&lt;=E35,"PASS","FAIL")</x:f>
        <x:v>PASS</x:v>
      </x:c>
      <x:c r="N35" s="42" t="str">
        <x:f>IF(C35="普通",IF(AND(F35=1,G35=1,H35=0,I35="否",J35="否"),"PASS","FAIL"),IF(C35="稀有",IF(AND(F35=1,G35&lt;=1,H35&lt;=1,I35="否",J35="否"),"PASS","FAIL"),IF(C35="史诗",IF(AND(F35=1,G35&lt;=2,H35&lt;=1,I35="否",J35="否"),"PASS","FAIL"),IF(AND(F35=1,G35&lt;=2,H35&lt;=1,I35="否",J35="否"),"PASS","FAIL"))))</x:f>
        <x:v>PASS</x:v>
      </x:c>
      <x:c r="O35" s="42" t="str">
        <x:f>IF(K35&lt;=L35,"PASS","FAIL")</x:f>
        <x:v>PASS</x:v>
      </x:c>
      <x:c r="P35" s="42" t="str">
        <x:f>IF(AND('60只轻量技能'!L35&lt;&gt;"",'60只轻量技能'!M35&lt;&gt;"",'60只轻量技能'!N35&lt;&gt;""),"PASS","FAIL")</x:f>
        <x:v>PASS</x:v>
      </x:c>
      <x:c r="Q35" s="42" t="str">
        <x:f>IF(COUNTIF($A$5:$A$64,A35)=1,"PASS","FAIL")</x:f>
        <x:v>PASS</x:v>
      </x:c>
      <x:c r="R35" s="42" t="str">
        <x:f>IF(AND(M35="PASS",N35="PASS",O35="PASS",P35="PASS",Q35="PASS"),"PASS","FAIL")</x:f>
        <x:v>PASS</x:v>
      </x:c>
    </x:row>
    <x:row r="36" ht="34" customHeight="1">
      <x:c r="A36" s="42" t="str">
        <x:v>horse</x:v>
      </x:c>
      <x:c r="B36" s="42" t="str">
        <x:v>马</x:v>
      </x:c>
      <x:c r="C36" s="42" t="str">
        <x:v>史诗</x:v>
      </x:c>
      <x:c r="D36" s="42" t="n">
        <x:v>3</x:v>
      </x:c>
      <x:c r="E36" s="42" t="n">
        <x:v>3</x:v>
      </x:c>
      <x:c r="F36" s="42" t="n">
        <x:v>1</x:v>
      </x:c>
      <x:c r="G36" s="42" t="n">
        <x:v>1</x:v>
      </x:c>
      <x:c r="H36" s="42" t="n">
        <x:v>0</x:v>
      </x:c>
      <x:c r="I36" s="42" t="str">
        <x:v>否</x:v>
      </x:c>
      <x:c r="J36" s="42" t="str">
        <x:v>否</x:v>
      </x:c>
      <x:c r="K36" s="42" t="n">
        <x:f>LEN('60只轻量技能'!K36)</x:f>
        <x:v>16</x:v>
      </x:c>
      <x:c r="L36" s="42" t="n">
        <x:v>38</x:v>
      </x:c>
      <x:c r="M36" s="42" t="str">
        <x:f>IF(D36&lt;=E36,"PASS","FAIL")</x:f>
        <x:v>PASS</x:v>
      </x:c>
      <x:c r="N36" s="42" t="str">
        <x:f>IF(C36="普通",IF(AND(F36=1,G36=1,H36=0,I36="否",J36="否"),"PASS","FAIL"),IF(C36="稀有",IF(AND(F36=1,G36&lt;=1,H36&lt;=1,I36="否",J36="否"),"PASS","FAIL"),IF(C36="史诗",IF(AND(F36=1,G36&lt;=2,H36&lt;=1,I36="否",J36="否"),"PASS","FAIL"),IF(AND(F36=1,G36&lt;=2,H36&lt;=1,I36="否",J36="否"),"PASS","FAIL"))))</x:f>
        <x:v>PASS</x:v>
      </x:c>
      <x:c r="O36" s="42" t="str">
        <x:f>IF(K36&lt;=L36,"PASS","FAIL")</x:f>
        <x:v>PASS</x:v>
      </x:c>
      <x:c r="P36" s="42" t="str">
        <x:f>IF(AND('60只轻量技能'!L36&lt;&gt;"",'60只轻量技能'!M36&lt;&gt;"",'60只轻量技能'!N36&lt;&gt;""),"PASS","FAIL")</x:f>
        <x:v>PASS</x:v>
      </x:c>
      <x:c r="Q36" s="42" t="str">
        <x:f>IF(COUNTIF($A$5:$A$64,A36)=1,"PASS","FAIL")</x:f>
        <x:v>PASS</x:v>
      </x:c>
      <x:c r="R36" s="42" t="str">
        <x:f>IF(AND(M36="PASS",N36="PASS",O36="PASS",P36="PASS",Q36="PASS"),"PASS","FAIL")</x:f>
        <x:v>PASS</x:v>
      </x:c>
    </x:row>
    <x:row r="37" ht="34" customHeight="1">
      <x:c r="A37" s="42" t="str">
        <x:v>cow</x:v>
      </x:c>
      <x:c r="B37" s="42" t="str">
        <x:v>牛</x:v>
      </x:c>
      <x:c r="C37" s="42" t="str">
        <x:v>史诗</x:v>
      </x:c>
      <x:c r="D37" s="42" t="n">
        <x:v>3</x:v>
      </x:c>
      <x:c r="E37" s="42" t="n">
        <x:v>3</x:v>
      </x:c>
      <x:c r="F37" s="42" t="n">
        <x:v>1</x:v>
      </x:c>
      <x:c r="G37" s="42" t="n">
        <x:v>1</x:v>
      </x:c>
      <x:c r="H37" s="42" t="n">
        <x:v>1</x:v>
      </x:c>
      <x:c r="I37" s="42" t="str">
        <x:v>否</x:v>
      </x:c>
      <x:c r="J37" s="42" t="str">
        <x:v>否</x:v>
      </x:c>
      <x:c r="K37" s="42" t="n">
        <x:f>LEN('60只轻量技能'!K37)</x:f>
        <x:v>24</x:v>
      </x:c>
      <x:c r="L37" s="42" t="n">
        <x:v>38</x:v>
      </x:c>
      <x:c r="M37" s="42" t="str">
        <x:f>IF(D37&lt;=E37,"PASS","FAIL")</x:f>
        <x:v>PASS</x:v>
      </x:c>
      <x:c r="N37" s="42" t="str">
        <x:f>IF(C37="普通",IF(AND(F37=1,G37=1,H37=0,I37="否",J37="否"),"PASS","FAIL"),IF(C37="稀有",IF(AND(F37=1,G37&lt;=1,H37&lt;=1,I37="否",J37="否"),"PASS","FAIL"),IF(C37="史诗",IF(AND(F37=1,G37&lt;=2,H37&lt;=1,I37="否",J37="否"),"PASS","FAIL"),IF(AND(F37=1,G37&lt;=2,H37&lt;=1,I37="否",J37="否"),"PASS","FAIL"))))</x:f>
        <x:v>PASS</x:v>
      </x:c>
      <x:c r="O37" s="42" t="str">
        <x:f>IF(K37&lt;=L37,"PASS","FAIL")</x:f>
        <x:v>PASS</x:v>
      </x:c>
      <x:c r="P37" s="42" t="str">
        <x:f>IF(AND('60只轻量技能'!L37&lt;&gt;"",'60只轻量技能'!M37&lt;&gt;"",'60只轻量技能'!N37&lt;&gt;""),"PASS","FAIL")</x:f>
        <x:v>PASS</x:v>
      </x:c>
      <x:c r="Q37" s="42" t="str">
        <x:f>IF(COUNTIF($A$5:$A$64,A37)=1,"PASS","FAIL")</x:f>
        <x:v>PASS</x:v>
      </x:c>
      <x:c r="R37" s="42" t="str">
        <x:f>IF(AND(M37="PASS",N37="PASS",O37="PASS",P37="PASS",Q37="PASS"),"PASS","FAIL")</x:f>
        <x:v>PASS</x:v>
      </x:c>
    </x:row>
    <x:row r="38" ht="34" customHeight="1">
      <x:c r="A38" s="42" t="str">
        <x:v>zebra</x:v>
      </x:c>
      <x:c r="B38" s="42" t="str">
        <x:v>斑马</x:v>
      </x:c>
      <x:c r="C38" s="42" t="str">
        <x:v>史诗</x:v>
      </x:c>
      <x:c r="D38" s="42" t="n">
        <x:v>3</x:v>
      </x:c>
      <x:c r="E38" s="42" t="n">
        <x:v>3</x:v>
      </x:c>
      <x:c r="F38" s="42" t="n">
        <x:v>1</x:v>
      </x:c>
      <x:c r="G38" s="42" t="n">
        <x:v>1</x:v>
      </x:c>
      <x:c r="H38" s="42" t="n">
        <x:v>1</x:v>
      </x:c>
      <x:c r="I38" s="42" t="str">
        <x:v>否</x:v>
      </x:c>
      <x:c r="J38" s="42" t="str">
        <x:v>否</x:v>
      </x:c>
      <x:c r="K38" s="42" t="n">
        <x:f>LEN('60只轻量技能'!K38)</x:f>
        <x:v>19</x:v>
      </x:c>
      <x:c r="L38" s="42" t="n">
        <x:v>38</x:v>
      </x:c>
      <x:c r="M38" s="42" t="str">
        <x:f>IF(D38&lt;=E38,"PASS","FAIL")</x:f>
        <x:v>PASS</x:v>
      </x:c>
      <x:c r="N38" s="42" t="str">
        <x:f>IF(C38="普通",IF(AND(F38=1,G38=1,H38=0,I38="否",J38="否"),"PASS","FAIL"),IF(C38="稀有",IF(AND(F38=1,G38&lt;=1,H38&lt;=1,I38="否",J38="否"),"PASS","FAIL"),IF(C38="史诗",IF(AND(F38=1,G38&lt;=2,H38&lt;=1,I38="否",J38="否"),"PASS","FAIL"),IF(AND(F38=1,G38&lt;=2,H38&lt;=1,I38="否",J38="否"),"PASS","FAIL"))))</x:f>
        <x:v>PASS</x:v>
      </x:c>
      <x:c r="O38" s="42" t="str">
        <x:f>IF(K38&lt;=L38,"PASS","FAIL")</x:f>
        <x:v>PASS</x:v>
      </x:c>
      <x:c r="P38" s="42" t="str">
        <x:f>IF(AND('60只轻量技能'!L38&lt;&gt;"",'60只轻量技能'!M38&lt;&gt;"",'60只轻量技能'!N38&lt;&gt;""),"PASS","FAIL")</x:f>
        <x:v>PASS</x:v>
      </x:c>
      <x:c r="Q38" s="42" t="str">
        <x:f>IF(COUNTIF($A$5:$A$64,A38)=1,"PASS","FAIL")</x:f>
        <x:v>PASS</x:v>
      </x:c>
      <x:c r="R38" s="42" t="str">
        <x:f>IF(AND(M38="PASS",N38="PASS",O38="PASS",P38="PASS",Q38="PASS"),"PASS","FAIL")</x:f>
        <x:v>PASS</x:v>
      </x:c>
    </x:row>
    <x:row r="39" ht="34" customHeight="1">
      <x:c r="A39" s="42" t="str">
        <x:v>camel</x:v>
      </x:c>
      <x:c r="B39" s="42" t="str">
        <x:v>骆驼</x:v>
      </x:c>
      <x:c r="C39" s="42" t="str">
        <x:v>史诗</x:v>
      </x:c>
      <x:c r="D39" s="42" t="n">
        <x:v>3</x:v>
      </x:c>
      <x:c r="E39" s="42" t="n">
        <x:v>3</x:v>
      </x:c>
      <x:c r="F39" s="42" t="n">
        <x:v>1</x:v>
      </x:c>
      <x:c r="G39" s="42" t="n">
        <x:v>1</x:v>
      </x:c>
      <x:c r="H39" s="42" t="n">
        <x:v>1</x:v>
      </x:c>
      <x:c r="I39" s="42" t="str">
        <x:v>否</x:v>
      </x:c>
      <x:c r="J39" s="42" t="str">
        <x:v>否</x:v>
      </x:c>
      <x:c r="K39" s="42" t="n">
        <x:f>LEN('60只轻量技能'!K39)</x:f>
        <x:v>24</x:v>
      </x:c>
      <x:c r="L39" s="42" t="n">
        <x:v>38</x:v>
      </x:c>
      <x:c r="M39" s="42" t="str">
        <x:f>IF(D39&lt;=E39,"PASS","FAIL")</x:f>
        <x:v>PASS</x:v>
      </x:c>
      <x:c r="N39" s="42" t="str">
        <x:f>IF(C39="普通",IF(AND(F39=1,G39=1,H39=0,I39="否",J39="否"),"PASS","FAIL"),IF(C39="稀有",IF(AND(F39=1,G39&lt;=1,H39&lt;=1,I39="否",J39="否"),"PASS","FAIL"),IF(C39="史诗",IF(AND(F39=1,G39&lt;=2,H39&lt;=1,I39="否",J39="否"),"PASS","FAIL"),IF(AND(F39=1,G39&lt;=2,H39&lt;=1,I39="否",J39="否"),"PASS","FAIL"))))</x:f>
        <x:v>PASS</x:v>
      </x:c>
      <x:c r="O39" s="42" t="str">
        <x:f>IF(K39&lt;=L39,"PASS","FAIL")</x:f>
        <x:v>PASS</x:v>
      </x:c>
      <x:c r="P39" s="42" t="str">
        <x:f>IF(AND('60只轻量技能'!L39&lt;&gt;"",'60只轻量技能'!M39&lt;&gt;"",'60只轻量技能'!N39&lt;&gt;""),"PASS","FAIL")</x:f>
        <x:v>PASS</x:v>
      </x:c>
      <x:c r="Q39" s="42" t="str">
        <x:f>IF(COUNTIF($A$5:$A$64,A39)=1,"PASS","FAIL")</x:f>
        <x:v>PASS</x:v>
      </x:c>
      <x:c r="R39" s="42" t="str">
        <x:f>IF(AND(M39="PASS",N39="PASS",O39="PASS",P39="PASS",Q39="PASS"),"PASS","FAIL")</x:f>
        <x:v>PASS</x:v>
      </x:c>
    </x:row>
    <x:row r="40" ht="34" customHeight="1">
      <x:c r="A40" s="42" t="str">
        <x:v>dolphin</x:v>
      </x:c>
      <x:c r="B40" s="42" t="str">
        <x:v>海豚</x:v>
      </x:c>
      <x:c r="C40" s="42" t="str">
        <x:v>史诗</x:v>
      </x:c>
      <x:c r="D40" s="42" t="n">
        <x:v>3</x:v>
      </x:c>
      <x:c r="E40" s="42" t="n">
        <x:v>3</x:v>
      </x:c>
      <x:c r="F40" s="42" t="n">
        <x:v>1</x:v>
      </x:c>
      <x:c r="G40" s="42" t="n">
        <x:v>1</x:v>
      </x:c>
      <x:c r="H40" s="42" t="n">
        <x:v>0</x:v>
      </x:c>
      <x:c r="I40" s="42" t="str">
        <x:v>否</x:v>
      </x:c>
      <x:c r="J40" s="42" t="str">
        <x:v>否</x:v>
      </x:c>
      <x:c r="K40" s="42" t="n">
        <x:f>LEN('60只轻量技能'!K40)</x:f>
        <x:v>17</x:v>
      </x:c>
      <x:c r="L40" s="42" t="n">
        <x:v>38</x:v>
      </x:c>
      <x:c r="M40" s="42" t="str">
        <x:f>IF(D40&lt;=E40,"PASS","FAIL")</x:f>
        <x:v>PASS</x:v>
      </x:c>
      <x:c r="N40" s="42" t="str">
        <x:f>IF(C40="普通",IF(AND(F40=1,G40=1,H40=0,I40="否",J40="否"),"PASS","FAIL"),IF(C40="稀有",IF(AND(F40=1,G40&lt;=1,H40&lt;=1,I40="否",J40="否"),"PASS","FAIL"),IF(C40="史诗",IF(AND(F40=1,G40&lt;=2,H40&lt;=1,I40="否",J40="否"),"PASS","FAIL"),IF(AND(F40=1,G40&lt;=2,H40&lt;=1,I40="否",J40="否"),"PASS","FAIL"))))</x:f>
        <x:v>PASS</x:v>
      </x:c>
      <x:c r="O40" s="42" t="str">
        <x:f>IF(K40&lt;=L40,"PASS","FAIL")</x:f>
        <x:v>PASS</x:v>
      </x:c>
      <x:c r="P40" s="42" t="str">
        <x:f>IF(AND('60只轻量技能'!L40&lt;&gt;"",'60只轻量技能'!M40&lt;&gt;"",'60只轻量技能'!N40&lt;&gt;""),"PASS","FAIL")</x:f>
        <x:v>PASS</x:v>
      </x:c>
      <x:c r="Q40" s="42" t="str">
        <x:f>IF(COUNTIF($A$5:$A$64,A40)=1,"PASS","FAIL")</x:f>
        <x:v>PASS</x:v>
      </x:c>
      <x:c r="R40" s="42" t="str">
        <x:f>IF(AND(M40="PASS",N40="PASS",O40="PASS",P40="PASS",Q40="PASS"),"PASS","FAIL")</x:f>
        <x:v>PASS</x:v>
      </x:c>
    </x:row>
    <x:row r="41" ht="34" customHeight="1">
      <x:c r="A41" s="42" t="str">
        <x:v>falcon</x:v>
      </x:c>
      <x:c r="B41" s="42" t="str">
        <x:v>猎鹰</x:v>
      </x:c>
      <x:c r="C41" s="42" t="str">
        <x:v>史诗</x:v>
      </x:c>
      <x:c r="D41" s="42" t="n">
        <x:v>3</x:v>
      </x:c>
      <x:c r="E41" s="42" t="n">
        <x:v>3</x:v>
      </x:c>
      <x:c r="F41" s="42" t="n">
        <x:v>1</x:v>
      </x:c>
      <x:c r="G41" s="42" t="n">
        <x:v>2</x:v>
      </x:c>
      <x:c r="H41" s="42" t="n">
        <x:v>1</x:v>
      </x:c>
      <x:c r="I41" s="42" t="str">
        <x:v>否</x:v>
      </x:c>
      <x:c r="J41" s="42" t="str">
        <x:v>否</x:v>
      </x:c>
      <x:c r="K41" s="42" t="n">
        <x:f>LEN('60只轻量技能'!K41)</x:f>
        <x:v>19</x:v>
      </x:c>
      <x:c r="L41" s="42" t="n">
        <x:v>38</x:v>
      </x:c>
      <x:c r="M41" s="42" t="str">
        <x:f>IF(D41&lt;=E41,"PASS","FAIL")</x:f>
        <x:v>PASS</x:v>
      </x:c>
      <x:c r="N41" s="42" t="str">
        <x:f>IF(C41="普通",IF(AND(F41=1,G41=1,H41=0,I41="否",J41="否"),"PASS","FAIL"),IF(C41="稀有",IF(AND(F41=1,G41&lt;=1,H41&lt;=1,I41="否",J41="否"),"PASS","FAIL"),IF(C41="史诗",IF(AND(F41=1,G41&lt;=2,H41&lt;=1,I41="否",J41="否"),"PASS","FAIL"),IF(AND(F41=1,G41&lt;=2,H41&lt;=1,I41="否",J41="否"),"PASS","FAIL"))))</x:f>
        <x:v>PASS</x:v>
      </x:c>
      <x:c r="O41" s="42" t="str">
        <x:f>IF(K41&lt;=L41,"PASS","FAIL")</x:f>
        <x:v>PASS</x:v>
      </x:c>
      <x:c r="P41" s="42" t="str">
        <x:f>IF(AND('60只轻量技能'!L41&lt;&gt;"",'60只轻量技能'!M41&lt;&gt;"",'60只轻量技能'!N41&lt;&gt;""),"PASS","FAIL")</x:f>
        <x:v>PASS</x:v>
      </x:c>
      <x:c r="Q41" s="42" t="str">
        <x:f>IF(COUNTIF($A$5:$A$64,A41)=1,"PASS","FAIL")</x:f>
        <x:v>PASS</x:v>
      </x:c>
      <x:c r="R41" s="42" t="str">
        <x:f>IF(AND(M41="PASS",N41="PASS",O41="PASS",P41="PASS",Q41="PASS"),"PASS","FAIL")</x:f>
        <x:v>PASS</x:v>
      </x:c>
    </x:row>
    <x:row r="42" ht="34" customHeight="1">
      <x:c r="A42" s="42" t="str">
        <x:v>boar</x:v>
      </x:c>
      <x:c r="B42" s="42" t="str">
        <x:v>野猪</x:v>
      </x:c>
      <x:c r="C42" s="42" t="str">
        <x:v>史诗</x:v>
      </x:c>
      <x:c r="D42" s="42" t="n">
        <x:v>3</x:v>
      </x:c>
      <x:c r="E42" s="42" t="n">
        <x:v>3</x:v>
      </x:c>
      <x:c r="F42" s="42" t="n">
        <x:v>1</x:v>
      </x:c>
      <x:c r="G42" s="42" t="n">
        <x:v>2</x:v>
      </x:c>
      <x:c r="H42" s="42" t="n">
        <x:v>0</x:v>
      </x:c>
      <x:c r="I42" s="42" t="str">
        <x:v>否</x:v>
      </x:c>
      <x:c r="J42" s="42" t="str">
        <x:v>否</x:v>
      </x:c>
      <x:c r="K42" s="42" t="n">
        <x:f>LEN('60只轻量技能'!K42)</x:f>
        <x:v>18</x:v>
      </x:c>
      <x:c r="L42" s="42" t="n">
        <x:v>38</x:v>
      </x:c>
      <x:c r="M42" s="42" t="str">
        <x:f>IF(D42&lt;=E42,"PASS","FAIL")</x:f>
        <x:v>PASS</x:v>
      </x:c>
      <x:c r="N42" s="42" t="str">
        <x:f>IF(C42="普通",IF(AND(F42=1,G42=1,H42=0,I42="否",J42="否"),"PASS","FAIL"),IF(C42="稀有",IF(AND(F42=1,G42&lt;=1,H42&lt;=1,I42="否",J42="否"),"PASS","FAIL"),IF(C42="史诗",IF(AND(F42=1,G42&lt;=2,H42&lt;=1,I42="否",J42="否"),"PASS","FAIL"),IF(AND(F42=1,G42&lt;=2,H42&lt;=1,I42="否",J42="否"),"PASS","FAIL"))))</x:f>
        <x:v>PASS</x:v>
      </x:c>
      <x:c r="O42" s="42" t="str">
        <x:f>IF(K42&lt;=L42,"PASS","FAIL")</x:f>
        <x:v>PASS</x:v>
      </x:c>
      <x:c r="P42" s="42" t="str">
        <x:f>IF(AND('60只轻量技能'!L42&lt;&gt;"",'60只轻量技能'!M42&lt;&gt;"",'60只轻量技能'!N42&lt;&gt;""),"PASS","FAIL")</x:f>
        <x:v>PASS</x:v>
      </x:c>
      <x:c r="Q42" s="42" t="str">
        <x:f>IF(COUNTIF($A$5:$A$64,A42)=1,"PASS","FAIL")</x:f>
        <x:v>PASS</x:v>
      </x:c>
      <x:c r="R42" s="42" t="str">
        <x:f>IF(AND(M42="PASS",N42="PASS",O42="PASS",P42="PASS",Q42="PASS"),"PASS","FAIL")</x:f>
        <x:v>PASS</x:v>
      </x:c>
    </x:row>
    <x:row r="43" ht="34" customHeight="1">
      <x:c r="A43" s="42" t="str">
        <x:v>crane</x:v>
      </x:c>
      <x:c r="B43" s="42" t="str">
        <x:v>鹤</x:v>
      </x:c>
      <x:c r="C43" s="42" t="str">
        <x:v>史诗</x:v>
      </x:c>
      <x:c r="D43" s="42" t="n">
        <x:v>3</x:v>
      </x:c>
      <x:c r="E43" s="42" t="n">
        <x:v>3</x:v>
      </x:c>
      <x:c r="F43" s="42" t="n">
        <x:v>1</x:v>
      </x:c>
      <x:c r="G43" s="42" t="n">
        <x:v>1</x:v>
      </x:c>
      <x:c r="H43" s="42" t="n">
        <x:v>1</x:v>
      </x:c>
      <x:c r="I43" s="42" t="str">
        <x:v>否</x:v>
      </x:c>
      <x:c r="J43" s="42" t="str">
        <x:v>否</x:v>
      </x:c>
      <x:c r="K43" s="42" t="n">
        <x:f>LEN('60只轻量技能'!K43)</x:f>
        <x:v>25</x:v>
      </x:c>
      <x:c r="L43" s="42" t="n">
        <x:v>38</x:v>
      </x:c>
      <x:c r="M43" s="42" t="str">
        <x:f>IF(D43&lt;=E43,"PASS","FAIL")</x:f>
        <x:v>PASS</x:v>
      </x:c>
      <x:c r="N43" s="42" t="str">
        <x:f>IF(C43="普通",IF(AND(F43=1,G43=1,H43=0,I43="否",J43="否"),"PASS","FAIL"),IF(C43="稀有",IF(AND(F43=1,G43&lt;=1,H43&lt;=1,I43="否",J43="否"),"PASS","FAIL"),IF(C43="史诗",IF(AND(F43=1,G43&lt;=2,H43&lt;=1,I43="否",J43="否"),"PASS","FAIL"),IF(AND(F43=1,G43&lt;=2,H43&lt;=1,I43="否",J43="否"),"PASS","FAIL"))))</x:f>
        <x:v>PASS</x:v>
      </x:c>
      <x:c r="O43" s="42" t="str">
        <x:f>IF(K43&lt;=L43,"PASS","FAIL")</x:f>
        <x:v>PASS</x:v>
      </x:c>
      <x:c r="P43" s="42" t="str">
        <x:f>IF(AND('60只轻量技能'!L43&lt;&gt;"",'60只轻量技能'!M43&lt;&gt;"",'60只轻量技能'!N43&lt;&gt;""),"PASS","FAIL")</x:f>
        <x:v>PASS</x:v>
      </x:c>
      <x:c r="Q43" s="42" t="str">
        <x:f>IF(COUNTIF($A$5:$A$64,A43)=1,"PASS","FAIL")</x:f>
        <x:v>PASS</x:v>
      </x:c>
      <x:c r="R43" s="42" t="str">
        <x:f>IF(AND(M43="PASS",N43="PASS",O43="PASS",P43="PASS",Q43="PASS"),"PASS","FAIL")</x:f>
        <x:v>PASS</x:v>
      </x:c>
    </x:row>
    <x:row r="44" ht="34" customHeight="1">
      <x:c r="A44" s="42" t="str">
        <x:v>lynx</x:v>
      </x:c>
      <x:c r="B44" s="42" t="str">
        <x:v>猞猁</x:v>
      </x:c>
      <x:c r="C44" s="42" t="str">
        <x:v>史诗</x:v>
      </x:c>
      <x:c r="D44" s="42" t="n">
        <x:v>3</x:v>
      </x:c>
      <x:c r="E44" s="42" t="n">
        <x:v>3</x:v>
      </x:c>
      <x:c r="F44" s="42" t="n">
        <x:v>1</x:v>
      </x:c>
      <x:c r="G44" s="42" t="n">
        <x:v>2</x:v>
      </x:c>
      <x:c r="H44" s="42" t="n">
        <x:v>0</x:v>
      </x:c>
      <x:c r="I44" s="42" t="str">
        <x:v>否</x:v>
      </x:c>
      <x:c r="J44" s="42" t="str">
        <x:v>否</x:v>
      </x:c>
      <x:c r="K44" s="42" t="n">
        <x:f>LEN('60只轻量技能'!K44)</x:f>
        <x:v>21</x:v>
      </x:c>
      <x:c r="L44" s="42" t="n">
        <x:v>38</x:v>
      </x:c>
      <x:c r="M44" s="42" t="str">
        <x:f>IF(D44&lt;=E44,"PASS","FAIL")</x:f>
        <x:v>PASS</x:v>
      </x:c>
      <x:c r="N44" s="42" t="str">
        <x:f>IF(C44="普通",IF(AND(F44=1,G44=1,H44=0,I44="否",J44="否"),"PASS","FAIL"),IF(C44="稀有",IF(AND(F44=1,G44&lt;=1,H44&lt;=1,I44="否",J44="否"),"PASS","FAIL"),IF(C44="史诗",IF(AND(F44=1,G44&lt;=2,H44&lt;=1,I44="否",J44="否"),"PASS","FAIL"),IF(AND(F44=1,G44&lt;=2,H44&lt;=1,I44="否",J44="否"),"PASS","FAIL"))))</x:f>
        <x:v>PASS</x:v>
      </x:c>
      <x:c r="O44" s="42" t="str">
        <x:f>IF(K44&lt;=L44,"PASS","FAIL")</x:f>
        <x:v>PASS</x:v>
      </x:c>
      <x:c r="P44" s="42" t="str">
        <x:f>IF(AND('60只轻量技能'!L44&lt;&gt;"",'60只轻量技能'!M44&lt;&gt;"",'60只轻量技能'!N44&lt;&gt;""),"PASS","FAIL")</x:f>
        <x:v>PASS</x:v>
      </x:c>
      <x:c r="Q44" s="42" t="str">
        <x:f>IF(COUNTIF($A$5:$A$64,A44)=1,"PASS","FAIL")</x:f>
        <x:v>PASS</x:v>
      </x:c>
      <x:c r="R44" s="42" t="str">
        <x:f>IF(AND(M44="PASS",N44="PASS",O44="PASS",P44="PASS",Q44="PASS"),"PASS","FAIL")</x:f>
        <x:v>PASS</x:v>
      </x:c>
    </x:row>
    <x:row r="45" ht="34" customHeight="1">
      <x:c r="A45" s="42" t="str">
        <x:v>bear</x:v>
      </x:c>
      <x:c r="B45" s="42" t="str">
        <x:v>熊</x:v>
      </x:c>
      <x:c r="C45" s="42" t="str">
        <x:v>传说</x:v>
      </x:c>
      <x:c r="D45" s="42" t="n">
        <x:v>4</x:v>
      </x:c>
      <x:c r="E45" s="42" t="n">
        <x:v>4</x:v>
      </x:c>
      <x:c r="F45" s="42" t="n">
        <x:v>1</x:v>
      </x:c>
      <x:c r="G45" s="42" t="n">
        <x:v>2</x:v>
      </x:c>
      <x:c r="H45" s="42" t="n">
        <x:v>0</x:v>
      </x:c>
      <x:c r="I45" s="42" t="str">
        <x:v>否</x:v>
      </x:c>
      <x:c r="J45" s="42" t="str">
        <x:v>否</x:v>
      </x:c>
      <x:c r="K45" s="42" t="n">
        <x:f>LEN('60只轻量技能'!K45)</x:f>
        <x:v>22</x:v>
      </x:c>
      <x:c r="L45" s="42" t="n">
        <x:v>48</x:v>
      </x:c>
      <x:c r="M45" s="42" t="str">
        <x:f>IF(D45&lt;=E45,"PASS","FAIL")</x:f>
        <x:v>PASS</x:v>
      </x:c>
      <x:c r="N45" s="42" t="str">
        <x:f>IF(C45="普通",IF(AND(F45=1,G45=1,H45=0,I45="否",J45="否"),"PASS","FAIL"),IF(C45="稀有",IF(AND(F45=1,G45&lt;=1,H45&lt;=1,I45="否",J45="否"),"PASS","FAIL"),IF(C45="史诗",IF(AND(F45=1,G45&lt;=2,H45&lt;=1,I45="否",J45="否"),"PASS","FAIL"),IF(AND(F45=1,G45&lt;=2,H45&lt;=1,I45="否",J45="否"),"PASS","FAIL"))))</x:f>
        <x:v>PASS</x:v>
      </x:c>
      <x:c r="O45" s="42" t="str">
        <x:f>IF(K45&lt;=L45,"PASS","FAIL")</x:f>
        <x:v>PASS</x:v>
      </x:c>
      <x:c r="P45" s="42" t="str">
        <x:f>IF(AND('60只轻量技能'!L45&lt;&gt;"",'60只轻量技能'!M45&lt;&gt;"",'60只轻量技能'!N45&lt;&gt;""),"PASS","FAIL")</x:f>
        <x:v>PASS</x:v>
      </x:c>
      <x:c r="Q45" s="42" t="str">
        <x:f>IF(COUNTIF($A$5:$A$64,A45)=1,"PASS","FAIL")</x:f>
        <x:v>PASS</x:v>
      </x:c>
      <x:c r="R45" s="42" t="str">
        <x:f>IF(AND(M45="PASS",N45="PASS",O45="PASS",P45="PASS",Q45="PASS"),"PASS","FAIL")</x:f>
        <x:v>PASS</x:v>
      </x:c>
    </x:row>
    <x:row r="46" ht="34" customHeight="1">
      <x:c r="A46" s="42" t="str">
        <x:v>tiger</x:v>
      </x:c>
      <x:c r="B46" s="42" t="str">
        <x:v>老虎</x:v>
      </x:c>
      <x:c r="C46" s="42" t="str">
        <x:v>传说</x:v>
      </x:c>
      <x:c r="D46" s="42" t="n">
        <x:v>4</x:v>
      </x:c>
      <x:c r="E46" s="42" t="n">
        <x:v>4</x:v>
      </x:c>
      <x:c r="F46" s="42" t="n">
        <x:v>1</x:v>
      </x:c>
      <x:c r="G46" s="42" t="n">
        <x:v>1</x:v>
      </x:c>
      <x:c r="H46" s="42" t="n">
        <x:v>0</x:v>
      </x:c>
      <x:c r="I46" s="42" t="str">
        <x:v>否</x:v>
      </x:c>
      <x:c r="J46" s="42" t="str">
        <x:v>否</x:v>
      </x:c>
      <x:c r="K46" s="42" t="n">
        <x:f>LEN('60只轻量技能'!K46)</x:f>
        <x:v>18</x:v>
      </x:c>
      <x:c r="L46" s="42" t="n">
        <x:v>48</x:v>
      </x:c>
      <x:c r="M46" s="42" t="str">
        <x:f>IF(D46&lt;=E46,"PASS","FAIL")</x:f>
        <x:v>PASS</x:v>
      </x:c>
      <x:c r="N46" s="42" t="str">
        <x:f>IF(C46="普通",IF(AND(F46=1,G46=1,H46=0,I46="否",J46="否"),"PASS","FAIL"),IF(C46="稀有",IF(AND(F46=1,G46&lt;=1,H46&lt;=1,I46="否",J46="否"),"PASS","FAIL"),IF(C46="史诗",IF(AND(F46=1,G46&lt;=2,H46&lt;=1,I46="否",J46="否"),"PASS","FAIL"),IF(AND(F46=1,G46&lt;=2,H46&lt;=1,I46="否",J46="否"),"PASS","FAIL"))))</x:f>
        <x:v>PASS</x:v>
      </x:c>
      <x:c r="O46" s="42" t="str">
        <x:f>IF(K46&lt;=L46,"PASS","FAIL")</x:f>
        <x:v>PASS</x:v>
      </x:c>
      <x:c r="P46" s="42" t="str">
        <x:f>IF(AND('60只轻量技能'!L46&lt;&gt;"",'60只轻量技能'!M46&lt;&gt;"",'60只轻量技能'!N46&lt;&gt;""),"PASS","FAIL")</x:f>
        <x:v>PASS</x:v>
      </x:c>
      <x:c r="Q46" s="42" t="str">
        <x:f>IF(COUNTIF($A$5:$A$64,A46)=1,"PASS","FAIL")</x:f>
        <x:v>PASS</x:v>
      </x:c>
      <x:c r="R46" s="42" t="str">
        <x:f>IF(AND(M46="PASS",N46="PASS",O46="PASS",P46="PASS",Q46="PASS"),"PASS","FAIL")</x:f>
        <x:v>PASS</x:v>
      </x:c>
    </x:row>
    <x:row r="47" ht="34" customHeight="1">
      <x:c r="A47" s="42" t="str">
        <x:v>lion</x:v>
      </x:c>
      <x:c r="B47" s="42" t="str">
        <x:v>狮子</x:v>
      </x:c>
      <x:c r="C47" s="42" t="str">
        <x:v>传说</x:v>
      </x:c>
      <x:c r="D47" s="42" t="n">
        <x:v>4</x:v>
      </x:c>
      <x:c r="E47" s="42" t="n">
        <x:v>4</x:v>
      </x:c>
      <x:c r="F47" s="42" t="n">
        <x:v>1</x:v>
      </x:c>
      <x:c r="G47" s="42" t="n">
        <x:v>1</x:v>
      </x:c>
      <x:c r="H47" s="42" t="n">
        <x:v>0</x:v>
      </x:c>
      <x:c r="I47" s="42" t="str">
        <x:v>否</x:v>
      </x:c>
      <x:c r="J47" s="42" t="str">
        <x:v>否</x:v>
      </x:c>
      <x:c r="K47" s="42" t="n">
        <x:f>LEN('60只轻量技能'!K47)</x:f>
        <x:v>16</x:v>
      </x:c>
      <x:c r="L47" s="42" t="n">
        <x:v>48</x:v>
      </x:c>
      <x:c r="M47" s="42" t="str">
        <x:f>IF(D47&lt;=E47,"PASS","FAIL")</x:f>
        <x:v>PASS</x:v>
      </x:c>
      <x:c r="N47" s="42" t="str">
        <x:f>IF(C47="普通",IF(AND(F47=1,G47=1,H47=0,I47="否",J47="否"),"PASS","FAIL"),IF(C47="稀有",IF(AND(F47=1,G47&lt;=1,H47&lt;=1,I47="否",J47="否"),"PASS","FAIL"),IF(C47="史诗",IF(AND(F47=1,G47&lt;=2,H47&lt;=1,I47="否",J47="否"),"PASS","FAIL"),IF(AND(F47=1,G47&lt;=2,H47&lt;=1,I47="否",J47="否"),"PASS","FAIL"))))</x:f>
        <x:v>PASS</x:v>
      </x:c>
      <x:c r="O47" s="42" t="str">
        <x:f>IF(K47&lt;=L47,"PASS","FAIL")</x:f>
        <x:v>PASS</x:v>
      </x:c>
      <x:c r="P47" s="42" t="str">
        <x:f>IF(AND('60只轻量技能'!L47&lt;&gt;"",'60只轻量技能'!M47&lt;&gt;"",'60只轻量技能'!N47&lt;&gt;""),"PASS","FAIL")</x:f>
        <x:v>PASS</x:v>
      </x:c>
      <x:c r="Q47" s="42" t="str">
        <x:f>IF(COUNTIF($A$5:$A$64,A47)=1,"PASS","FAIL")</x:f>
        <x:v>PASS</x:v>
      </x:c>
      <x:c r="R47" s="42" t="str">
        <x:f>IF(AND(M47="PASS",N47="PASS",O47="PASS",P47="PASS",Q47="PASS"),"PASS","FAIL")</x:f>
        <x:v>PASS</x:v>
      </x:c>
    </x:row>
    <x:row r="48" ht="34" customHeight="1">
      <x:c r="A48" s="42" t="str">
        <x:v>rhino</x:v>
      </x:c>
      <x:c r="B48" s="42" t="str">
        <x:v>犀牛</x:v>
      </x:c>
      <x:c r="C48" s="42" t="str">
        <x:v>传说</x:v>
      </x:c>
      <x:c r="D48" s="42" t="n">
        <x:v>4</x:v>
      </x:c>
      <x:c r="E48" s="42" t="n">
        <x:v>4</x:v>
      </x:c>
      <x:c r="F48" s="42" t="n">
        <x:v>1</x:v>
      </x:c>
      <x:c r="G48" s="42" t="n">
        <x:v>1</x:v>
      </x:c>
      <x:c r="H48" s="42" t="n">
        <x:v>0</x:v>
      </x:c>
      <x:c r="I48" s="42" t="str">
        <x:v>否</x:v>
      </x:c>
      <x:c r="J48" s="42" t="str">
        <x:v>否</x:v>
      </x:c>
      <x:c r="K48" s="42" t="n">
        <x:f>LEN('60只轻量技能'!K48)</x:f>
        <x:v>20</x:v>
      </x:c>
      <x:c r="L48" s="42" t="n">
        <x:v>48</x:v>
      </x:c>
      <x:c r="M48" s="42" t="str">
        <x:f>IF(D48&lt;=E48,"PASS","FAIL")</x:f>
        <x:v>PASS</x:v>
      </x:c>
      <x:c r="N48" s="42" t="str">
        <x:f>IF(C48="普通",IF(AND(F48=1,G48=1,H48=0,I48="否",J48="否"),"PASS","FAIL"),IF(C48="稀有",IF(AND(F48=1,G48&lt;=1,H48&lt;=1,I48="否",J48="否"),"PASS","FAIL"),IF(C48="史诗",IF(AND(F48=1,G48&lt;=2,H48&lt;=1,I48="否",J48="否"),"PASS","FAIL"),IF(AND(F48=1,G48&lt;=2,H48&lt;=1,I48="否",J48="否"),"PASS","FAIL"))))</x:f>
        <x:v>PASS</x:v>
      </x:c>
      <x:c r="O48" s="42" t="str">
        <x:f>IF(K48&lt;=L48,"PASS","FAIL")</x:f>
        <x:v>PASS</x:v>
      </x:c>
      <x:c r="P48" s="42" t="str">
        <x:f>IF(AND('60只轻量技能'!L48&lt;&gt;"",'60只轻量技能'!M48&lt;&gt;"",'60只轻量技能'!N48&lt;&gt;""),"PASS","FAIL")</x:f>
        <x:v>PASS</x:v>
      </x:c>
      <x:c r="Q48" s="42" t="str">
        <x:f>IF(COUNTIF($A$5:$A$64,A48)=1,"PASS","FAIL")</x:f>
        <x:v>PASS</x:v>
      </x:c>
      <x:c r="R48" s="42" t="str">
        <x:f>IF(AND(M48="PASS",N48="PASS",O48="PASS",P48="PASS",Q48="PASS"),"PASS","FAIL")</x:f>
        <x:v>PASS</x:v>
      </x:c>
    </x:row>
    <x:row r="49" ht="34" customHeight="1">
      <x:c r="A49" s="42" t="str">
        <x:v>hippo</x:v>
      </x:c>
      <x:c r="B49" s="42" t="str">
        <x:v>河马</x:v>
      </x:c>
      <x:c r="C49" s="42" t="str">
        <x:v>传说</x:v>
      </x:c>
      <x:c r="D49" s="42" t="n">
        <x:v>4</x:v>
      </x:c>
      <x:c r="E49" s="42" t="n">
        <x:v>4</x:v>
      </x:c>
      <x:c r="F49" s="42" t="n">
        <x:v>1</x:v>
      </x:c>
      <x:c r="G49" s="42" t="n">
        <x:v>1</x:v>
      </x:c>
      <x:c r="H49" s="42" t="n">
        <x:v>1</x:v>
      </x:c>
      <x:c r="I49" s="42" t="str">
        <x:v>否</x:v>
      </x:c>
      <x:c r="J49" s="42" t="str">
        <x:v>否</x:v>
      </x:c>
      <x:c r="K49" s="42" t="n">
        <x:f>LEN('60只轻量技能'!K49)</x:f>
        <x:v>21</x:v>
      </x:c>
      <x:c r="L49" s="42" t="n">
        <x:v>48</x:v>
      </x:c>
      <x:c r="M49" s="42" t="str">
        <x:f>IF(D49&lt;=E49,"PASS","FAIL")</x:f>
        <x:v>PASS</x:v>
      </x:c>
      <x:c r="N49" s="42" t="str">
        <x:f>IF(C49="普通",IF(AND(F49=1,G49=1,H49=0,I49="否",J49="否"),"PASS","FAIL"),IF(C49="稀有",IF(AND(F49=1,G49&lt;=1,H49&lt;=1,I49="否",J49="否"),"PASS","FAIL"),IF(C49="史诗",IF(AND(F49=1,G49&lt;=2,H49&lt;=1,I49="否",J49="否"),"PASS","FAIL"),IF(AND(F49=1,G49&lt;=2,H49&lt;=1,I49="否",J49="否"),"PASS","FAIL"))))</x:f>
        <x:v>PASS</x:v>
      </x:c>
      <x:c r="O49" s="42" t="str">
        <x:f>IF(K49&lt;=L49,"PASS","FAIL")</x:f>
        <x:v>PASS</x:v>
      </x:c>
      <x:c r="P49" s="42" t="str">
        <x:f>IF(AND('60只轻量技能'!L49&lt;&gt;"",'60只轻量技能'!M49&lt;&gt;"",'60只轻量技能'!N49&lt;&gt;""),"PASS","FAIL")</x:f>
        <x:v>PASS</x:v>
      </x:c>
      <x:c r="Q49" s="42" t="str">
        <x:f>IF(COUNTIF($A$5:$A$64,A49)=1,"PASS","FAIL")</x:f>
        <x:v>PASS</x:v>
      </x:c>
      <x:c r="R49" s="42" t="str">
        <x:f>IF(AND(M49="PASS",N49="PASS",O49="PASS",P49="PASS",Q49="PASS"),"PASS","FAIL")</x:f>
        <x:v>PASS</x:v>
      </x:c>
    </x:row>
    <x:row r="50" ht="34" customHeight="1">
      <x:c r="A50" s="42" t="str">
        <x:v>giraffe</x:v>
      </x:c>
      <x:c r="B50" s="42" t="str">
        <x:v>长颈鹿</x:v>
      </x:c>
      <x:c r="C50" s="42" t="str">
        <x:v>传说</x:v>
      </x:c>
      <x:c r="D50" s="42" t="n">
        <x:v>4</x:v>
      </x:c>
      <x:c r="E50" s="42" t="n">
        <x:v>4</x:v>
      </x:c>
      <x:c r="F50" s="42" t="n">
        <x:v>1</x:v>
      </x:c>
      <x:c r="G50" s="42" t="n">
        <x:v>1</x:v>
      </x:c>
      <x:c r="H50" s="42" t="n">
        <x:v>1</x:v>
      </x:c>
      <x:c r="I50" s="42" t="str">
        <x:v>否</x:v>
      </x:c>
      <x:c r="J50" s="42" t="str">
        <x:v>否</x:v>
      </x:c>
      <x:c r="K50" s="42" t="n">
        <x:f>LEN('60只轻量技能'!K50)</x:f>
        <x:v>23</x:v>
      </x:c>
      <x:c r="L50" s="42" t="n">
        <x:v>48</x:v>
      </x:c>
      <x:c r="M50" s="42" t="str">
        <x:f>IF(D50&lt;=E50,"PASS","FAIL")</x:f>
        <x:v>PASS</x:v>
      </x:c>
      <x:c r="N50" s="42" t="str">
        <x:f>IF(C50="普通",IF(AND(F50=1,G50=1,H50=0,I50="否",J50="否"),"PASS","FAIL"),IF(C50="稀有",IF(AND(F50=1,G50&lt;=1,H50&lt;=1,I50="否",J50="否"),"PASS","FAIL"),IF(C50="史诗",IF(AND(F50=1,G50&lt;=2,H50&lt;=1,I50="否",J50="否"),"PASS","FAIL"),IF(AND(F50=1,G50&lt;=2,H50&lt;=1,I50="否",J50="否"),"PASS","FAIL"))))</x:f>
        <x:v>PASS</x:v>
      </x:c>
      <x:c r="O50" s="42" t="str">
        <x:f>IF(K50&lt;=L50,"PASS","FAIL")</x:f>
        <x:v>PASS</x:v>
      </x:c>
      <x:c r="P50" s="42" t="str">
        <x:f>IF(AND('60只轻量技能'!L50&lt;&gt;"",'60只轻量技能'!M50&lt;&gt;"",'60只轻量技能'!N50&lt;&gt;""),"PASS","FAIL")</x:f>
        <x:v>PASS</x:v>
      </x:c>
      <x:c r="Q50" s="42" t="str">
        <x:f>IF(COUNTIF($A$5:$A$64,A50)=1,"PASS","FAIL")</x:f>
        <x:v>PASS</x:v>
      </x:c>
      <x:c r="R50" s="42" t="str">
        <x:f>IF(AND(M50="PASS",N50="PASS",O50="PASS",P50="PASS",Q50="PASS"),"PASS","FAIL")</x:f>
        <x:v>PASS</x:v>
      </x:c>
    </x:row>
    <x:row r="51" ht="34" customHeight="1">
      <x:c r="A51" s="42" t="str">
        <x:v>gorilla</x:v>
      </x:c>
      <x:c r="B51" s="42" t="str">
        <x:v>大猩猩</x:v>
      </x:c>
      <x:c r="C51" s="42" t="str">
        <x:v>传说</x:v>
      </x:c>
      <x:c r="D51" s="42" t="n">
        <x:v>4</x:v>
      </x:c>
      <x:c r="E51" s="42" t="n">
        <x:v>4</x:v>
      </x:c>
      <x:c r="F51" s="42" t="n">
        <x:v>1</x:v>
      </x:c>
      <x:c r="G51" s="42" t="n">
        <x:v>1</x:v>
      </x:c>
      <x:c r="H51" s="42" t="n">
        <x:v>0</x:v>
      </x:c>
      <x:c r="I51" s="42" t="str">
        <x:v>否</x:v>
      </x:c>
      <x:c r="J51" s="42" t="str">
        <x:v>否</x:v>
      </x:c>
      <x:c r="K51" s="42" t="n">
        <x:f>LEN('60只轻量技能'!K51)</x:f>
        <x:v>19</x:v>
      </x:c>
      <x:c r="L51" s="42" t="n">
        <x:v>48</x:v>
      </x:c>
      <x:c r="M51" s="42" t="str">
        <x:f>IF(D51&lt;=E51,"PASS","FAIL")</x:f>
        <x:v>PASS</x:v>
      </x:c>
      <x:c r="N51" s="42" t="str">
        <x:f>IF(C51="普通",IF(AND(F51=1,G51=1,H51=0,I51="否",J51="否"),"PASS","FAIL"),IF(C51="稀有",IF(AND(F51=1,G51&lt;=1,H51&lt;=1,I51="否",J51="否"),"PASS","FAIL"),IF(C51="史诗",IF(AND(F51=1,G51&lt;=2,H51&lt;=1,I51="否",J51="否"),"PASS","FAIL"),IF(AND(F51=1,G51&lt;=2,H51&lt;=1,I51="否",J51="否"),"PASS","FAIL"))))</x:f>
        <x:v>PASS</x:v>
      </x:c>
      <x:c r="O51" s="42" t="str">
        <x:f>IF(K51&lt;=L51,"PASS","FAIL")</x:f>
        <x:v>PASS</x:v>
      </x:c>
      <x:c r="P51" s="42" t="str">
        <x:f>IF(AND('60只轻量技能'!L51&lt;&gt;"",'60只轻量技能'!M51&lt;&gt;"",'60只轻量技能'!N51&lt;&gt;""),"PASS","FAIL")</x:f>
        <x:v>PASS</x:v>
      </x:c>
      <x:c r="Q51" s="42" t="str">
        <x:f>IF(COUNTIF($A$5:$A$64,A51)=1,"PASS","FAIL")</x:f>
        <x:v>PASS</x:v>
      </x:c>
      <x:c r="R51" s="42" t="str">
        <x:f>IF(AND(M51="PASS",N51="PASS",O51="PASS",P51="PASS",Q51="PASS"),"PASS","FAIL")</x:f>
        <x:v>PASS</x:v>
      </x:c>
    </x:row>
    <x:row r="52" ht="34" customHeight="1">
      <x:c r="A52" s="42" t="str">
        <x:v>leopard</x:v>
      </x:c>
      <x:c r="B52" s="42" t="str">
        <x:v>豹子</x:v>
      </x:c>
      <x:c r="C52" s="42" t="str">
        <x:v>传说</x:v>
      </x:c>
      <x:c r="D52" s="42" t="n">
        <x:v>4</x:v>
      </x:c>
      <x:c r="E52" s="42" t="n">
        <x:v>4</x:v>
      </x:c>
      <x:c r="F52" s="42" t="n">
        <x:v>1</x:v>
      </x:c>
      <x:c r="G52" s="42" t="n">
        <x:v>1</x:v>
      </x:c>
      <x:c r="H52" s="42" t="n">
        <x:v>1</x:v>
      </x:c>
      <x:c r="I52" s="42" t="str">
        <x:v>否</x:v>
      </x:c>
      <x:c r="J52" s="42" t="str">
        <x:v>否</x:v>
      </x:c>
      <x:c r="K52" s="42" t="n">
        <x:f>LEN('60只轻量技能'!K52)</x:f>
        <x:v>19</x:v>
      </x:c>
      <x:c r="L52" s="42" t="n">
        <x:v>48</x:v>
      </x:c>
      <x:c r="M52" s="42" t="str">
        <x:f>IF(D52&lt;=E52,"PASS","FAIL")</x:f>
        <x:v>PASS</x:v>
      </x:c>
      <x:c r="N52" s="42" t="str">
        <x:f>IF(C52="普通",IF(AND(F52=1,G52=1,H52=0,I52="否",J52="否"),"PASS","FAIL"),IF(C52="稀有",IF(AND(F52=1,G52&lt;=1,H52&lt;=1,I52="否",J52="否"),"PASS","FAIL"),IF(C52="史诗",IF(AND(F52=1,G52&lt;=2,H52&lt;=1,I52="否",J52="否"),"PASS","FAIL"),IF(AND(F52=1,G52&lt;=2,H52&lt;=1,I52="否",J52="否"),"PASS","FAIL"))))</x:f>
        <x:v>PASS</x:v>
      </x:c>
      <x:c r="O52" s="42" t="str">
        <x:f>IF(K52&lt;=L52,"PASS","FAIL")</x:f>
        <x:v>PASS</x:v>
      </x:c>
      <x:c r="P52" s="42" t="str">
        <x:f>IF(AND('60只轻量技能'!L52&lt;&gt;"",'60只轻量技能'!M52&lt;&gt;"",'60只轻量技能'!N52&lt;&gt;""),"PASS","FAIL")</x:f>
        <x:v>PASS</x:v>
      </x:c>
      <x:c r="Q52" s="42" t="str">
        <x:f>IF(COUNTIF($A$5:$A$64,A52)=1,"PASS","FAIL")</x:f>
        <x:v>PASS</x:v>
      </x:c>
      <x:c r="R52" s="42" t="str">
        <x:f>IF(AND(M52="PASS",N52="PASS",O52="PASS",P52="PASS",Q52="PASS"),"PASS","FAIL")</x:f>
        <x:v>PASS</x:v>
      </x:c>
    </x:row>
    <x:row r="53" ht="34" customHeight="1">
      <x:c r="A53" s="42" t="str">
        <x:v>eagle</x:v>
      </x:c>
      <x:c r="B53" s="42" t="str">
        <x:v>老鹰</x:v>
      </x:c>
      <x:c r="C53" s="42" t="str">
        <x:v>传说</x:v>
      </x:c>
      <x:c r="D53" s="42" t="n">
        <x:v>4</x:v>
      </x:c>
      <x:c r="E53" s="42" t="n">
        <x:v>4</x:v>
      </x:c>
      <x:c r="F53" s="42" t="n">
        <x:v>1</x:v>
      </x:c>
      <x:c r="G53" s="42" t="n">
        <x:v>1</x:v>
      </x:c>
      <x:c r="H53" s="42" t="n">
        <x:v>1</x:v>
      </x:c>
      <x:c r="I53" s="42" t="str">
        <x:v>否</x:v>
      </x:c>
      <x:c r="J53" s="42" t="str">
        <x:v>否</x:v>
      </x:c>
      <x:c r="K53" s="42" t="n">
        <x:f>LEN('60只轻量技能'!K53)</x:f>
        <x:v>20</x:v>
      </x:c>
      <x:c r="L53" s="42" t="n">
        <x:v>48</x:v>
      </x:c>
      <x:c r="M53" s="42" t="str">
        <x:f>IF(D53&lt;=E53,"PASS","FAIL")</x:f>
        <x:v>PASS</x:v>
      </x:c>
      <x:c r="N53" s="42" t="str">
        <x:f>IF(C53="普通",IF(AND(F53=1,G53=1,H53=0,I53="否",J53="否"),"PASS","FAIL"),IF(C53="稀有",IF(AND(F53=1,G53&lt;=1,H53&lt;=1,I53="否",J53="否"),"PASS","FAIL"),IF(C53="史诗",IF(AND(F53=1,G53&lt;=2,H53&lt;=1,I53="否",J53="否"),"PASS","FAIL"),IF(AND(F53=1,G53&lt;=2,H53&lt;=1,I53="否",J53="否"),"PASS","FAIL"))))</x:f>
        <x:v>PASS</x:v>
      </x:c>
      <x:c r="O53" s="42" t="str">
        <x:f>IF(K53&lt;=L53,"PASS","FAIL")</x:f>
        <x:v>PASS</x:v>
      </x:c>
      <x:c r="P53" s="42" t="str">
        <x:f>IF(AND('60只轻量技能'!L53&lt;&gt;"",'60只轻量技能'!M53&lt;&gt;"",'60只轻量技能'!N53&lt;&gt;""),"PASS","FAIL")</x:f>
        <x:v>PASS</x:v>
      </x:c>
      <x:c r="Q53" s="42" t="str">
        <x:f>IF(COUNTIF($A$5:$A$64,A53)=1,"PASS","FAIL")</x:f>
        <x:v>PASS</x:v>
      </x:c>
      <x:c r="R53" s="42" t="str">
        <x:f>IF(AND(M53="PASS",N53="PASS",O53="PASS",P53="PASS",Q53="PASS"),"PASS","FAIL")</x:f>
        <x:v>PASS</x:v>
      </x:c>
    </x:row>
    <x:row r="54" ht="34" customHeight="1">
      <x:c r="A54" s="42" t="str">
        <x:v>crocodile</x:v>
      </x:c>
      <x:c r="B54" s="42" t="str">
        <x:v>鳄鱼</x:v>
      </x:c>
      <x:c r="C54" s="42" t="str">
        <x:v>传说</x:v>
      </x:c>
      <x:c r="D54" s="42" t="n">
        <x:v>4</x:v>
      </x:c>
      <x:c r="E54" s="42" t="n">
        <x:v>4</x:v>
      </x:c>
      <x:c r="F54" s="42" t="n">
        <x:v>1</x:v>
      </x:c>
      <x:c r="G54" s="42" t="n">
        <x:v>1</x:v>
      </x:c>
      <x:c r="H54" s="42" t="n">
        <x:v>1</x:v>
      </x:c>
      <x:c r="I54" s="42" t="str">
        <x:v>否</x:v>
      </x:c>
      <x:c r="J54" s="42" t="str">
        <x:v>否</x:v>
      </x:c>
      <x:c r="K54" s="42" t="n">
        <x:f>LEN('60只轻量技能'!K54)</x:f>
        <x:v>20</x:v>
      </x:c>
      <x:c r="L54" s="42" t="n">
        <x:v>48</x:v>
      </x:c>
      <x:c r="M54" s="42" t="str">
        <x:f>IF(D54&lt;=E54,"PASS","FAIL")</x:f>
        <x:v>PASS</x:v>
      </x:c>
      <x:c r="N54" s="42" t="str">
        <x:f>IF(C54="普通",IF(AND(F54=1,G54=1,H54=0,I54="否",J54="否"),"PASS","FAIL"),IF(C54="稀有",IF(AND(F54=1,G54&lt;=1,H54&lt;=1,I54="否",J54="否"),"PASS","FAIL"),IF(C54="史诗",IF(AND(F54=1,G54&lt;=2,H54&lt;=1,I54="否",J54="否"),"PASS","FAIL"),IF(AND(F54=1,G54&lt;=2,H54&lt;=1,I54="否",J54="否"),"PASS","FAIL"))))</x:f>
        <x:v>PASS</x:v>
      </x:c>
      <x:c r="O54" s="42" t="str">
        <x:f>IF(K54&lt;=L54,"PASS","FAIL")</x:f>
        <x:v>PASS</x:v>
      </x:c>
      <x:c r="P54" s="42" t="str">
        <x:f>IF(AND('60只轻量技能'!L54&lt;&gt;"",'60只轻量技能'!M54&lt;&gt;"",'60只轻量技能'!N54&lt;&gt;""),"PASS","FAIL")</x:f>
        <x:v>PASS</x:v>
      </x:c>
      <x:c r="Q54" s="42" t="str">
        <x:f>IF(COUNTIF($A$5:$A$64,A54)=1,"PASS","FAIL")</x:f>
        <x:v>PASS</x:v>
      </x:c>
      <x:c r="R54" s="42" t="str">
        <x:f>IF(AND(M54="PASS",N54="PASS",O54="PASS",P54="PASS",Q54="PASS"),"PASS","FAIL")</x:f>
        <x:v>PASS</x:v>
      </x:c>
    </x:row>
    <x:row r="55" ht="34" customHeight="1">
      <x:c r="A55" s="42" t="str">
        <x:v>elephant</x:v>
      </x:c>
      <x:c r="B55" s="42" t="str">
        <x:v>大象</x:v>
      </x:c>
      <x:c r="C55" s="42" t="str">
        <x:v>传说</x:v>
      </x:c>
      <x:c r="D55" s="42" t="n">
        <x:v>4</x:v>
      </x:c>
      <x:c r="E55" s="42" t="n">
        <x:v>4</x:v>
      </x:c>
      <x:c r="F55" s="42" t="n">
        <x:v>1</x:v>
      </x:c>
      <x:c r="G55" s="42" t="n">
        <x:v>2</x:v>
      </x:c>
      <x:c r="H55" s="42" t="n">
        <x:v>1</x:v>
      </x:c>
      <x:c r="I55" s="42" t="str">
        <x:v>否</x:v>
      </x:c>
      <x:c r="J55" s="42" t="str">
        <x:v>否</x:v>
      </x:c>
      <x:c r="K55" s="42" t="n">
        <x:f>LEN('60只轻量技能'!K55)</x:f>
        <x:v>24</x:v>
      </x:c>
      <x:c r="L55" s="42" t="n">
        <x:v>48</x:v>
      </x:c>
      <x:c r="M55" s="42" t="str">
        <x:f>IF(D55&lt;=E55,"PASS","FAIL")</x:f>
        <x:v>PASS</x:v>
      </x:c>
      <x:c r="N55" s="42" t="str">
        <x:f>IF(C55="普通",IF(AND(F55=1,G55=1,H55=0,I55="否",J55="否"),"PASS","FAIL"),IF(C55="稀有",IF(AND(F55=1,G55&lt;=1,H55&lt;=1,I55="否",J55="否"),"PASS","FAIL"),IF(C55="史诗",IF(AND(F55=1,G55&lt;=2,H55&lt;=1,I55="否",J55="否"),"PASS","FAIL"),IF(AND(F55=1,G55&lt;=2,H55&lt;=1,I55="否",J55="否"),"PASS","FAIL"))))</x:f>
        <x:v>PASS</x:v>
      </x:c>
      <x:c r="O55" s="42" t="str">
        <x:f>IF(K55&lt;=L55,"PASS","FAIL")</x:f>
        <x:v>PASS</x:v>
      </x:c>
      <x:c r="P55" s="42" t="str">
        <x:f>IF(AND('60只轻量技能'!L55&lt;&gt;"",'60只轻量技能'!M55&lt;&gt;"",'60只轻量技能'!N55&lt;&gt;""),"PASS","FAIL")</x:f>
        <x:v>PASS</x:v>
      </x:c>
      <x:c r="Q55" s="42" t="str">
        <x:f>IF(COUNTIF($A$5:$A$64,A55)=1,"PASS","FAIL")</x:f>
        <x:v>PASS</x:v>
      </x:c>
      <x:c r="R55" s="42" t="str">
        <x:f>IF(AND(M55="PASS",N55="PASS",O55="PASS",P55="PASS",Q55="PASS"),"PASS","FAIL")</x:f>
        <x:v>PASS</x:v>
      </x:c>
    </x:row>
    <x:row r="56" ht="34" customHeight="1">
      <x:c r="A56" s="42" t="str">
        <x:v>blue_whale</x:v>
      </x:c>
      <x:c r="B56" s="42" t="str">
        <x:v>蓝鲸</x:v>
      </x:c>
      <x:c r="C56" s="42" t="str">
        <x:v>传说</x:v>
      </x:c>
      <x:c r="D56" s="42" t="n">
        <x:v>4</x:v>
      </x:c>
      <x:c r="E56" s="42" t="n">
        <x:v>4</x:v>
      </x:c>
      <x:c r="F56" s="42" t="n">
        <x:v>1</x:v>
      </x:c>
      <x:c r="G56" s="42" t="n">
        <x:v>1</x:v>
      </x:c>
      <x:c r="H56" s="42" t="n">
        <x:v>0</x:v>
      </x:c>
      <x:c r="I56" s="42" t="str">
        <x:v>否</x:v>
      </x:c>
      <x:c r="J56" s="42" t="str">
        <x:v>否</x:v>
      </x:c>
      <x:c r="K56" s="42" t="n">
        <x:f>LEN('60只轻量技能'!K56)</x:f>
        <x:v>23</x:v>
      </x:c>
      <x:c r="L56" s="42" t="n">
        <x:v>48</x:v>
      </x:c>
      <x:c r="M56" s="42" t="str">
        <x:f>IF(D56&lt;=E56,"PASS","FAIL")</x:f>
        <x:v>PASS</x:v>
      </x:c>
      <x:c r="N56" s="42" t="str">
        <x:f>IF(C56="普通",IF(AND(F56=1,G56=1,H56=0,I56="否",J56="否"),"PASS","FAIL"),IF(C56="稀有",IF(AND(F56=1,G56&lt;=1,H56&lt;=1,I56="否",J56="否"),"PASS","FAIL"),IF(C56="史诗",IF(AND(F56=1,G56&lt;=2,H56&lt;=1,I56="否",J56="否"),"PASS","FAIL"),IF(AND(F56=1,G56&lt;=2,H56&lt;=1,I56="否",J56="否"),"PASS","FAIL"))))</x:f>
        <x:v>PASS</x:v>
      </x:c>
      <x:c r="O56" s="42" t="str">
        <x:f>IF(K56&lt;=L56,"PASS","FAIL")</x:f>
        <x:v>PASS</x:v>
      </x:c>
      <x:c r="P56" s="42" t="str">
        <x:f>IF(AND('60只轻量技能'!L56&lt;&gt;"",'60只轻量技能'!M56&lt;&gt;"",'60只轻量技能'!N56&lt;&gt;""),"PASS","FAIL")</x:f>
        <x:v>PASS</x:v>
      </x:c>
      <x:c r="Q56" s="42" t="str">
        <x:f>IF(COUNTIF($A$5:$A$64,A56)=1,"PASS","FAIL")</x:f>
        <x:v>PASS</x:v>
      </x:c>
      <x:c r="R56" s="42" t="str">
        <x:f>IF(AND(M56="PASS",N56="PASS",O56="PASS",P56="PASS",Q56="PASS"),"PASS","FAIL")</x:f>
        <x:v>PASS</x:v>
      </x:c>
    </x:row>
    <x:row r="57" ht="34" customHeight="1">
      <x:c r="A57" s="42" t="str">
        <x:v>orca</x:v>
      </x:c>
      <x:c r="B57" s="42" t="str">
        <x:v>虎鲸</x:v>
      </x:c>
      <x:c r="C57" s="42" t="str">
        <x:v>传说</x:v>
      </x:c>
      <x:c r="D57" s="42" t="n">
        <x:v>4</x:v>
      </x:c>
      <x:c r="E57" s="42" t="n">
        <x:v>4</x:v>
      </x:c>
      <x:c r="F57" s="42" t="n">
        <x:v>1</x:v>
      </x:c>
      <x:c r="G57" s="42" t="n">
        <x:v>1</x:v>
      </x:c>
      <x:c r="H57" s="42" t="n">
        <x:v>1</x:v>
      </x:c>
      <x:c r="I57" s="42" t="str">
        <x:v>否</x:v>
      </x:c>
      <x:c r="J57" s="42" t="str">
        <x:v>否</x:v>
      </x:c>
      <x:c r="K57" s="42" t="n">
        <x:f>LEN('60只轻量技能'!K57)</x:f>
        <x:v>24</x:v>
      </x:c>
      <x:c r="L57" s="42" t="n">
        <x:v>48</x:v>
      </x:c>
      <x:c r="M57" s="42" t="str">
        <x:f>IF(D57&lt;=E57,"PASS","FAIL")</x:f>
        <x:v>PASS</x:v>
      </x:c>
      <x:c r="N57" s="42" t="str">
        <x:f>IF(C57="普通",IF(AND(F57=1,G57=1,H57=0,I57="否",J57="否"),"PASS","FAIL"),IF(C57="稀有",IF(AND(F57=1,G57&lt;=1,H57&lt;=1,I57="否",J57="否"),"PASS","FAIL"),IF(C57="史诗",IF(AND(F57=1,G57&lt;=2,H57&lt;=1,I57="否",J57="否"),"PASS","FAIL"),IF(AND(F57=1,G57&lt;=2,H57&lt;=1,I57="否",J57="否"),"PASS","FAIL"))))</x:f>
        <x:v>PASS</x:v>
      </x:c>
      <x:c r="O57" s="42" t="str">
        <x:f>IF(K57&lt;=L57,"PASS","FAIL")</x:f>
        <x:v>PASS</x:v>
      </x:c>
      <x:c r="P57" s="42" t="str">
        <x:f>IF(AND('60只轻量技能'!L57&lt;&gt;"",'60只轻量技能'!M57&lt;&gt;"",'60只轻量技能'!N57&lt;&gt;""),"PASS","FAIL")</x:f>
        <x:v>PASS</x:v>
      </x:c>
      <x:c r="Q57" s="42" t="str">
        <x:f>IF(COUNTIF($A$5:$A$64,A57)=1,"PASS","FAIL")</x:f>
        <x:v>PASS</x:v>
      </x:c>
      <x:c r="R57" s="42" t="str">
        <x:f>IF(AND(M57="PASS",N57="PASS",O57="PASS",P57="PASS",Q57="PASS"),"PASS","FAIL")</x:f>
        <x:v>PASS</x:v>
      </x:c>
    </x:row>
    <x:row r="58" ht="34" customHeight="1">
      <x:c r="A58" s="42" t="str">
        <x:v>shark</x:v>
      </x:c>
      <x:c r="B58" s="42" t="str">
        <x:v>鲨鱼</x:v>
      </x:c>
      <x:c r="C58" s="42" t="str">
        <x:v>传说</x:v>
      </x:c>
      <x:c r="D58" s="42" t="n">
        <x:v>4</x:v>
      </x:c>
      <x:c r="E58" s="42" t="n">
        <x:v>4</x:v>
      </x:c>
      <x:c r="F58" s="42" t="n">
        <x:v>1</x:v>
      </x:c>
      <x:c r="G58" s="42" t="n">
        <x:v>1</x:v>
      </x:c>
      <x:c r="H58" s="42" t="n">
        <x:v>1</x:v>
      </x:c>
      <x:c r="I58" s="42" t="str">
        <x:v>否</x:v>
      </x:c>
      <x:c r="J58" s="42" t="str">
        <x:v>否</x:v>
      </x:c>
      <x:c r="K58" s="42" t="n">
        <x:f>LEN('60只轻量技能'!K58)</x:f>
        <x:v>22</x:v>
      </x:c>
      <x:c r="L58" s="42" t="n">
        <x:v>48</x:v>
      </x:c>
      <x:c r="M58" s="42" t="str">
        <x:f>IF(D58&lt;=E58,"PASS","FAIL")</x:f>
        <x:v>PASS</x:v>
      </x:c>
      <x:c r="N58" s="42" t="str">
        <x:f>IF(C58="普通",IF(AND(F58=1,G58=1,H58=0,I58="否",J58="否"),"PASS","FAIL"),IF(C58="稀有",IF(AND(F58=1,G58&lt;=1,H58&lt;=1,I58="否",J58="否"),"PASS","FAIL"),IF(C58="史诗",IF(AND(F58=1,G58&lt;=2,H58&lt;=1,I58="否",J58="否"),"PASS","FAIL"),IF(AND(F58=1,G58&lt;=2,H58&lt;=1,I58="否",J58="否"),"PASS","FAIL"))))</x:f>
        <x:v>PASS</x:v>
      </x:c>
      <x:c r="O58" s="42" t="str">
        <x:f>IF(K58&lt;=L58,"PASS","FAIL")</x:f>
        <x:v>PASS</x:v>
      </x:c>
      <x:c r="P58" s="42" t="str">
        <x:f>IF(AND('60只轻量技能'!L58&lt;&gt;"",'60只轻量技能'!M58&lt;&gt;"",'60只轻量技能'!N58&lt;&gt;""),"PASS","FAIL")</x:f>
        <x:v>PASS</x:v>
      </x:c>
      <x:c r="Q58" s="42" t="str">
        <x:f>IF(COUNTIF($A$5:$A$64,A58)=1,"PASS","FAIL")</x:f>
        <x:v>PASS</x:v>
      </x:c>
      <x:c r="R58" s="42" t="str">
        <x:f>IF(AND(M58="PASS",N58="PASS",O58="PASS",P58="PASS",Q58="PASS"),"PASS","FAIL")</x:f>
        <x:v>PASS</x:v>
      </x:c>
    </x:row>
    <x:row r="59" ht="34" customHeight="1">
      <x:c r="A59" s="42" t="str">
        <x:v>python</x:v>
      </x:c>
      <x:c r="B59" s="42" t="str">
        <x:v>巨蟒</x:v>
      </x:c>
      <x:c r="C59" s="42" t="str">
        <x:v>传说</x:v>
      </x:c>
      <x:c r="D59" s="42" t="n">
        <x:v>4</x:v>
      </x:c>
      <x:c r="E59" s="42" t="n">
        <x:v>4</x:v>
      </x:c>
      <x:c r="F59" s="42" t="n">
        <x:v>1</x:v>
      </x:c>
      <x:c r="G59" s="42" t="n">
        <x:v>1</x:v>
      </x:c>
      <x:c r="H59" s="42" t="n">
        <x:v>0</x:v>
      </x:c>
      <x:c r="I59" s="42" t="str">
        <x:v>否</x:v>
      </x:c>
      <x:c r="J59" s="42" t="str">
        <x:v>否</x:v>
      </x:c>
      <x:c r="K59" s="42" t="n">
        <x:f>LEN('60只轻量技能'!K59)</x:f>
        <x:v>19</x:v>
      </x:c>
      <x:c r="L59" s="42" t="n">
        <x:v>48</x:v>
      </x:c>
      <x:c r="M59" s="42" t="str">
        <x:f>IF(D59&lt;=E59,"PASS","FAIL")</x:f>
        <x:v>PASS</x:v>
      </x:c>
      <x:c r="N59" s="42" t="str">
        <x:f>IF(C59="普通",IF(AND(F59=1,G59=1,H59=0,I59="否",J59="否"),"PASS","FAIL"),IF(C59="稀有",IF(AND(F59=1,G59&lt;=1,H59&lt;=1,I59="否",J59="否"),"PASS","FAIL"),IF(C59="史诗",IF(AND(F59=1,G59&lt;=2,H59&lt;=1,I59="否",J59="否"),"PASS","FAIL"),IF(AND(F59=1,G59&lt;=2,H59&lt;=1,I59="否",J59="否"),"PASS","FAIL"))))</x:f>
        <x:v>PASS</x:v>
      </x:c>
      <x:c r="O59" s="42" t="str">
        <x:f>IF(K59&lt;=L59,"PASS","FAIL")</x:f>
        <x:v>PASS</x:v>
      </x:c>
      <x:c r="P59" s="42" t="str">
        <x:f>IF(AND('60只轻量技能'!L59&lt;&gt;"",'60只轻量技能'!M59&lt;&gt;"",'60只轻量技能'!N59&lt;&gt;""),"PASS","FAIL")</x:f>
        <x:v>PASS</x:v>
      </x:c>
      <x:c r="Q59" s="42" t="str">
        <x:f>IF(COUNTIF($A$5:$A$64,A59)=1,"PASS","FAIL")</x:f>
        <x:v>PASS</x:v>
      </x:c>
      <x:c r="R59" s="42" t="str">
        <x:f>IF(AND(M59="PASS",N59="PASS",O59="PASS",P59="PASS",Q59="PASS"),"PASS","FAIL")</x:f>
        <x:v>PASS</x:v>
      </x:c>
    </x:row>
    <x:row r="60" ht="34" customHeight="1">
      <x:c r="A60" s="42" t="str">
        <x:v>komodo_dragon</x:v>
      </x:c>
      <x:c r="B60" s="42" t="str">
        <x:v>科莫多龙</x:v>
      </x:c>
      <x:c r="C60" s="42" t="str">
        <x:v>传说</x:v>
      </x:c>
      <x:c r="D60" s="42" t="n">
        <x:v>4</x:v>
      </x:c>
      <x:c r="E60" s="42" t="n">
        <x:v>4</x:v>
      </x:c>
      <x:c r="F60" s="42" t="n">
        <x:v>1</x:v>
      </x:c>
      <x:c r="G60" s="42" t="n">
        <x:v>1</x:v>
      </x:c>
      <x:c r="H60" s="42" t="n">
        <x:v>0</x:v>
      </x:c>
      <x:c r="I60" s="42" t="str">
        <x:v>否</x:v>
      </x:c>
      <x:c r="J60" s="42" t="str">
        <x:v>否</x:v>
      </x:c>
      <x:c r="K60" s="42" t="n">
        <x:f>LEN('60只轻量技能'!K60)</x:f>
        <x:v>23</x:v>
      </x:c>
      <x:c r="L60" s="42" t="n">
        <x:v>48</x:v>
      </x:c>
      <x:c r="M60" s="42" t="str">
        <x:f>IF(D60&lt;=E60,"PASS","FAIL")</x:f>
        <x:v>PASS</x:v>
      </x:c>
      <x:c r="N60" s="42" t="str">
        <x:f>IF(C60="普通",IF(AND(F60=1,G60=1,H60=0,I60="否",J60="否"),"PASS","FAIL"),IF(C60="稀有",IF(AND(F60=1,G60&lt;=1,H60&lt;=1,I60="否",J60="否"),"PASS","FAIL"),IF(C60="史诗",IF(AND(F60=1,G60&lt;=2,H60&lt;=1,I60="否",J60="否"),"PASS","FAIL"),IF(AND(F60=1,G60&lt;=2,H60&lt;=1,I60="否",J60="否"),"PASS","FAIL"))))</x:f>
        <x:v>PASS</x:v>
      </x:c>
      <x:c r="O60" s="42" t="str">
        <x:f>IF(K60&lt;=L60,"PASS","FAIL")</x:f>
        <x:v>PASS</x:v>
      </x:c>
      <x:c r="P60" s="42" t="str">
        <x:f>IF(AND('60只轻量技能'!L60&lt;&gt;"",'60只轻量技能'!M60&lt;&gt;"",'60只轻量技能'!N60&lt;&gt;""),"PASS","FAIL")</x:f>
        <x:v>PASS</x:v>
      </x:c>
      <x:c r="Q60" s="42" t="str">
        <x:f>IF(COUNTIF($A$5:$A$64,A60)=1,"PASS","FAIL")</x:f>
        <x:v>PASS</x:v>
      </x:c>
      <x:c r="R60" s="42" t="str">
        <x:f>IF(AND(M60="PASS",N60="PASS",O60="PASS",P60="PASS",Q60="PASS"),"PASS","FAIL")</x:f>
        <x:v>PASS</x:v>
      </x:c>
    </x:row>
    <x:row r="61" ht="34" customHeight="1">
      <x:c r="A61" s="42" t="str">
        <x:v>polar_bear</x:v>
      </x:c>
      <x:c r="B61" s="42" t="str">
        <x:v>北极熊</x:v>
      </x:c>
      <x:c r="C61" s="42" t="str">
        <x:v>传说</x:v>
      </x:c>
      <x:c r="D61" s="42" t="n">
        <x:v>4</x:v>
      </x:c>
      <x:c r="E61" s="42" t="n">
        <x:v>4</x:v>
      </x:c>
      <x:c r="F61" s="42" t="n">
        <x:v>1</x:v>
      </x:c>
      <x:c r="G61" s="42" t="n">
        <x:v>1</x:v>
      </x:c>
      <x:c r="H61" s="42" t="n">
        <x:v>1</x:v>
      </x:c>
      <x:c r="I61" s="42" t="str">
        <x:v>否</x:v>
      </x:c>
      <x:c r="J61" s="42" t="str">
        <x:v>否</x:v>
      </x:c>
      <x:c r="K61" s="42" t="n">
        <x:f>LEN('60只轻量技能'!K61)</x:f>
        <x:v>22</x:v>
      </x:c>
      <x:c r="L61" s="42" t="n">
        <x:v>48</x:v>
      </x:c>
      <x:c r="M61" s="42" t="str">
        <x:f>IF(D61&lt;=E61,"PASS","FAIL")</x:f>
        <x:v>PASS</x:v>
      </x:c>
      <x:c r="N61" s="42" t="str">
        <x:f>IF(C61="普通",IF(AND(F61=1,G61=1,H61=0,I61="否",J61="否"),"PASS","FAIL"),IF(C61="稀有",IF(AND(F61=1,G61&lt;=1,H61&lt;=1,I61="否",J61="否"),"PASS","FAIL"),IF(C61="史诗",IF(AND(F61=1,G61&lt;=2,H61&lt;=1,I61="否",J61="否"),"PASS","FAIL"),IF(AND(F61=1,G61&lt;=2,H61&lt;=1,I61="否",J61="否"),"PASS","FAIL"))))</x:f>
        <x:v>PASS</x:v>
      </x:c>
      <x:c r="O61" s="42" t="str">
        <x:f>IF(K61&lt;=L61,"PASS","FAIL")</x:f>
        <x:v>PASS</x:v>
      </x:c>
      <x:c r="P61" s="42" t="str">
        <x:f>IF(AND('60只轻量技能'!L61&lt;&gt;"",'60只轻量技能'!M61&lt;&gt;"",'60只轻量技能'!N61&lt;&gt;""),"PASS","FAIL")</x:f>
        <x:v>PASS</x:v>
      </x:c>
      <x:c r="Q61" s="42" t="str">
        <x:f>IF(COUNTIF($A$5:$A$64,A61)=1,"PASS","FAIL")</x:f>
        <x:v>PASS</x:v>
      </x:c>
      <x:c r="R61" s="42" t="str">
        <x:f>IF(AND(M61="PASS",N61="PASS",O61="PASS",P61="PASS",Q61="PASS"),"PASS","FAIL")</x:f>
        <x:v>PASS</x:v>
      </x:c>
    </x:row>
    <x:row r="62" ht="34" customHeight="1">
      <x:c r="A62" s="42" t="str">
        <x:v>silverback</x:v>
      </x:c>
      <x:c r="B62" s="42" t="str">
        <x:v>银背猩猩</x:v>
      </x:c>
      <x:c r="C62" s="42" t="str">
        <x:v>传说</x:v>
      </x:c>
      <x:c r="D62" s="42" t="n">
        <x:v>4</x:v>
      </x:c>
      <x:c r="E62" s="42" t="n">
        <x:v>4</x:v>
      </x:c>
      <x:c r="F62" s="42" t="n">
        <x:v>1</x:v>
      </x:c>
      <x:c r="G62" s="42" t="n">
        <x:v>1</x:v>
      </x:c>
      <x:c r="H62" s="42" t="n">
        <x:v>0</x:v>
      </x:c>
      <x:c r="I62" s="42" t="str">
        <x:v>否</x:v>
      </x:c>
      <x:c r="J62" s="42" t="str">
        <x:v>否</x:v>
      </x:c>
      <x:c r="K62" s="42" t="n">
        <x:f>LEN('60只轻量技能'!K62)</x:f>
        <x:v>17</x:v>
      </x:c>
      <x:c r="L62" s="42" t="n">
        <x:v>48</x:v>
      </x:c>
      <x:c r="M62" s="42" t="str">
        <x:f>IF(D62&lt;=E62,"PASS","FAIL")</x:f>
        <x:v>PASS</x:v>
      </x:c>
      <x:c r="N62" s="42" t="str">
        <x:f>IF(C62="普通",IF(AND(F62=1,G62=1,H62=0,I62="否",J62="否"),"PASS","FAIL"),IF(C62="稀有",IF(AND(F62=1,G62&lt;=1,H62&lt;=1,I62="否",J62="否"),"PASS","FAIL"),IF(C62="史诗",IF(AND(F62=1,G62&lt;=2,H62&lt;=1,I62="否",J62="否"),"PASS","FAIL"),IF(AND(F62=1,G62&lt;=2,H62&lt;=1,I62="否",J62="否"),"PASS","FAIL"))))</x:f>
        <x:v>PASS</x:v>
      </x:c>
      <x:c r="O62" s="42" t="str">
        <x:f>IF(K62&lt;=L62,"PASS","FAIL")</x:f>
        <x:v>PASS</x:v>
      </x:c>
      <x:c r="P62" s="42" t="str">
        <x:f>IF(AND('60只轻量技能'!L62&lt;&gt;"",'60只轻量技能'!M62&lt;&gt;"",'60只轻量技能'!N62&lt;&gt;""),"PASS","FAIL")</x:f>
        <x:v>PASS</x:v>
      </x:c>
      <x:c r="Q62" s="42" t="str">
        <x:f>IF(COUNTIF($A$5:$A$64,A62)=1,"PASS","FAIL")</x:f>
        <x:v>PASS</x:v>
      </x:c>
      <x:c r="R62" s="42" t="str">
        <x:f>IF(AND(M62="PASS",N62="PASS",O62="PASS",P62="PASS",Q62="PASS"),"PASS","FAIL")</x:f>
        <x:v>PASS</x:v>
      </x:c>
    </x:row>
    <x:row r="63" ht="34" customHeight="1">
      <x:c r="A63" s="42" t="str">
        <x:v>golden_eagle</x:v>
      </x:c>
      <x:c r="B63" s="42" t="str">
        <x:v>金雕</x:v>
      </x:c>
      <x:c r="C63" s="42" t="str">
        <x:v>传说</x:v>
      </x:c>
      <x:c r="D63" s="42" t="n">
        <x:v>4</x:v>
      </x:c>
      <x:c r="E63" s="42" t="n">
        <x:v>4</x:v>
      </x:c>
      <x:c r="F63" s="42" t="n">
        <x:v>1</x:v>
      </x:c>
      <x:c r="G63" s="42" t="n">
        <x:v>1</x:v>
      </x:c>
      <x:c r="H63" s="42" t="n">
        <x:v>1</x:v>
      </x:c>
      <x:c r="I63" s="42" t="str">
        <x:v>否</x:v>
      </x:c>
      <x:c r="J63" s="42" t="str">
        <x:v>否</x:v>
      </x:c>
      <x:c r="K63" s="42" t="n">
        <x:f>LEN('60只轻量技能'!K63)</x:f>
        <x:v>20</x:v>
      </x:c>
      <x:c r="L63" s="42" t="n">
        <x:v>48</x:v>
      </x:c>
      <x:c r="M63" s="42" t="str">
        <x:f>IF(D63&lt;=E63,"PASS","FAIL")</x:f>
        <x:v>PASS</x:v>
      </x:c>
      <x:c r="N63" s="42" t="str">
        <x:f>IF(C63="普通",IF(AND(F63=1,G63=1,H63=0,I63="否",J63="否"),"PASS","FAIL"),IF(C63="稀有",IF(AND(F63=1,G63&lt;=1,H63&lt;=1,I63="否",J63="否"),"PASS","FAIL"),IF(C63="史诗",IF(AND(F63=1,G63&lt;=2,H63&lt;=1,I63="否",J63="否"),"PASS","FAIL"),IF(AND(F63=1,G63&lt;=2,H63&lt;=1,I63="否",J63="否"),"PASS","FAIL"))))</x:f>
        <x:v>PASS</x:v>
      </x:c>
      <x:c r="O63" s="42" t="str">
        <x:f>IF(K63&lt;=L63,"PASS","FAIL")</x:f>
        <x:v>PASS</x:v>
      </x:c>
      <x:c r="P63" s="42" t="str">
        <x:f>IF(AND('60只轻量技能'!L63&lt;&gt;"",'60只轻量技能'!M63&lt;&gt;"",'60只轻量技能'!N63&lt;&gt;""),"PASS","FAIL")</x:f>
        <x:v>PASS</x:v>
      </x:c>
      <x:c r="Q63" s="42" t="str">
        <x:f>IF(COUNTIF($A$5:$A$64,A63)=1,"PASS","FAIL")</x:f>
        <x:v>PASS</x:v>
      </x:c>
      <x:c r="R63" s="42" t="str">
        <x:f>IF(AND(M63="PASS",N63="PASS",O63="PASS",P63="PASS",Q63="PASS"),"PASS","FAIL")</x:f>
        <x:v>PASS</x:v>
      </x:c>
    </x:row>
    <x:row r="64" ht="34" customHeight="1">
      <x:c r="A64" s="42" t="str">
        <x:v>mammoth</x:v>
      </x:c>
      <x:c r="B64" s="42" t="str">
        <x:v>猛犸象</x:v>
      </x:c>
      <x:c r="C64" s="42" t="str">
        <x:v>传说</x:v>
      </x:c>
      <x:c r="D64" s="42" t="n">
        <x:v>4</x:v>
      </x:c>
      <x:c r="E64" s="42" t="n">
        <x:v>4</x:v>
      </x:c>
      <x:c r="F64" s="42" t="n">
        <x:v>1</x:v>
      </x:c>
      <x:c r="G64" s="42" t="n">
        <x:v>2</x:v>
      </x:c>
      <x:c r="H64" s="42" t="n">
        <x:v>1</x:v>
      </x:c>
      <x:c r="I64" s="42" t="str">
        <x:v>否</x:v>
      </x:c>
      <x:c r="J64" s="42" t="str">
        <x:v>否</x:v>
      </x:c>
      <x:c r="K64" s="42" t="n">
        <x:f>LEN('60只轻量技能'!K64)</x:f>
        <x:v>21</x:v>
      </x:c>
      <x:c r="L64" s="42" t="n">
        <x:v>48</x:v>
      </x:c>
      <x:c r="M64" s="42" t="str">
        <x:f>IF(D64&lt;=E64,"PASS","FAIL")</x:f>
        <x:v>PASS</x:v>
      </x:c>
      <x:c r="N64" s="42" t="str">
        <x:f>IF(C64="普通",IF(AND(F64=1,G64=1,H64=0,I64="否",J64="否"),"PASS","FAIL"),IF(C64="稀有",IF(AND(F64=1,G64&lt;=1,H64&lt;=1,I64="否",J64="否"),"PASS","FAIL"),IF(C64="史诗",IF(AND(F64=1,G64&lt;=2,H64&lt;=1,I64="否",J64="否"),"PASS","FAIL"),IF(AND(F64=1,G64&lt;=2,H64&lt;=1,I64="否",J64="否"),"PASS","FAIL"))))</x:f>
        <x:v>PASS</x:v>
      </x:c>
      <x:c r="O64" s="42" t="str">
        <x:f>IF(K64&lt;=L64,"PASS","FAIL")</x:f>
        <x:v>PASS</x:v>
      </x:c>
      <x:c r="P64" s="42" t="str">
        <x:f>IF(AND('60只轻量技能'!L64&lt;&gt;"",'60只轻量技能'!M64&lt;&gt;"",'60只轻量技能'!N64&lt;&gt;""),"PASS","FAIL")</x:f>
        <x:v>PASS</x:v>
      </x:c>
      <x:c r="Q64" s="42" t="str">
        <x:f>IF(COUNTIF($A$5:$A$64,A64)=1,"PASS","FAIL")</x:f>
        <x:v>PASS</x:v>
      </x:c>
      <x:c r="R64" s="42" t="str">
        <x:f>IF(AND(M64="PASS",N64="PASS",O64="PASS",P64="PASS",Q64="PASS"),"PASS","FAIL")</x:f>
        <x:v>PASS</x:v>
      </x:c>
    </x:row>
  </x:sheetData>
  <x:mergeCells>
    <x:mergeCell ref="A1:R1"/>
    <x:mergeCell ref="A2:R2"/>
  </x:mergeCells>
  <x:conditionalFormatting sqref="M5:R64">
    <x:cfRule type="containsText" dxfId="9" priority="1" operator="containsText" text="PASS"/>
    <x:cfRule type="containsText" dxfId="10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2ad61630d12844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48" hidden="0" customWidth="1"/>
    <x:col min="4" max="4" width="10" hidden="0" customWidth="1"/>
    <x:col min="5" max="5" width="48" hidden="0" customWidth="1"/>
    <x:col min="6" max="6" width="20" hidden="0" customWidth="1"/>
    <x:col min="7" max="7" width="20" hidden="0" customWidth="1"/>
    <x:col min="8" max="8" width="36" hidden="0" customWidth="1"/>
    <x:col min="9" max="9" width="36" hidden="0" customWidth="1"/>
    <x:col min="10" max="10" width="42" hidden="0" customWidth="1"/>
    <x:col min="11" max="11" width="46" hidden="0" customWidth="1"/>
  </x:cols>
  <x:sheetData>
    <x:row r="1" ht="34" customHeight="1">
      <x:c r="A1" s="4" t="str">
        <x:v>六流派轻量循环｜身份不变，技能更短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0" customHeight="1">
      <x:c r="A2" s="8" t="str">
        <x:v>每派仍为10只主要归属动物与2核心/4重要/4交叉；完整关系矩阵见v2.0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4" ht="32" customHeight="1">
      <x:c r="A4" s="14" t="str">
        <x:v>流派</x:v>
      </x:c>
      <x:c r="B4" s="14" t="str">
        <x:v>一句话记忆</x:v>
      </x:c>
      <x:c r="C4" s="14" t="str">
        <x:v>轻量循环</x:v>
      </x:c>
      <x:c r="D4" s="14" t="str">
        <x:v>入门</x:v>
      </x:c>
      <x:c r="E4" s="14" t="str">
        <x:v>深度来源</x:v>
      </x:c>
      <x:c r="F4" s="14" t="str">
        <x:v>核心1</x:v>
      </x:c>
      <x:c r="G4" s="14" t="str">
        <x:v>核心2</x:v>
      </x:c>
      <x:c r="H4" s="14" t="str">
        <x:v>重要4只</x:v>
      </x:c>
      <x:c r="I4" s="14" t="str">
        <x:v>交叉4只</x:v>
      </x:c>
      <x:c r="J4" s="14" t="str">
        <x:v>标准六位</x:v>
      </x:c>
      <x:c r="K4" s="14" t="str">
        <x:v>v2.1变化</x:v>
      </x:c>
    </x:row>
    <x:row r="5" ht="112" customHeight="1">
      <x:c r="A5" s="45" t="str">
        <x:v>群潮推进</x:v>
      </x:c>
      <x:c r="B5" s="35" t="str">
        <x:v>多一只，就多一拍。</x:v>
      </x:c>
      <x:c r="C5" s="35" t="str">
        <x:v>老鼠带来同伴，蚂蚁一起啃，兔子或羊把这波小队护住。</x:v>
      </x:c>
      <x:c r="D5" s="35" t="str">
        <x:v>低</x:v>
      </x:c>
      <x:c r="E5" s="35" t="str">
        <x:v>选择继续铺量、先保护，还是用交叉动物把人多转成救援或围猎。</x:v>
      </x:c>
      <x:c r="F5" s="35" t="str">
        <x:v>老鼠｜尾巴后面</x:v>
      </x:c>
      <x:c r="G5" s="35" t="str">
        <x:v>蚂蚁｜一起啃</x:v>
      </x:c>
      <x:c r="H5" s="35" t="str">
        <x:v>兔子、羊、企鹅、鹦鹉</x:v>
      </x:c>
      <x:c r="I5" s="35" t="str">
        <x:v>猴子、蝌蚪、天鹅、猛犸象</x:v>
      </x:c>
      <x:c r="J5" s="35" t="str">
        <x:v>老鼠、蚂蚁、兔子、鹦鹉、天鹅、猛犸象</x:v>
      </x:c>
      <x:c r="K5" s="35" t="str">
        <x:v>核心动作更短；复杂度转移到构筑、时机、目标、站位和路线</x:v>
      </x:c>
    </x:row>
    <x:row r="6" ht="112" customHeight="1">
      <x:c r="A6" s="46" t="str">
        <x:v>遗响接棒</x:v>
      </x:c>
      <x:c r="B6" s="36" t="str">
        <x:v>倒下一只，还会留下礼物。</x:v>
      </x:c>
      <x:c r="C6" s="36" t="str">
        <x:v>鸭或鸡先交换，水獭捞回收益，狮子或银背让下一名接班。</x:v>
      </x:c>
      <x:c r="D6" s="36" t="str">
        <x:v>低</x:v>
      </x:c>
      <x:c r="E6" s="36" t="str">
        <x:v>安排谁先倒下、礼物落在哪里，以及何时把接班转成追击。</x:v>
      </x:c>
      <x:c r="F6" s="36" t="str">
        <x:v>鸭｜小鸭接班</x:v>
      </x:c>
      <x:c r="G6" s="36" t="str">
        <x:v>水獭｜捞回来</x:v>
      </x:c>
      <x:c r="H6" s="36" t="str">
        <x:v>鸡、猪、狮子、银背猩猩</x:v>
      </x:c>
      <x:c r="I6" s="36" t="str">
        <x:v>鸽子、海豹、鹿、猫</x:v>
      </x:c>
      <x:c r="J6" s="36" t="str">
        <x:v>鸭、水獭、鸡、银背猩猩、鸽子、海豹</x:v>
      </x:c>
      <x:c r="K6" s="36" t="str">
        <x:v>核心动作更短；复杂度转移到构筑、时机、目标、站位和路线</x:v>
      </x:c>
    </x:row>
    <x:row r="7" ht="112" customHeight="1">
      <x:c r="A7" s="46" t="str">
        <x:v>护群反攻</x:v>
      </x:c>
      <x:c r="B7" s="36" t="str">
        <x:v>有人挨打，就有人冲来挡。</x:v>
      </x:c>
      <x:c r="C7" s="36" t="str">
        <x:v>狗先挡，刺猬扎回去，鹤、大象或蓝鲸把战线救回来。</x:v>
      </x:c>
      <x:c r="D7" s="36" t="str">
        <x:v>低</x:v>
      </x:c>
      <x:c r="E7" s="36" t="str">
        <x:v>判断第一击该由谁吃、救援留给谁，以及什么时候从防守转成反击。</x:v>
      </x:c>
      <x:c r="F7" s="36" t="str">
        <x:v>狗｜我来挡</x:v>
      </x:c>
      <x:c r="G7" s="36" t="str">
        <x:v>刺猬｜扎回去</x:v>
      </x:c>
      <x:c r="H7" s="36" t="str">
        <x:v>乌龟、鹤、大象、大猩猩</x:v>
      </x:c>
      <x:c r="I7" s="36" t="str">
        <x:v>蜗牛、仓鼠、蓝鲸、北极熊</x:v>
      </x:c>
      <x:c r="J7" s="36" t="str">
        <x:v>狗、刺猬、乌龟、鹤、蜗牛、蓝鲸</x:v>
      </x:c>
      <x:c r="K7" s="36" t="str">
        <x:v>核心动作更短；复杂度转移到构筑、时机、目标、站位和路线</x:v>
      </x:c>
    </x:row>
    <x:row r="8" ht="112" customHeight="1">
      <x:c r="A8" s="46" t="str">
        <x:v>疾行拓地</x:v>
      </x:c>
      <x:c r="B8" s="36" t="str">
        <x:v>占完这格，马上奔向下一格。</x:v>
      </x:c>
      <x:c r="C8" s="36" t="str">
        <x:v>麻雀飞向下一格，松鼠送回坚果，马带全队继续冲。</x:v>
      </x:c>
      <x:c r="D8" s="36" t="str">
        <x:v>低</x:v>
      </x:c>
      <x:c r="E8" s="36" t="str">
        <x:v>选择继续抢点、停下稳住，或用冲撞动物打开被堵住的路线。</x:v>
      </x:c>
      <x:c r="F8" s="36" t="str">
        <x:v>麻雀｜下一格！</x:v>
      </x:c>
      <x:c r="G8" s="36" t="str">
        <x:v>松鼠｜坚果快递</x:v>
      </x:c>
      <x:c r="H8" s="36" t="str">
        <x:v>马、牛、斑马、河马</x:v>
      </x:c>
      <x:c r="I8" s="36" t="str">
        <x:v>河狸、长颈鹿、猎鹰、犀牛</x:v>
      </x:c>
      <x:c r="J8" s="36" t="str">
        <x:v>麻雀、松鼠、马、斑马、猎鹰、犀牛</x:v>
      </x:c>
      <x:c r="K8" s="36" t="str">
        <x:v>核心动作更短；复杂度转移到构筑、时机、目标、站位和路线</x:v>
      </x:c>
    </x:row>
    <x:row r="9" ht="112" customHeight="1">
      <x:c r="A9" s="46" t="str">
        <x:v>标记围猎</x:v>
      </x:c>
      <x:c r="B9" s="36" t="str">
        <x:v>先点名，再一起扑上去。</x:v>
      </x:c>
      <x:c r="C9" s="36" t="str">
        <x:v>狐狸或海豚点名，狼和虎鲸补击，豹子或老鹰追下一个。</x:v>
      </x:c>
      <x:c r="D9" s="36" t="str">
        <x:v>中</x:v>
      </x:c>
      <x:c r="E9" s="36" t="str">
        <x:v>选择正确猎物，并读懂对手的救援时机与换目标诱饵。</x:v>
      </x:c>
      <x:c r="F9" s="36" t="str">
        <x:v>狐狸｜就抓它</x:v>
      </x:c>
      <x:c r="G9" s="36" t="str">
        <x:v>狼｜一起咬</x:v>
      </x:c>
      <x:c r="H9" s="36" t="str">
        <x:v>海豚、豹子、老鹰、虎鲸</x:v>
      </x:c>
      <x:c r="I9" s="36" t="str">
        <x:v>袋鼠、猞猁、鲨鱼、金雕</x:v>
      </x:c>
      <x:c r="J9" s="36" t="str">
        <x:v>狐狸、狼、海豚、豹子、袋鼠、鲨鱼</x:v>
      </x:c>
      <x:c r="K9" s="36" t="str">
        <x:v>核心动作更短；复杂度转移到构筑、时机、目标、站位和路线</x:v>
      </x:c>
    </x:row>
    <x:row r="10" ht="112" customHeight="1">
      <x:c r="A10" s="46" t="str">
        <x:v>控制围歼</x:v>
      </x:c>
      <x:c r="B10" s="36" t="str">
        <x:v>拉一下、顶一下，再把它留住。</x:v>
      </x:c>
      <x:c r="C10" s="36" t="str">
        <x:v>青蛙拉近，野猪撞停，鳄鱼或巨蟒把目标留在原地。</x:v>
      </x:c>
      <x:c r="D10" s="36" t="str">
        <x:v>中</x:v>
      </x:c>
      <x:c r="E10" s="36" t="str">
        <x:v>错开控制动作，避免重叠，并利用位置把一个短控制变成围歼。</x:v>
      </x:c>
      <x:c r="F10" s="36" t="str">
        <x:v>青蛙｜舌头过来</x:v>
      </x:c>
      <x:c r="G10" s="36" t="str">
        <x:v>野猪｜拱进去</x:v>
      </x:c>
      <x:c r="H10" s="36" t="str">
        <x:v>老虎、鳄鱼、巨蟒、科莫多龙</x:v>
      </x:c>
      <x:c r="I10" s="36" t="str">
        <x:v>山羊、孔雀、熊、骆驼</x:v>
      </x:c>
      <x:c r="J10" s="36" t="str">
        <x:v>青蛙、野猪、鳄鱼、巨蟒、山羊、熊</x:v>
      </x:c>
      <x:c r="K10" s="36" t="str">
        <x:v>核心动作更短；复杂度转移到构筑、时机、目标、站位和路线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953b7775fd224e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2" hidden="0" customWidth="1"/>
    <x:col min="4" max="4" width="42" hidden="0" customWidth="1"/>
    <x:col min="5" max="5" width="42" hidden="0" customWidth="1"/>
    <x:col min="6" max="6" width="46" hidden="0" customWidth="1"/>
    <x:col min="7" max="7" width="32" hidden="0" customWidth="1"/>
  </x:cols>
  <x:sheetData>
    <x:row r="1" ht="34" customHeight="1">
      <x:c r="A1" s="4" t="str">
        <x:v>原型与验证｜先证明简单也好玩</x:v>
      </x:c>
      <x:c r="B1" s="4"/>
      <x:c r="C1" s="4"/>
      <x:c r="D1" s="4"/>
      <x:c r="E1" s="4"/>
      <x:c r="F1" s="4"/>
      <x:c r="G1" s="4"/>
    </x:row>
    <x:row r="2" ht="30" customHeight="1">
      <x:c r="A2" s="8" t="str">
        <x:v>停止条件比完成数量更重要；任何隐藏状态、第二结果或不可读表现都应暂停当前批次</x:v>
      </x:c>
      <x:c r="B2" s="8"/>
      <x:c r="C2" s="8"/>
      <x:c r="D2" s="8"/>
      <x:c r="E2" s="8"/>
      <x:c r="F2" s="8"/>
      <x:c r="G2" s="8"/>
    </x:row>
    <x:row r="4" ht="32" customHeight="1">
      <x:c r="A4" s="14" t="str">
        <x:v>阶段</x:v>
      </x:c>
      <x:c r="B4" s="14" t="str">
        <x:v>品质</x:v>
      </x:c>
      <x:c r="C4" s="14" t="str">
        <x:v>动物数</x:v>
      </x:c>
      <x:c r="D4" s="14" t="str">
        <x:v>验证重点</x:v>
      </x:c>
      <x:c r="E4" s="14" t="str">
        <x:v>通过条件</x:v>
      </x:c>
      <x:c r="F4" s="14" t="str">
        <x:v>停止条件</x:v>
      </x:c>
      <x:c r="G4" s="14" t="str">
        <x:v>运行时状态</x:v>
      </x:c>
    </x:row>
    <x:row r="5" ht="70" customHeight="1">
      <x:c r="A5" s="35" t="str">
        <x:v>A</x:v>
      </x:c>
      <x:c r="B5" s="35" t="str">
        <x:v>普通</x:v>
      </x:c>
      <x:c r="C5" s="35" t="n">
        <x:v>10</x:v>
      </x:c>
      <x:c r="D5" s="35" t="str">
        <x:v>单触发单结果、3秒复述、动作趣味</x:v>
      </x:c>
      <x:c r="E5" s="35" t="str">
        <x:v>10/10结构与趣味检查通过</x:v>
      </x:c>
      <x:c r="F5" s="35" t="str">
        <x:v>出现额外条件、第二结果或不可读动作</x:v>
      </x:c>
      <x:c r="G5" s="35" t="str">
        <x:v>NOT STARTED</x:v>
      </x:c>
    </x:row>
    <x:row r="6" ht="70" customHeight="1">
      <x:c r="A6" s="36" t="str">
        <x:v>B</x:v>
      </x:c>
      <x:c r="B6" s="36" t="str">
        <x:v>稀有</x:v>
      </x:c>
      <x:c r="C6" s="36" t="n">
        <x:v>9</x:v>
      </x:c>
      <x:c r="D6" s="36" t="str">
        <x:v>对象选择仍然清楚，不产生复制链</x:v>
      </x:c>
      <x:c r="E6" s="36" t="str">
        <x:v>9/9结构检查通过</x:v>
      </x:c>
      <x:c r="F6" s="36" t="str">
        <x:v>需要隐藏记录、递归或多段例外</x:v>
      </x:c>
      <x:c r="G6" s="36" t="str">
        <x:v>NOT STARTED</x:v>
      </x:c>
    </x:row>
    <x:row r="7" ht="70" customHeight="1">
      <x:c r="A7" s="36" t="str">
        <x:v>C</x:v>
      </x:c>
      <x:c r="B7" s="36" t="str">
        <x:v>史诗</x:v>
      </x:c>
      <x:c r="C7" s="36" t="n">
        <x:v>21</x:v>
      </x:c>
      <x:c r="D7" s="36" t="str">
        <x:v>一个接力、位置或时机钩子</x:v>
      </x:c>
      <x:c r="E7" s="36" t="str">
        <x:v>对手能看懂并拆解</x:v>
      </x:c>
      <x:c r="F7" s="36" t="str">
        <x:v>无法反制或技能之间无限接力</x:v>
      </x:c>
      <x:c r="G7" s="36" t="str">
        <x:v>NOT STARTED</x:v>
      </x:c>
    </x:row>
    <x:row r="8" ht="70" customHeight="1">
      <x:c r="A8" s="36" t="str">
        <x:v>D</x:v>
      </x:c>
      <x:c r="B8" s="36" t="str">
        <x:v>传说</x:v>
      </x:c>
      <x:c r="C8" s="36" t="n">
        <x:v>20</x:v>
      </x:c>
      <x:c r="D8" s="36" t="str">
        <x:v>大场面、公开限制、性能与移动端</x:v>
      </x:c>
      <x:c r="E8" s="36" t="str">
        <x:v>无遮挡、不卡顿、限制可读</x:v>
      </x:c>
      <x:c r="F8" s="36" t="str">
        <x:v>遮挡血条/价格、性能下降或限制失效</x:v>
      </x:c>
      <x:c r="G8" s="36" t="str">
        <x:v>NOT STARTED</x:v>
      </x:c>
    </x:row>
    <x:row r="11" ht="32" customHeight="1">
      <x:c r="A11" s="14" t="str">
        <x:v>指标</x:v>
      </x:c>
      <x:c r="B11" s="14" t="str">
        <x:v>提议目标</x:v>
      </x:c>
      <x:c r="C11" s="14" t="str">
        <x:v>方法</x:v>
      </x:c>
      <x:c r="D11" s="14" t="str">
        <x:v>状态</x:v>
      </x:c>
      <x:c r="F11" s="49" t="str">
        <x:v>数值护栏
• 低品质不因规则短而自动低强度
• 先验证动作，再调属性
• 召唤物默认无技能
• 额外攻击不递归
• 控制与救援必须有公开空窗</x:v>
      </x:c>
      <x:c r="G11" s="49"/>
    </x:row>
    <x:row r="12" ht="62" customHeight="1">
      <x:c r="A12" s="35" t="str">
        <x:v>普通技能一次复述率</x:v>
      </x:c>
      <x:c r="B12" s="35" t="str">
        <x:v>≥90%</x:v>
      </x:c>
      <x:c r="C12" s="35" t="str">
        <x:v>看一次触发后，玩家能用一句话说出发生了什么。</x:v>
      </x:c>
      <x:c r="D12" s="35" t="str">
        <x:v>提议值</x:v>
      </x:c>
      <x:c r="F12" s="49"/>
      <x:c r="G12" s="49"/>
    </x:row>
    <x:row r="13" ht="62" customHeight="1">
      <x:c r="A13" s="36" t="str">
        <x:v>稀有技能对象选择正确率</x:v>
      </x:c>
      <x:c r="B13" s="36" t="str">
        <x:v>≥80%</x:v>
      </x:c>
      <x:c r="C13" s="36" t="str">
        <x:v>三局内知道技能会作用于谁或由谁触发。</x:v>
      </x:c>
      <x:c r="D13" s="36" t="str">
        <x:v>提议值</x:v>
      </x:c>
      <x:c r="F13" s="49"/>
      <x:c r="G13" s="49"/>
    </x:row>
    <x:row r="14" ht="62" customHeight="1">
      <x:c r="A14" s="36" t="str">
        <x:v>趣味瞬间识别率</x:v>
      </x:c>
      <x:c r="B14" s="36" t="str">
        <x:v>≥85%</x:v>
      </x:c>
      <x:c r="C14" s="36" t="str">
        <x:v>战后能指出本局最有趣的一次动物动作。</x:v>
      </x:c>
      <x:c r="D14" s="36" t="str">
        <x:v>提议值</x:v>
      </x:c>
      <x:c r="F14" s="49"/>
      <x:c r="G14" s="49"/>
    </x:row>
    <x:row r="15" ht="62" customHeight="1">
      <x:c r="A15" s="36" t="str">
        <x:v>失败原因可定位率</x:v>
      </x:c>
      <x:c r="B15" s="36" t="str">
        <x:v>≥80%</x:v>
      </x:c>
      <x:c r="C15" s="36" t="str">
        <x:v>玩家能指出技能被提前骗出、被打断或站位不对。</x:v>
      </x:c>
      <x:c r="D15" s="36" t="str">
        <x:v>提议值</x:v>
      </x:c>
    </x:row>
    <x:row r="16" ht="62" customHeight="1">
      <x:c r="A16" s="36" t="str">
        <x:v>低品质使用保留率</x:v>
      </x:c>
      <x:c r="B16" s="36" t="str">
        <x:v>成熟卡组中≥20%动物位</x:v>
      </x:c>
      <x:c r="C16" s="36" t="str">
        <x:v>确保普通/稀有因清晰与功能仍有构筑价值，而非只做新手废卡。</x:v>
      </x:c>
      <x:c r="D16" s="36" t="str">
        <x:v>提议值</x:v>
      </x:c>
      <x:c r="F16" s="29" t="str">
        <x:v>高风险技术样例
袋鼠：跳到身后+定向踢
猎鹰/猞猁：安全落点
老鹰：抓取与放下
大象：致命伤救援
犀牛/河马：跨格落点</x:v>
      </x:c>
      <x:c r="G16" s="29"/>
    </x:row>
    <x:row r="17" ht="62" customHeight="1">
      <x:c r="A17" s="36" t="str">
        <x:v>卡面阅读时间</x:v>
      </x:c>
      <x:c r="B17" s="36" t="str">
        <x:v>普通≤3秒，稀有≤5秒，史诗≤7秒，传说≤9秒</x:v>
      </x:c>
      <x:c r="C17" s="36" t="str">
        <x:v>移动端首次阅读计时，不包含数值详情页。</x:v>
      </x:c>
      <x:c r="D17" s="36" t="str">
        <x:v>提议值</x:v>
      </x:c>
      <x:c r="F17" s="29"/>
      <x:c r="G17" s="29"/>
    </x:row>
    <x:row r="18">
      <x:c r="F18" s="29"/>
      <x:c r="G18" s="29"/>
    </x:row>
    <x:row r="19">
      <x:c r="F19" s="29"/>
      <x:c r="G19" s="29"/>
    </x:row>
  </x:sheetData>
  <x:mergeCells>
    <x:mergeCell ref="A1:G1"/>
    <x:mergeCell ref="A2:G2"/>
    <x:mergeCell ref="F11:G14"/>
    <x:mergeCell ref="F16:G1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  <x:col min="3" max="3" width="62" hidden="0" customWidth="1"/>
    <x:col min="4" max="4" width="22" hidden="0" customWidth="1"/>
  </x:cols>
  <x:sheetData>
    <x:row r="1" ht="34" customHeight="1">
      <x:c r="A1" s="4" t="str">
        <x:v>来源、版本与实施边界</x:v>
      </x:c>
      <x:c r="B1" s="4"/>
      <x:c r="C1" s="4"/>
      <x:c r="D1" s="4"/>
    </x:row>
    <x:row r="2" ht="30" customHeight="1">
      <x:c r="A2" s="8" t="str">
        <x:v>项目正式来源优先；本工作簿不修改配置或运行时</x:v>
      </x:c>
      <x:c r="B2" s="8"/>
      <x:c r="C2" s="8"/>
      <x:c r="D2" s="8"/>
    </x:row>
    <x:row r="4" ht="32" customHeight="1">
      <x:c r="A4" s="14" t="str">
        <x:v>来源</x:v>
      </x:c>
      <x:c r="B4" s="14" t="str">
        <x:v>路径 / 版本</x:v>
      </x:c>
      <x:c r="C4" s="14" t="str">
        <x:v>用途</x:v>
      </x:c>
      <x:c r="D4" s="14" t="str">
        <x:v>状态</x:v>
      </x:c>
    </x:row>
    <x:row r="5" ht="64" customHeight="1">
      <x:c r="A5" s="35" t="str">
        <x:v>制作人指令</x:v>
      </x:c>
      <x:c r="B5" s="35" t="str">
        <x:v>REQ-20260823-ANIMAL-SKILL-LIGHT-FUN-V21</x:v>
      </x:c>
      <x:c r="C5" s="35" t="str">
        <x:v>低品质更简单、技能更有趣的产品方向</x:v>
      </x:c>
      <x:c r="D5" s="35" t="str">
        <x:v>当前</x:v>
      </x:c>
    </x:row>
    <x:row r="6" ht="64" customHeight="1">
      <x:c r="A6" s="36" t="str">
        <x:v>v2.0流派设计</x:v>
      </x:c>
      <x:c r="B6" s="36" t="str">
        <x:v>战城大师_动物技能流派系统设计_v2.0.docx</x:v>
      </x:c>
      <x:c r="C6" s="36" t="str">
        <x:v>六流派、60只归属、2+2+2与深度基线</x:v>
      </x:c>
      <x:c r="D6" s="36" t="str">
        <x:v>保留</x:v>
      </x:c>
    </x:row>
    <x:row r="7" ht="64" customHeight="1">
      <x:c r="A7" s="36" t="str">
        <x:v>v2.0交叉矩阵</x:v>
      </x:c>
      <x:c r="B7" s="36" t="str">
        <x:v>战城大师_动物技能流派与交叉矩阵_v2.0.xlsx</x:v>
      </x:c>
      <x:c r="C7" s="36" t="str">
        <x:v>归属、层级、推荐构筑与关系复核</x:v>
      </x:c>
      <x:c r="D7" s="36" t="str">
        <x:v>保留</x:v>
      </x:c>
    </x:row>
    <x:row r="8" ht="64" customHeight="1">
      <x:c r="A8" s="36" t="str">
        <x:v>当前卡表</x:v>
      </x:c>
      <x:c r="B8" s="36" t="str">
        <x:v>config/tables/cards.csv</x:v>
      </x:c>
      <x:c r="C8" s="36" t="str">
        <x:v>60只ID、名称、品质；本次只读</x:v>
      </x:c>
      <x:c r="D8" s="36" t="str">
        <x:v>权威配置</x:v>
      </x:c>
    </x:row>
    <x:row r="9" ht="64" customHeight="1">
      <x:c r="A9" s="36" t="str">
        <x:v>当前游戏设计</x:v>
      </x:c>
      <x:c r="B9" s="36" t="str">
        <x:v>docs/CURRENT_GAME_DESIGN.md</x:v>
      </x:c>
      <x:c r="C9" s="36" t="str">
        <x:v>八卡、六动物位、战斗与移动端边界</x:v>
      </x:c>
      <x:c r="D9" s="36" t="str">
        <x:v>正式基线</x:v>
      </x:c>
    </x:row>
    <x:row r="12">
      <x:c r="A12" s="25" t="str">
        <x:v>设计与实施边界：本工作簿和配套Word均为 REVIEW_ONLY。所有技能名、规则、表现与反制都是候选，不能写入 config/tables/、runtime/config/、GDScript、场景、UI或包体。制作人批准后必须另建 IMPLEMENTATION_CONTRACT。</x:v>
      </x:c>
      <x:c r="B12" s="25"/>
      <x:c r="C12" s="25"/>
      <x:c r="D12" s="25"/>
    </x:row>
    <x:row r="13">
      <x:c r="A13" s="25"/>
      <x:c r="B13" s="25"/>
      <x:c r="C13" s="25"/>
      <x:c r="D13" s="25"/>
    </x:row>
    <x:row r="14">
      <x:c r="A14" s="25"/>
      <x:c r="B14" s="25"/>
      <x:c r="C14" s="25"/>
      <x:c r="D14" s="25"/>
    </x:row>
    <x:row r="15">
      <x:c r="A15" s="25"/>
      <x:c r="B15" s="25"/>
      <x:c r="C15" s="25"/>
      <x:c r="D15" s="25"/>
    </x:row>
    <x:row r="17">
      <x:c r="A17" s="29" t="str">
        <x:v>原创边界：v2.1动物技能名、动作、触发、反馈、配合与反制均为本项目候选设计。不得复制商业游戏的角色、技能原文、数值、卡面、地图、UI、音频或商业身份。</x:v>
      </x:c>
      <x:c r="B17" s="29"/>
      <x:c r="C17" s="29"/>
      <x:c r="D17" s="29"/>
    </x:row>
    <x:row r="18">
      <x:c r="A18" s="29"/>
      <x:c r="B18" s="29"/>
      <x:c r="C18" s="29"/>
      <x:c r="D18" s="29"/>
    </x:row>
    <x:row r="19">
      <x:c r="A19" s="29"/>
      <x:c r="B19" s="29"/>
      <x:c r="C19" s="29"/>
      <x:c r="D19" s="29"/>
    </x:row>
    <x:row r="20">
      <x:c r="A20" s="29"/>
      <x:c r="B20" s="29"/>
      <x:c r="C20" s="29"/>
      <x:c r="D20" s="29"/>
    </x:row>
  </x:sheetData>
  <x:mergeCells>
    <x:mergeCell ref="A1:D1"/>
    <x:mergeCell ref="A2:D2"/>
    <x:mergeCell ref="A12:D15"/>
    <x:mergeCell ref="A17:D20"/>
  </x:mergeCells>
  <x:pageMargins left="0.7" right="0.7" top="0.75" bottom="0.75" header="0.3" footer="0.3"/>
</x:worksheet>
</file>