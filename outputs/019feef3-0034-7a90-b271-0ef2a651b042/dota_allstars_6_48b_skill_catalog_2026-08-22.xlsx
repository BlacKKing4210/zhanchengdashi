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6a966695f4b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口径与摘要" sheetId="1" r:id="R809bb8dc5f2b4f74"/>
    <x:sheet xmlns:r="http://schemas.openxmlformats.org/officeDocument/2006/relationships" name="英雄技能总表" sheetId="2" r:id="R2e63ba064c754d6a"/>
    <x:sheet xmlns:r="http://schemas.openxmlformats.org/officeDocument/2006/relationships" name="英雄覆盖" sheetId="3" r:id="Rd5ad49b93aae4444"/>
    <x:sheet xmlns:r="http://schemas.openxmlformats.org/officeDocument/2006/relationships" name="对象字段明细" sheetId="4" r:id="R3a16506502ca4fec"/>
    <x:sheet xmlns:r="http://schemas.openxmlformats.org/officeDocument/2006/relationships" name="分类统计" sheetId="5" r:id="R2fa9dcb96c734013"/>
    <x:sheet xmlns:r="http://schemas.openxmlformats.org/officeDocument/2006/relationships" name="通用技能" sheetId="6" r:id="Rb8a3e5bf533a4dad"/>
    <x:sheet xmlns:r="http://schemas.openxmlformats.org/officeDocument/2006/relationships" name="分类字典" sheetId="7" r:id="R69802dd037ca4521"/>
    <x:sheet xmlns:r="http://schemas.openxmlformats.org/officeDocument/2006/relationships" name="来源与冲突" sheetId="8" r:id="R2954dfc533bd41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9">
    <x:font>
      <x:sz val="11"/>
      <x:name val="Carlito"/>
    </x:font>
    <x:font>
      <x:sz val="10"/>
      <x:color rgb="FF182033"/>
      <x:name val="Microsoft YaHei"/>
    </x:font>
    <x:font>
      <x:b/>
      <x:sz val="20"/>
      <x:color rgb="FFFFFFFF"/>
      <x:name val="Microsoft YaHei"/>
    </x:font>
    <x:font>
      <x:sz val="10"/>
      <x:color rgb="FF5A4318"/>
      <x:name val="Microsoft YaHei"/>
    </x:font>
    <x:font>
      <x:b/>
      <x:sz val="10"/>
      <x:color rgb="FFFFFFFF"/>
      <x:name val="Microsoft YaHei"/>
    </x:font>
    <x:font>
      <x:b/>
      <x:sz val="12"/>
      <x:color rgb="FF17233C"/>
      <x:name val="Microsoft YaHei"/>
    </x:font>
    <x:font>
      <x:b/>
      <x:sz val="10"/>
      <x:color rgb="FF17233C"/>
      <x:name val="Microsoft YaHei"/>
    </x:font>
    <x:font>
      <x:b/>
      <x:sz val="11"/>
      <x:color rgb="FFFFFFFF"/>
      <x:name val="Microsoft YaHei"/>
    </x:font>
    <x:font>
      <x:sz val="10"/>
      <x:color rgb="FF7B2323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17233C"/>
      </x:patternFill>
    </x:fill>
    <x:fill>
      <x:patternFill patternType="solid">
        <x:fgColor rgb="FFF7E7B2"/>
      </x:patternFill>
    </x:fill>
    <x:fill>
      <x:patternFill patternType="solid">
        <x:fgColor rgb="FF24324F"/>
      </x:patternFill>
    </x:fill>
    <x:fill>
      <x:patternFill patternType="solid">
        <x:fgColor rgb="FFFFF8E7"/>
      </x:patternFill>
    </x:fill>
    <x:fill>
      <x:patternFill patternType="solid">
        <x:fgColor rgb="FFDCEAF7"/>
      </x:patternFill>
    </x:fill>
    <x:fill>
      <x:patternFill patternType="solid">
        <x:fgColor rgb="FFF8FAFD"/>
      </x:patternFill>
    </x:fill>
    <x:fill>
      <x:patternFill patternType="solid">
        <x:fgColor rgb="FFB54747"/>
      </x:patternFill>
    </x:fill>
    <x:fill>
      <x:patternFill patternType="solid">
        <x:fgColor rgb="FFFBE2E2"/>
      </x:patternFill>
    </x:fill>
  </x:fills>
  <x:borders count="12">
    <x:border/>
    <x:border>
      <x:left style="medium">
        <x:color rgb="FF17233C"/>
      </x:left>
      <x:top style="medium">
        <x:color rgb="FF17233C"/>
      </x:top>
    </x:border>
    <x:border>
      <x:top style="medium">
        <x:color rgb="FF17233C"/>
      </x:top>
    </x:border>
    <x:border>
      <x:right style="medium">
        <x:color rgb="FF17233C"/>
      </x:right>
      <x:top style="medium">
        <x:color rgb="FF17233C"/>
      </x:top>
    </x:border>
    <x:border>
      <x:left style="medium">
        <x:color rgb="FF17233C"/>
      </x:left>
    </x:border>
    <x:border>
      <x:right style="medium">
        <x:color rgb="FF17233C"/>
      </x:right>
    </x:border>
    <x:border>
      <x:left style="medium">
        <x:color rgb="FF17233C"/>
      </x:left>
      <x:bottom style="medium">
        <x:color rgb="FF17233C"/>
      </x:bottom>
    </x:border>
    <x:border>
      <x:bottom style="medium">
        <x:color rgb="FF17233C"/>
      </x:bottom>
    </x:border>
    <x:border>
      <x:right style="medium">
        <x:color rgb="FF17233C"/>
      </x:right>
      <x:bottom style="medium">
        <x:color rgb="FF17233C"/>
      </x:bottom>
    </x:border>
    <x:border>
      <x:left style="thin">
        <x:color rgb="FFD7DDE8"/>
      </x:left>
      <x:right style="thin">
        <x:color rgb="FFD7DDE8"/>
      </x:right>
      <x:top style="thin">
        <x:color rgb="FFD7DDE8"/>
      </x:top>
      <x:bottom style="thin">
        <x:color rgb="FFD7DDE8"/>
      </x:bottom>
    </x:border>
    <x:border>
      <x:left style="thin">
        <x:color rgb="FF44506A"/>
      </x:left>
      <x:right style="thin">
        <x:color rgb="FF44506A"/>
      </x:right>
      <x:top style="thin">
        <x:color rgb="FF44506A"/>
      </x:top>
      <x:bottom style="thin">
        <x:color rgb="FF44506A"/>
      </x:bottom>
    </x:border>
    <x:border>
      <x:left style="thin">
        <x:color rgb="FFB54747"/>
      </x:left>
      <x:right style="thin">
        <x:color rgb="FFB54747"/>
      </x:right>
      <x:top style="thin">
        <x:color rgb="FFB54747"/>
      </x:top>
      <x:bottom style="thin">
        <x:color rgb="FFB54747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left" vertical="top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left" vertical="center"/>
    </x:xf>
    <x:xf numFmtId="0" fontId="2" fillId="2" borderId="3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0" fontId="3" fillId="3" borderId="6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3" fillId="3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top"/>
    </x:xf>
    <x:xf numFmtId="0" fontId="1" fillId="0" borderId="9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4" fillId="4" borderId="9" xfId="0" applyNumberFormat="1" applyFont="1" applyFill="1" applyBorder="1" applyAlignment="1">
      <x:alignment vertical="center"/>
    </x:xf>
    <x:xf numFmtId="0" fontId="4" fillId="4" borderId="9" xfId="0" applyNumberFormat="1" applyFont="1" applyFill="1" applyBorder="1" applyAlignment="1">
      <x:alignment horizontal="center" vertical="center"/>
    </x:xf>
    <x:xf numFmtId="0" fontId="1" fillId="5" borderId="9" xfId="0" applyNumberFormat="1" applyFont="1" applyFill="1" applyBorder="1" applyAlignment="1">
      <x:alignment vertical="center"/>
    </x:xf>
    <x:xf numFmtId="0" fontId="5" fillId="5" borderId="9" xfId="0" applyNumberFormat="1" applyFont="1" applyFill="1" applyBorder="1" applyAlignment="1">
      <x:alignment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top"/>
    </x:xf>
    <x:xf numFmtId="0" fontId="6" fillId="6" borderId="0" xfId="0" applyNumberFormat="1" applyFont="1" applyFill="1" applyBorder="1" applyAlignment="1">
      <x:alignment vertical="top"/>
    </x:xf>
    <x:xf numFmtId="0" fontId="6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top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/>
    </x:xf>
    <x:xf numFmtId="0" fontId="1" fillId="7" borderId="9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10" xfId="0" applyNumberFormat="1" applyFont="1" applyFill="1" applyBorder="1" applyAlignment="1">
      <x:alignment vertical="top"/>
    </x:xf>
    <x:xf numFmtId="0" fontId="4" fillId="2" borderId="10" xfId="0" applyNumberFormat="1" applyFont="1" applyFill="1" applyBorder="1" applyAlignment="1">
      <x:alignment vertical="top" wrapText="1"/>
    </x:xf>
    <x:xf numFmtId="0" fontId="4" fillId="2" borderId="10" xfId="0" applyNumberFormat="1" applyFont="1" applyFill="1" applyBorder="1" applyAlignment="1">
      <x:alignment horizontal="center" vertical="top" wrapText="1"/>
    </x:xf>
    <x:xf numFmtId="0" fontId="4" fillId="2" borderId="10" xfId="0" applyNumberFormat="1" applyFont="1" applyFill="1" applyBorder="1" applyAlignment="1">
      <x:alignment horizontal="center" vertical="center" wrapText="1"/>
    </x:xf>
    <x:xf numFmtId="200" fontId="1" fillId="0" borderId="9" xfId="0" applyNumberFormat="1" applyFont="1" applyFill="1" applyBorder="1" applyAlignment="1">
      <x:alignment vertical="top"/>
    </x:xf>
    <x:xf numFmtId="0" fontId="1" fillId="8" borderId="0" xfId="0" applyNumberFormat="1" applyFont="1" applyFill="1" applyBorder="1" applyAlignment="1">
      <x:alignment vertical="top"/>
    </x:xf>
    <x:xf numFmtId="0" fontId="7" fillId="8" borderId="0" xfId="0" applyNumberFormat="1" applyFont="1" applyFill="1" applyBorder="1" applyAlignment="1">
      <x:alignment vertical="top"/>
    </x:xf>
    <x:xf numFmtId="0" fontId="1" fillId="9" borderId="0" xfId="0" applyNumberFormat="1" applyFont="1" applyFill="1" applyBorder="1" applyAlignment="1">
      <x:alignment vertical="top"/>
    </x:xf>
    <x:xf numFmtId="0" fontId="8" fillId="9" borderId="0" xfId="0" applyNumberFormat="1" applyFont="1" applyFill="1" applyBorder="1" applyAlignment="1">
      <x:alignment vertical="top"/>
    </x:xf>
    <x:xf numFmtId="0" fontId="8" fillId="9" borderId="11" xfId="0" applyNumberFormat="1" applyFont="1" applyFill="1" applyBorder="1" applyAlignment="1">
      <x:alignment vertical="top"/>
    </x:xf>
    <x:xf numFmtId="0" fontId="8" fillId="9" borderId="11" xfId="0" applyNumberFormat="1" applyFont="1" applyFill="1" applyBorder="1" applyAlignment="1">
      <x:alignment vertical="top" wrapText="1"/>
    </x:xf>
    <x:xf numFmtId="0" fontId="8" fillId="9" borderId="11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top"/>
    </x:xf>
    <x:xf numFmtId="0" fontId="1" fillId="5" borderId="9" xfId="0" applyNumberFormat="1" applyFont="1" applyFill="1" applyBorder="1" applyAlignment="1">
      <x:alignment vertical="top"/>
    </x:xf>
    <x:xf numFmtId="0" fontId="1" fillId="5" borderId="9" xfId="0" applyNumberFormat="1" applyFont="1" applyFill="1" applyBorder="1" applyAlignment="1">
      <x:alignment vertical="top" wrapText="1"/>
    </x:xf>
    <x:xf numFmtId="0" fontId="1" fillId="5" borderId="9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top"/>
    </x:xf>
  </x:cellXfs>
  <x:cellStyles count="1">
    <x:cellStyle name="Normal" xfId="0"/>
  </x:cellStyles>
  <x:dxfs count="9">
    <x:dxf>
      <x:font>
        <x:b/>
        <x:color rgb="FF7B5313"/>
      </x:font>
      <x:fill>
        <x:patternFill patternType="solid">
          <x:bgColor rgb="FFF7E7B2"/>
        </x:patternFill>
      </x:fill>
    </x:dxf>
    <x:dxf>
      <x:font>
        <x:b/>
        <x:color rgb="FF2F855A"/>
      </x:font>
      <x:fill>
        <x:patternFill patternType="solid">
          <x:bgColor rgb="FFDDF3E6"/>
        </x:patternFill>
      </x:fill>
    </x:dxf>
    <x:dxf>
      <x:font>
        <x:b/>
        <x:color rgb="FF8E2F2F"/>
      </x:font>
      <x:fill>
        <x:patternFill patternType="solid">
          <x:bgColor rgb="FFFBE2E2"/>
        </x:patternFill>
      </x:fill>
    </x:dxf>
    <x:dxf>
      <x:font>
        <x:b/>
        <x:color rgb="FF6B4FA1"/>
      </x:font>
      <x:fill>
        <x:patternFill patternType="solid">
          <x:bgColor rgb="FFE9E0F7"/>
        </x:patternFill>
      </x:fill>
    </x:dxf>
    <x:dxf>
      <x:font>
        <x:b/>
        <x:color rgb="FF2F855A"/>
      </x:font>
      <x:fill>
        <x:patternFill patternType="solid">
          <x:bgColor rgb="FFDDF3E6"/>
        </x:patternFill>
      </x:fill>
    </x:dxf>
    <x:dxf>
      <x:font>
        <x:b/>
        <x:color rgb="FF2F6FAB"/>
      </x:font>
      <x:fill>
        <x:patternFill patternType="solid">
          <x:bgColor rgb="FFDCEAF7"/>
        </x:patternFill>
      </x:fill>
    </x:dxf>
    <x:dxf>
      <x:font>
        <x:b/>
        <x:color rgb="FF7B5313"/>
      </x:font>
      <x:fill>
        <x:patternFill patternType="solid">
          <x:bgColor rgb="FFF7E7B2"/>
        </x:patternFill>
      </x:fill>
    </x:dxf>
    <x:dxf>
      <x:font>
        <x:b/>
        <x:color rgb="FF2F855A"/>
      </x:font>
      <x:fill>
        <x:patternFill patternType="solid">
          <x:bgColor rgb="FFDDF3E6"/>
        </x:patternFill>
      </x:fill>
    </x:dxf>
    <x:dxf>
      <x:font>
        <x:b/>
        <x:color rgb="FFB54747"/>
      </x:font>
      <x:fill>
        <x:patternFill patternType="solid">
          <x:bgColor rgb="FFFB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6a542516014aa2" /><Relationship Type="http://schemas.openxmlformats.org/officeDocument/2006/relationships/theme" Target="/xl/theme/theme1.xml" Id="Ra12b7351c05d4314" /><Relationship Type="http://schemas.openxmlformats.org/officeDocument/2006/relationships/sharedStrings" Target="/xl/sharedStrings.xml" Id="R7cfba63f1b35470b" /><Relationship Type="http://schemas.openxmlformats.org/officeDocument/2006/relationships/worksheet" Target="/xl/worksheets/sheet1.xml" Id="R809bb8dc5f2b4f74" /><Relationship Type="http://schemas.openxmlformats.org/officeDocument/2006/relationships/worksheet" Target="/xl/worksheets/sheet2.xml" Id="R2e63ba064c754d6a" /><Relationship Type="http://schemas.openxmlformats.org/officeDocument/2006/relationships/worksheet" Target="/xl/worksheets/sheet3.xml" Id="Rd5ad49b93aae4444" /><Relationship Type="http://schemas.openxmlformats.org/officeDocument/2006/relationships/worksheet" Target="/xl/worksheets/sheet4.xml" Id="R3a16506502ca4fec" /><Relationship Type="http://schemas.openxmlformats.org/officeDocument/2006/relationships/worksheet" Target="/xl/worksheets/sheet5.xml" Id="R2fa9dcb96c734013" /><Relationship Type="http://schemas.openxmlformats.org/officeDocument/2006/relationships/worksheet" Target="/xl/worksheets/sheet6.xml" Id="Rb8a3e5bf533a4dad" /><Relationship Type="http://schemas.openxmlformats.org/officeDocument/2006/relationships/worksheet" Target="/xl/worksheets/sheet7.xml" Id="R69802dd037ca4521" /><Relationship Type="http://schemas.openxmlformats.org/officeDocument/2006/relationships/worksheet" Target="/xl/worksheets/sheet8.xml" Id="R2954dfc533bd41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ae4e01c0554856" /><Relationship Type="http://schemas.openxmlformats.org/officeDocument/2006/relationships/chart" Target="/xl/drawings/charts/chart2.xml" Id="R56b351a290114a3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主分类技能数量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'分类统计'!$A$6:$A$19</c:f>
              <c:strCache>
                <c:ptCount val="0"/>
              </c:strCache>
            </c:strRef>
          </c:cat>
          <c:val>
            <c:numRef>
              <c:f>'分类统计'!$B$6:$B$19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施放形态分布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数量</c:v>
          </c:tx>
          <c:cat>
            <c:strRef>
              <c:f>'分类统计'!$E$6:$E$9</c:f>
              <c:strCache>
                <c:ptCount val="0"/>
              </c:strCache>
            </c:strRef>
          </c:cat>
          <c:val>
            <c:numRef>
              <c:f>'分类统计'!$F$6:$F$9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ae4e01c0554856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17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b351a290114a3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eroSkillsTable" displayName="HeroSkillsTable" ref="A1:AG357" headerRowCount="1" totalsRowCount="0" totalsRowShown="0">
  <x:autoFilter ref="A1:AG357"/>
  <x:tableColumns count="33">
    <x:tableColumn id="1" name="编号"/>
    <x:tableColumn id="2" name="势力"/>
    <x:tableColumn id="3" name="酒馆"/>
    <x:tableColumn id="4" name="英雄中文"/>
    <x:tableColumn id="5" name="Hero_EN"/>
    <x:tableColumn id="6" name="Hero_ID"/>
    <x:tableColumn id="7" name="英雄称号"/>
    <x:tableColumn id="8" name="主属性"/>
    <x:tableColumn id="9" name="攻击形态"/>
    <x:tableColumn id="10" name="技能序号"/>
    <x:tableColumn id="11" name="Skill_EN"/>
    <x:tableColumn id="12" name="Ability_ID"/>
    <x:tableColumn id="13" name="终极技能"/>
    <x:tableColumn id="14" name="最高等级"/>
    <x:tableColumn id="15" name="首次可学等级"/>
    <x:tableColumn id="16" name="跳级间隔"/>
    <x:tableColumn id="17" name="施放形态"/>
    <x:tableColumn id="18" name="目标方式"/>
    <x:tableColumn id="19" name="主分类"/>
    <x:tableColumn id="20" name="次级标签"/>
    <x:tableColumn id="21" name="中文分类摘要"/>
    <x:tableColumn id="22" name="魔耗/级"/>
    <x:tableColumn id="23" name="冷却/级"/>
    <x:tableColumn id="24" name="施法距离/级"/>
    <x:tableColumn id="25" name="作用范围/级"/>
    <x:tableColumn id="26" name="持续时间/级"/>
    <x:tableColumn id="27" name="对英雄持续/级"/>
    <x:tableColumn id="28" name="目标过滤"/>
    <x:tableColumn id="29" name="结构化机制摘要（中文）"/>
    <x:tableColumn id="30" name="原说明数字索引（仅值）"/>
    <x:tableColumn id="31" name="证据等级"/>
    <x:tableColumn id="32" name="证据说明"/>
    <x:tableColumn id="33" name="来源编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eroCoverageTable" displayName="HeroCoverageTable" ref="A1:O90" headerRowCount="1" totalsRowCount="0" totalsRowShown="0">
  <x:autoFilter ref="A1:O90"/>
  <x:tableColumns count="15">
    <x:tableColumn id="1" name="排序"/>
    <x:tableColumn id="2" name="势力"/>
    <x:tableColumn id="3" name="酒馆中文"/>
    <x:tableColumn id="4" name="Tavern_EN"/>
    <x:tableColumn id="5" name="英雄中文"/>
    <x:tableColumn id="6" name="Hero_EN"/>
    <x:tableColumn id="7" name="Hero_ID"/>
    <x:tableColumn id="8" name="英雄称号"/>
    <x:tableColumn id="9" name="主属性"/>
    <x:tableColumn id="10" name="攻击形态"/>
    <x:tableColumn id="11" name="攻击距离"/>
    <x:tableColumn id="12" name="预期技能"/>
    <x:tableColumn id="13" name="已收集技能"/>
    <x:tableColumn id="14" name="覆盖状态"/>
    <x:tableColumn id="15" name="技能RawID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awObjectFieldsTable" displayName="RawObjectFieldsTable" ref="A1:T357" headerRowCount="1" totalsRowCount="0" totalsRowShown="0">
  <x:autoFilter ref="A1:T357"/>
  <x:tableColumns count="20">
    <x:tableColumn id="1" name="编号"/>
    <x:tableColumn id="2" name="英雄中文"/>
    <x:tableColumn id="3" name="Hero_EN"/>
    <x:tableColumn id="4" name="Skill_EN"/>
    <x:tableColumn id="5" name="Ability_ID"/>
    <x:tableColumn id="6" name="Base_Code"/>
    <x:tableColumn id="7" name="DataA/级"/>
    <x:tableColumn id="8" name="DataB/级"/>
    <x:tableColumn id="9" name="DataC/级"/>
    <x:tableColumn id="10" name="DataD/级"/>
    <x:tableColumn id="11" name="DataE/级"/>
    <x:tableColumn id="12" name="DataF/级"/>
    <x:tableColumn id="13" name="DataG/级"/>
    <x:tableColumn id="14" name="DataH/级"/>
    <x:tableColumn id="15" name="DataI/级"/>
    <x:tableColumn id="16" name="UnitID/级"/>
    <x:tableColumn id="17" name="BuffID/级"/>
    <x:tableColumn id="18" name="EfctID/级"/>
    <x:tableColumn id="19" name="原说明数字索引"/>
    <x:tableColumn id="20" name="说明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4" name="ClassificationDictionaryTable" displayName="ClassificationDictionaryTable" ref="A5:F26" headerRowCount="1" totalsRowCount="0" totalsRowShown="0">
  <x:tableColumns count="6">
    <x:tableColumn id="1" name="维度"/>
    <x:tableColumn id="2" name="分类值"/>
    <x:tableColumn id="3" name="定义"/>
    <x:tableColumn id="4" name="补充字段"/>
    <x:tableColumn id="5" name="示例"/>
    <x:tableColumn id="6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earchSourcesTable" displayName="ResearchSourcesTable" ref="A5:F8" headerRowCount="1" totalsRowCount="0" totalsRowShown="0">
  <x:tableColumns count="6">
    <x:tableColumn id="1" name="来源编号"/>
    <x:tableColumn id="2" name="来源"/>
    <x:tableColumn id="3" name="证据等级"/>
    <x:tableColumn id="4" name="支持内容"/>
    <x:tableColumn id="5" name="访问日期"/>
    <x:tableColumn id="6" name="URL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526dabd7144b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db720134a747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682bb5fda447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ec9971ade85f42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211bb9a2099845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3d201d93285b45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</x:cols>
  <x:sheetData>
    <x:row r="1">
      <x:c r="A1" s="10" t="str">
        <x:v>DotA Allstars 6.48b 全英雄技能资料与分类</x:v>
      </x:c>
      <x:c r="B1" s="11"/>
      <x:c r="C1" s="11"/>
      <x:c r="D1" s="11"/>
      <x:c r="E1" s="11"/>
      <x:c r="F1" s="11"/>
      <x:c r="G1" s="11"/>
      <x:c r="H1" s="11"/>
      <x:c r="I1" s="11"/>
      <x:c r="J1" s="12"/>
    </x:row>
    <x:row r="2">
      <x:c r="A2" s="13"/>
      <x:c r="B2" s="6"/>
      <x:c r="C2" s="6"/>
      <x:c r="D2" s="6"/>
      <x:c r="E2" s="6"/>
      <x:c r="F2" s="6"/>
      <x:c r="G2" s="6"/>
      <x:c r="H2" s="6"/>
      <x:c r="I2" s="6"/>
      <x:c r="J2" s="14"/>
    </x:row>
    <x:row r="3">
      <x:c r="A3" s="15" t="str">
        <x:v>版本基准：6.48 系列最终热修订版。技能英文名与数值以地图内对象数据/字符串/脚本为准；现代版本资料不反向覆盖旧版本。</x:v>
      </x:c>
      <x:c r="B3" s="16"/>
      <x:c r="C3" s="16"/>
      <x:c r="D3" s="16"/>
      <x:c r="E3" s="16"/>
      <x:c r="F3" s="16"/>
      <x:c r="G3" s="16"/>
      <x:c r="H3" s="16"/>
      <x:c r="I3" s="16"/>
      <x:c r="J3" s="17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2" t="str">
        <x:v>版本</x:v>
      </x:c>
      <x:c r="B5" s="25" t="str">
        <x:v>6.48b</x:v>
      </x:c>
      <x:c r="C5" s="22" t="str">
        <x:v>可选英雄</x:v>
      </x:c>
      <x:c r="D5" s="25" t="n">
        <x:f>COUNTA('英雄覆盖'!$G$2:$G$90)</x:f>
        <x:v>89</x:v>
      </x:c>
      <x:c r="E5" s="22" t="str">
        <x:v>英雄专属技能</x:v>
      </x:c>
      <x:c r="F5" s="25" t="n">
        <x:f>COUNTA('英雄技能总表'!$A$2:$A$357)</x:f>
        <x:v>356</x:v>
      </x:c>
      <x:c r="G5" s="22" t="str">
        <x:v>通用技能</x:v>
      </x:c>
      <x:c r="H5" s="25" t="n">
        <x:v>1</x:v>
      </x:c>
      <x:c r="I5" s="2"/>
      <x:c r="J5" s="2"/>
    </x:row>
    <x:row r="6">
      <x:c r="A6" s="22" t="str">
        <x:v>完整英雄</x:v>
      </x:c>
      <x:c r="B6" s="25" t="n">
        <x:f>COUNTIF('英雄覆盖'!$N$2:$N$90,"完整")</x:f>
        <x:v>89</x:v>
      </x:c>
      <x:c r="C6" s="22" t="str">
        <x:v>终极技能</x:v>
      </x:c>
      <x:c r="D6" s="25" t="n">
        <x:f>COUNTIF('英雄技能总表'!$M$2:$M$357,"是")</x:f>
        <x:v>89</x:v>
      </x:c>
      <x:c r="E6" s="22" t="str">
        <x:v>A级证据行</x:v>
      </x:c>
      <x:c r="F6" s="25" t="n">
        <x:f>COUNTIF('英雄技能总表'!$AE$2:$AE$357,"A")</x:f>
        <x:v>356</x:v>
      </x:c>
      <x:c r="G6" s="22" t="str">
        <x:v>已记录冲突</x:v>
      </x:c>
      <x:c r="H6" s="25" t="n">
        <x:v>1</x:v>
      </x:c>
      <x:c r="I6" s="2"/>
      <x:c r="J6" s="2"/>
    </x:row>
    <x:row r="7">
      <x:c r="A7" s="22" t="str">
        <x:v>主表口径</x:v>
      </x:c>
      <x:c r="B7" s="25" t="str">
        <x:v>356 + 1</x:v>
      </x:c>
      <x:c r="C7" s="22" t="str">
        <x:v>唯一技能对象</x:v>
      </x:c>
      <x:c r="D7" s="25" t="n">
        <x:v>355</x:v>
      </x:c>
      <x:c r="E7" s="22" t="str">
        <x:v>地图字节</x:v>
      </x:c>
      <x:c r="F7" s="25" t="n">
        <x:v>2479765</x:v>
      </x:c>
      <x:c r="G7" s="22" t="str">
        <x:v>研究日期</x:v>
      </x:c>
      <x:c r="H7" s="25" t="str">
        <x:v>2026-08-22</x:v>
      </x:c>
      <x:c r="I7" s="2"/>
      <x:c r="J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9" ht="38" customHeight="1">
      <x:c r="A9" s="32" t="str">
        <x:v>范围</x:v>
      </x:c>
      <x:c r="B9" s="32" t="str"/>
      <x:c r="C9" s="33" t="str">
        <x:v>8 个酒馆中 89 名可选英雄的可学习英雄技能；通用属性附加仅列一次。</x:v>
      </x:c>
      <x:c r="D9" s="33"/>
      <x:c r="E9" s="33"/>
      <x:c r="F9" s="33"/>
      <x:c r="G9" s="33"/>
      <x:c r="H9" s="33"/>
      <x:c r="I9" s="33"/>
      <x:c r="J9" s="33"/>
    </x:row>
    <x:row r="10" ht="38" customHeight="1">
      <x:c r="A10" s="32" t="str">
        <x:v>排除项</x:v>
      </x:c>
      <x:c r="B10" s="32" t="str"/>
      <x:c r="C10" s="33" t="str">
        <x:v>物品技能、中立生物/召唤物独立技能、Roshan、地图机制、编辑器隐藏辅助技能与运行时中间态按钮不进入主表。</x:v>
      </x:c>
      <x:c r="D10" s="33"/>
      <x:c r="E10" s="33"/>
      <x:c r="F10" s="33"/>
      <x:c r="G10" s="33"/>
      <x:c r="H10" s="33"/>
      <x:c r="I10" s="33"/>
      <x:c r="J10" s="33"/>
    </x:row>
    <x:row r="11" ht="38" customHeight="1">
      <x:c r="A11" s="32" t="str">
        <x:v>完整性公式</x:v>
      </x:c>
      <x:c r="B11" s="32" t="str"/>
      <x:c r="C11" s="33" t="str">
        <x:v>8 个酒馆售卖名单 = 89 名英雄；每名英雄 4 个可学习专属技能；属性附加只列一次。</x:v>
      </x:c>
      <x:c r="D11" s="33"/>
      <x:c r="E11" s="33"/>
      <x:c r="F11" s="33"/>
      <x:c r="G11" s="33"/>
      <x:c r="H11" s="33"/>
      <x:c r="I11" s="33"/>
      <x:c r="J11" s="33"/>
    </x:row>
    <x:row r="12" ht="38" customHeight="1">
      <x:c r="A12" s="32" t="str">
        <x:v>技能命名</x:v>
      </x:c>
      <x:c r="B12" s="32" t="str"/>
      <x:c r="C12" s="33" t="str">
        <x:v>主表保留 6.48b 地图英文原名；英雄补充中文常用名。技能中文现代译名可能跨版本漂移，因此不伪装成 6.48b 原始字段。</x:v>
      </x:c>
      <x:c r="D12" s="33"/>
      <x:c r="E12" s="33"/>
      <x:c r="F12" s="33"/>
      <x:c r="G12" s="33"/>
      <x:c r="H12" s="33"/>
      <x:c r="I12" s="33"/>
      <x:c r="J12" s="33"/>
    </x:row>
    <x:row r="13" ht="38" customHeight="1">
      <x:c r="A13" s="32" t="str">
        <x:v>证据 A</x:v>
      </x:c>
      <x:c r="B13" s="32" t="str"/>
      <x:c r="C13" s="33" t="str">
        <x:v>直接来自 6.48b W3X 内 UnitAbilities.slk、AbilityData.slk、AbilityStrings、w3a/w3u 与运行脚本。</x:v>
      </x:c>
      <x:c r="D13" s="33"/>
      <x:c r="E13" s="33"/>
      <x:c r="F13" s="33"/>
      <x:c r="G13" s="33"/>
      <x:c r="H13" s="33"/>
      <x:c r="I13" s="33"/>
      <x:c r="J13" s="33"/>
    </x:row>
    <x:row r="14" ht="38" customHeight="1">
      <x:c r="A14" s="32" t="str">
        <x:v>地图 SHA-256</x:v>
      </x:c>
      <x:c r="B14" s="32" t="str"/>
      <x:c r="C14" s="33" t="str">
        <x:v>F8F4948CED70D6AAD30D4A812C80CFFBDFEBE9B9532CDC9EDD4C7ECF080582C5</x:v>
      </x:c>
      <x:c r="D14" s="33"/>
      <x:c r="E14" s="33"/>
      <x:c r="F14" s="33"/>
      <x:c r="G14" s="33"/>
      <x:c r="H14" s="33"/>
      <x:c r="I14" s="33"/>
      <x:c r="J14" s="33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34" customHeight="1">
      <x:c r="A16" s="39" t="str">
        <x:v>主分类</x:v>
      </x:c>
      <x:c r="B16" s="39" t="str">
        <x:v>技能数</x:v>
      </x:c>
      <x:c r="C16" s="39" t="str">
        <x:v>占比</x:v>
      </x:c>
      <x:c r="D16" s="2"/>
      <x:c r="E16" s="39" t="str">
        <x:v>施放形态</x:v>
      </x:c>
      <x:c r="F16" s="39" t="str">
        <x:v>技能数</x:v>
      </x:c>
      <x:c r="G16" s="39" t="str">
        <x:v>占比</x:v>
      </x:c>
      <x:c r="H16" s="2"/>
      <x:c r="I16" s="2"/>
      <x:c r="J16" s="2"/>
    </x:row>
    <x:row r="17">
      <x:c r="A17" s="18" t="str">
        <x:v>变身/形态</x:v>
      </x:c>
      <x:c r="B17" s="18" t="n">
        <x:f>COUNTIF('英雄技能总表'!$S$2:$S$357,A17)</x:f>
        <x:v>3</x:v>
      </x:c>
      <x:c r="C17" s="40" t="n">
        <x:f>B17/COUNTA('英雄技能总表'!$A$2:$A$357)</x:f>
        <x:v>0.008426966292134831</x:v>
      </x:c>
      <x:c r="D17" s="2"/>
      <x:c r="E17" s="18" t="str">
        <x:v>被动</x:v>
      </x:c>
      <x:c r="F17" s="18" t="n">
        <x:f>COUNTIF('英雄技能总表'!$Q$2:$Q$357,E17)</x:f>
        <x:v>48</x:v>
      </x:c>
      <x:c r="G17" s="40" t="n">
        <x:f>F17/COUNTA('英雄技能总表'!$A$2:$A$357)</x:f>
        <x:v>0.1348314606741573</x:v>
      </x:c>
      <x:c r="H17" s="2"/>
      <x:c r="I17" s="2"/>
      <x:c r="J17" s="2"/>
    </x:row>
    <x:row r="18">
      <x:c r="A18" s="18" t="str">
        <x:v>防御/生存</x:v>
      </x:c>
      <x:c r="B18" s="18" t="n">
        <x:f>COUNTIF('英雄技能总表'!$S$2:$S$357,A18)</x:f>
        <x:v>23</x:v>
      </x:c>
      <x:c r="C18" s="40" t="n">
        <x:f>B18/COUNTA('英雄技能总表'!$A$2:$A$357)</x:f>
        <x:v>0.06460674157303371</x:v>
      </x:c>
      <x:c r="D18" s="2"/>
      <x:c r="E18" s="18" t="str">
        <x:v>被动/脚本触发</x:v>
      </x:c>
      <x:c r="F18" s="18" t="n">
        <x:f>COUNTIF('英雄技能总表'!$Q$2:$Q$357,E18)</x:f>
        <x:v>30</x:v>
      </x:c>
      <x:c r="G18" s="40" t="n">
        <x:f>F18/COUNTA('英雄技能总表'!$A$2:$A$357)</x:f>
        <x:v>0.08426966292134831</x:v>
      </x:c>
      <x:c r="H18" s="2"/>
      <x:c r="I18" s="2"/>
      <x:c r="J18" s="2"/>
    </x:row>
    <x:row r="19">
      <x:c r="A19" s="18" t="str">
        <x:v>复活/死亡</x:v>
      </x:c>
      <x:c r="B19" s="18" t="n">
        <x:f>COUNTIF('英雄技能总表'!$S$2:$S$357,A19)</x:f>
        <x:v>1</x:v>
      </x:c>
      <x:c r="C19" s="40" t="n">
        <x:f>B19/COUNTA('英雄技能总表'!$A$2:$A$357)</x:f>
        <x:v>0.0028089887640449437</x:v>
      </x:c>
      <x:c r="D19" s="2"/>
      <x:c r="E19" s="18" t="str">
        <x:v>开关/自动施放</x:v>
      </x:c>
      <x:c r="F19" s="18" t="n">
        <x:f>COUNTIF('英雄技能总表'!$Q$2:$Q$357,E19)</x:f>
        <x:v>28</x:v>
      </x:c>
      <x:c r="G19" s="40" t="n">
        <x:f>F19/COUNTA('英雄技能总表'!$A$2:$A$357)</x:f>
        <x:v>0.07865168539325842</x:v>
      </x:c>
      <x:c r="H19" s="2"/>
      <x:c r="I19" s="2"/>
      <x:c r="J19" s="2"/>
    </x:row>
    <x:row r="20">
      <x:c r="A20" s="18" t="str">
        <x:v>功能/特殊</x:v>
      </x:c>
      <x:c r="B20" s="18" t="n">
        <x:f>COUNTIF('英雄技能总表'!$S$2:$S$357,A20)</x:f>
        <x:v>11</x:v>
      </x:c>
      <x:c r="C20" s="40" t="n">
        <x:f>B20/COUNTA('英雄技能总表'!$A$2:$A$357)</x:f>
        <x:v>0.03089887640449438</x:v>
      </x:c>
      <x:c r="D20" s="2"/>
      <x:c r="E20" s="18" t="str">
        <x:v>主动</x:v>
      </x:c>
      <x:c r="F20" s="18" t="n">
        <x:f>COUNTIF('英雄技能总表'!$Q$2:$Q$357,E20)</x:f>
        <x:v>250</x:v>
      </x:c>
      <x:c r="G20" s="40" t="n">
        <x:f>F20/COUNTA('英雄技能总表'!$A$2:$A$357)</x:f>
        <x:v>0.702247191011236</x:v>
      </x:c>
      <x:c r="H20" s="2"/>
      <x:c r="I20" s="2"/>
      <x:c r="J20" s="2"/>
    </x:row>
    <x:row r="21">
      <x:c r="A21" s="18" t="str">
        <x:v>强化</x:v>
      </x:c>
      <x:c r="B21" s="18" t="n">
        <x:f>COUNTIF('英雄技能总表'!$S$2:$S$357,A21)</x:f>
        <x:v>43</x:v>
      </x:c>
      <x:c r="C21" s="40" t="n">
        <x:f>B21/COUNTA('英雄技能总表'!$A$2:$A$357)</x:f>
        <x:v>0.12078651685393259</x:v>
      </x:c>
      <x:c r="D21" s="2"/>
      <x:c r="E21" s="2"/>
      <x:c r="F21" s="2"/>
      <x:c r="G21" s="2"/>
      <x:c r="H21" s="2"/>
      <x:c r="I21" s="2"/>
      <x:c r="J21" s="2"/>
    </x:row>
    <x:row r="22">
      <x:c r="A22" s="18" t="str">
        <x:v>软控</x:v>
      </x:c>
      <x:c r="B22" s="18" t="n">
        <x:f>COUNTIF('英雄技能总表'!$S$2:$S$357,A22)</x:f>
        <x:v>66</x:v>
      </x:c>
      <x:c r="C22" s="40" t="n">
        <x:f>B22/COUNTA('英雄技能总表'!$A$2:$A$357)</x:f>
        <x:v>0.1853932584269663</x:v>
      </x:c>
      <x:c r="D22" s="2"/>
      <x:c r="E22" s="2"/>
      <x:c r="F22" s="2"/>
      <x:c r="G22" s="2"/>
      <x:c r="H22" s="2"/>
      <x:c r="I22" s="2"/>
      <x:c r="J22" s="2"/>
    </x:row>
    <x:row r="23">
      <x:c r="A23" s="18" t="str">
        <x:v>伤害</x:v>
      </x:c>
      <x:c r="B23" s="18" t="n">
        <x:f>COUNTIF('英雄技能总表'!$S$2:$S$357,A23)</x:f>
        <x:v>62</x:v>
      </x:c>
      <x:c r="C23" s="40" t="n">
        <x:f>B23/COUNTA('英雄技能总表'!$A$2:$A$357)</x:f>
        <x:v>0.17415730337078653</x:v>
      </x:c>
      <x:c r="D23" s="2"/>
      <x:c r="E23" s="2"/>
      <x:c r="F23" s="2"/>
      <x:c r="G23" s="2"/>
      <x:c r="H23" s="2"/>
      <x:c r="I23" s="2"/>
      <x:c r="J23" s="2"/>
    </x:row>
    <x:row r="24">
      <x:c r="A24" s="18" t="str">
        <x:v>视野/侦察</x:v>
      </x:c>
      <x:c r="B24" s="18" t="n">
        <x:f>COUNTIF('英雄技能总表'!$S$2:$S$357,A24)</x:f>
        <x:v>1</x:v>
      </x:c>
      <x:c r="C24" s="40" t="n">
        <x:f>B24/COUNTA('英雄技能总表'!$A$2:$A$357)</x:f>
        <x:v>0.0028089887640449437</x:v>
      </x:c>
      <x:c r="D24" s="2"/>
      <x:c r="E24" s="2"/>
      <x:c r="F24" s="2"/>
      <x:c r="G24" s="2"/>
      <x:c r="H24" s="2"/>
      <x:c r="I24" s="2"/>
      <x:c r="J24" s="2"/>
    </x:row>
    <x:row r="25">
      <x:c r="A25" s="18" t="str">
        <x:v>位移</x:v>
      </x:c>
      <x:c r="B25" s="18" t="n">
        <x:f>COUNTIF('英雄技能总表'!$S$2:$S$357,A25)</x:f>
        <x:v>15</x:v>
      </x:c>
      <x:c r="C25" s="40" t="n">
        <x:f>B25/COUNTA('英雄技能总表'!$A$2:$A$357)</x:f>
        <x:v>0.042134831460674156</x:v>
      </x:c>
      <x:c r="D25" s="2"/>
      <x:c r="E25" s="2"/>
      <x:c r="F25" s="2"/>
      <x:c r="G25" s="2"/>
      <x:c r="H25" s="2"/>
      <x:c r="I25" s="2"/>
      <x:c r="J25" s="2"/>
    </x:row>
    <x:row r="26">
      <x:c r="A26" s="18" t="str">
        <x:v>削弱</x:v>
      </x:c>
      <x:c r="B26" s="18" t="n">
        <x:f>COUNTIF('英雄技能总表'!$S$2:$S$357,A26)</x:f>
        <x:v>3</x:v>
      </x:c>
      <x:c r="C26" s="40" t="n">
        <x:f>B26/COUNTA('英雄技能总表'!$A$2:$A$357)</x:f>
        <x:v>0.008426966292134831</x:v>
      </x:c>
      <x:c r="D26" s="2"/>
      <x:c r="E26" s="2"/>
      <x:c r="F26" s="2"/>
      <x:c r="G26" s="2"/>
      <x:c r="H26" s="2"/>
      <x:c r="I26" s="2"/>
      <x:c r="J26" s="2"/>
    </x:row>
    <x:row r="27">
      <x:c r="A27" s="18" t="str">
        <x:v>硬控</x:v>
      </x:c>
      <x:c r="B27" s="18" t="n">
        <x:f>COUNTIF('英雄技能总表'!$S$2:$S$357,A27)</x:f>
        <x:v>33</x:v>
      </x:c>
      <x:c r="C27" s="40" t="n">
        <x:f>B27/COUNTA('英雄技能总表'!$A$2:$A$357)</x:f>
        <x:v>0.09269662921348315</x:v>
      </x:c>
      <x:c r="D27" s="2"/>
      <x:c r="E27" s="2"/>
      <x:c r="F27" s="2"/>
      <x:c r="G27" s="2"/>
      <x:c r="H27" s="2"/>
      <x:c r="I27" s="2"/>
      <x:c r="J27" s="2"/>
    </x:row>
    <x:row r="28">
      <x:c r="A28" s="18" t="str">
        <x:v>召唤</x:v>
      </x:c>
      <x:c r="B28" s="18" t="n">
        <x:f>COUNTIF('英雄技能总表'!$S$2:$S$357,A28)</x:f>
        <x:v>52</x:v>
      </x:c>
      <x:c r="C28" s="40" t="n">
        <x:f>B28/COUNTA('英雄技能总表'!$A$2:$A$357)</x:f>
        <x:v>0.14606741573033707</x:v>
      </x:c>
      <x:c r="D28" s="2"/>
      <x:c r="E28" s="2"/>
      <x:c r="F28" s="2"/>
      <x:c r="G28" s="2"/>
      <x:c r="H28" s="2"/>
      <x:c r="I28" s="2"/>
      <x:c r="J28" s="2"/>
    </x:row>
    <x:row r="29">
      <x:c r="A29" s="18" t="str">
        <x:v>治疗/回复</x:v>
      </x:c>
      <x:c r="B29" s="18" t="n">
        <x:f>COUNTIF('英雄技能总表'!$S$2:$S$357,A29)</x:f>
        <x:v>27</x:v>
      </x:c>
      <x:c r="C29" s="40" t="n">
        <x:f>B29/COUNTA('英雄技能总表'!$A$2:$A$357)</x:f>
        <x:v>0.07584269662921349</x:v>
      </x:c>
      <x:c r="D29" s="2"/>
      <x:c r="E29" s="2"/>
      <x:c r="F29" s="2"/>
      <x:c r="G29" s="2"/>
      <x:c r="H29" s="2"/>
      <x:c r="I29" s="2"/>
      <x:c r="J29" s="2"/>
    </x:row>
    <x:row r="30">
      <x:c r="A30" s="18" t="str">
        <x:v>资源机制</x:v>
      </x:c>
      <x:c r="B30" s="18" t="n">
        <x:f>COUNTIF('英雄技能总表'!$S$2:$S$357,A30)</x:f>
        <x:v>16</x:v>
      </x:c>
      <x:c r="C30" s="40" t="n">
        <x:f>B30/COUNTA('英雄技能总表'!$A$2:$A$357)</x:f>
        <x:v>0.0449438202247191</x:v>
      </x:c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42" t="str">
        <x:v>已识别版本冲突</x:v>
      </x:c>
      <x:c r="B34" s="42"/>
      <x:c r="C34" s="42"/>
      <x:c r="D34" s="42"/>
      <x:c r="E34" s="42"/>
      <x:c r="F34" s="42"/>
      <x:c r="G34" s="42"/>
      <x:c r="H34" s="42"/>
      <x:c r="I34" s="42"/>
      <x:c r="J34" s="42"/>
    </x:row>
    <x:row r="35" ht="28" customHeight="1">
      <x:c r="A35" s="47" t="str">
        <x:v>Static Field（A0N5）：6.48b 运行脚本公式为当前生命 6%/8%/10%/12%，但残留的 4 级对象 Tooltip 写 11%。工作簿保留双方证据，不静默选择其一。</x:v>
      </x:c>
      <x:c r="B35" s="47"/>
      <x:c r="C35" s="47"/>
      <x:c r="D35" s="47"/>
      <x:c r="E35" s="47"/>
      <x:c r="F35" s="47"/>
      <x:c r="G35" s="47"/>
      <x:c r="H35" s="47"/>
      <x:c r="I35" s="47"/>
      <x:c r="J35" s="47"/>
    </x:row>
    <x:row r="36" ht="28" customHeight="1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</x:row>
    <x:row r="37" ht="28" customHeight="1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</x:row>
  </x:sheetData>
  <x:mergeCells>
    <x:mergeCell ref="A1:J2"/>
    <x:mergeCell ref="A3:J3"/>
    <x:mergeCell ref="C9:J9"/>
    <x:mergeCell ref="C10:J10"/>
    <x:mergeCell ref="C11:J11"/>
    <x:mergeCell ref="C12:J12"/>
    <x:mergeCell ref="C13:J13"/>
    <x:mergeCell ref="C14:J14"/>
    <x:mergeCell ref="A34:J34"/>
    <x:mergeCell ref="A35:J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3" hidden="0" customWidth="1"/>
    <x:col min="5" max="5" width="20" hidden="0" customWidth="1"/>
    <x:col min="6" max="6" width="10" hidden="0" customWidth="1"/>
    <x:col min="7" max="7" width="18" hidden="0" customWidth="1"/>
    <x:col min="8" max="8" width="9" hidden="0" customWidth="1"/>
    <x:col min="9" max="9" width="9" hidden="0" customWidth="1"/>
    <x:col min="10" max="10" width="8" hidden="0" customWidth="1"/>
    <x:col min="11" max="11" width="22" hidden="0" customWidth="1"/>
    <x:col min="12" max="12" width="11" hidden="0" customWidth="1"/>
    <x:col min="13" max="13" width="9" hidden="0" customWidth="1"/>
    <x:col min="14" max="14" width="9" hidden="0" customWidth="1"/>
    <x:col min="15" max="15" width="12" hidden="0" customWidth="1"/>
    <x:col min="16" max="16" width="9" hidden="0" customWidth="1"/>
    <x:col min="17" max="17" width="15" hidden="0" customWidth="1"/>
    <x:col min="18" max="18" width="17" hidden="0" customWidth="1"/>
    <x:col min="19" max="19" width="14" hidden="0" customWidth="1"/>
    <x:col min="20" max="20" width="24" hidden="0" customWidth="1"/>
    <x:col min="21" max="21" width="34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26" hidden="0" customWidth="1"/>
    <x:col min="29" max="29" width="60" hidden="0" customWidth="1"/>
    <x:col min="30" max="30" width="70" hidden="0" customWidth="1"/>
    <x:col min="31" max="31" width="9" hidden="0" customWidth="1"/>
    <x:col min="32" max="32" width="44" hidden="0" customWidth="1"/>
    <x:col min="33" max="33" width="9" hidden="0" customWidth="1"/>
  </x:cols>
  <x:sheetData>
    <x:row r="1" ht="34" customHeight="1">
      <x:c r="A1" s="39" t="str">
        <x:v>编号</x:v>
      </x:c>
      <x:c r="B1" s="39" t="str">
        <x:v>势力</x:v>
      </x:c>
      <x:c r="C1" s="39" t="str">
        <x:v>酒馆</x:v>
      </x:c>
      <x:c r="D1" s="39" t="str">
        <x:v>英雄中文</x:v>
      </x:c>
      <x:c r="E1" s="39" t="str">
        <x:v>Hero_EN</x:v>
      </x:c>
      <x:c r="F1" s="39" t="str">
        <x:v>Hero_ID</x:v>
      </x:c>
      <x:c r="G1" s="39" t="str">
        <x:v>英雄称号</x:v>
      </x:c>
      <x:c r="H1" s="39" t="str">
        <x:v>主属性</x:v>
      </x:c>
      <x:c r="I1" s="39" t="str">
        <x:v>攻击形态</x:v>
      </x:c>
      <x:c r="J1" s="39" t="str">
        <x:v>技能序号</x:v>
      </x:c>
      <x:c r="K1" s="39" t="str">
        <x:v>Skill_EN</x:v>
      </x:c>
      <x:c r="L1" s="39" t="str">
        <x:v>Ability_ID</x:v>
      </x:c>
      <x:c r="M1" s="39" t="str">
        <x:v>终极技能</x:v>
      </x:c>
      <x:c r="N1" s="39" t="str">
        <x:v>最高等级</x:v>
      </x:c>
      <x:c r="O1" s="39" t="str">
        <x:v>首次可学等级</x:v>
      </x:c>
      <x:c r="P1" s="39" t="str">
        <x:v>跳级间隔</x:v>
      </x:c>
      <x:c r="Q1" s="39" t="str">
        <x:v>施放形态</x:v>
      </x:c>
      <x:c r="R1" s="39" t="str">
        <x:v>目标方式</x:v>
      </x:c>
      <x:c r="S1" s="39" t="str">
        <x:v>主分类</x:v>
      </x:c>
      <x:c r="T1" s="39" t="str">
        <x:v>次级标签</x:v>
      </x:c>
      <x:c r="U1" s="39" t="str">
        <x:v>中文分类摘要</x:v>
      </x:c>
      <x:c r="V1" s="39" t="str">
        <x:v>魔耗/级</x:v>
      </x:c>
      <x:c r="W1" s="39" t="str">
        <x:v>冷却/级</x:v>
      </x:c>
      <x:c r="X1" s="39" t="str">
        <x:v>施法距离/级</x:v>
      </x:c>
      <x:c r="Y1" s="39" t="str">
        <x:v>作用范围/级</x:v>
      </x:c>
      <x:c r="Z1" s="39" t="str">
        <x:v>持续时间/级</x:v>
      </x:c>
      <x:c r="AA1" s="39" t="str">
        <x:v>对英雄持续/级</x:v>
      </x:c>
      <x:c r="AB1" s="39" t="str">
        <x:v>目标过滤</x:v>
      </x:c>
      <x:c r="AC1" s="39" t="str">
        <x:v>结构化机制摘要（中文）</x:v>
      </x:c>
      <x:c r="AD1" s="39" t="str">
        <x:v>原说明数字索引（仅值）</x:v>
      </x:c>
      <x:c r="AE1" s="39" t="str">
        <x:v>证据等级</x:v>
      </x:c>
      <x:c r="AF1" s="39" t="str">
        <x:v>证据说明</x:v>
      </x:c>
      <x:c r="AG1" s="39" t="str">
        <x:v>来源编号</x:v>
      </x:c>
    </x:row>
    <x:row r="2" ht="48" customHeight="1">
      <x:c r="A2" s="19" t="str">
        <x:v>H008-1</x:v>
      </x:c>
      <x:c r="B2" s="19" t="str">
        <x:v>近卫军团</x:v>
      </x:c>
      <x:c r="C2" s="19" t="str">
        <x:v>光明酒馆</x:v>
      </x:c>
      <x:c r="D2" s="19" t="str">
        <x:v>刚背兽</x:v>
      </x:c>
      <x:c r="E2" s="19" t="str">
        <x:v>Bristleback</x:v>
      </x:c>
      <x:c r="F2" s="19" t="str">
        <x:v>H008</x:v>
      </x:c>
      <x:c r="G2" s="19" t="str">
        <x:v>Rigwarl</x:v>
      </x:c>
      <x:c r="H2" s="19" t="str">
        <x:v>STR</x:v>
      </x:c>
      <x:c r="I2" s="19" t="str">
        <x:v>近战</x:v>
      </x:c>
      <x:c r="J2" s="19" t="n">
        <x:v>1</x:v>
      </x:c>
      <x:c r="K2" s="19" t="str">
        <x:v>Quill Spray</x:v>
      </x:c>
      <x:c r="L2" s="19" t="str">
        <x:v>A0GP</x:v>
      </x:c>
      <x:c r="M2" s="49" t="str">
        <x:v>否</x:v>
      </x:c>
      <x:c r="N2" s="49" t="n">
        <x:v>4</x:v>
      </x:c>
      <x:c r="O2" s="49" t="n">
        <x:v>1</x:v>
      </x:c>
      <x:c r="P2" s="49" t="n">
        <x:v>2</x:v>
      </x:c>
      <x:c r="Q2" s="19" t="str">
        <x:v>主动</x:v>
      </x:c>
      <x:c r="R2" s="19" t="str">
        <x:v>无目标或脚本目标</x:v>
      </x:c>
      <x:c r="S2" s="19" t="str">
        <x:v>伤害</x:v>
      </x:c>
      <x:c r="T2" s="19" t="str">
        <x:v>伤害、范围效果</x:v>
      </x:c>
      <x:c r="U2" s="48" t="str">
        <x:v>主动；无目标或脚本目标；主分类：伤害；标签：伤害、范围效果</x:v>
      </x:c>
      <x:c r="V2" s="48" t="str">
        <x:v>30/35/40/45</x:v>
      </x:c>
      <x:c r="W2" s="48" t="str">
        <x:v>3/3/3/3</x:v>
      </x:c>
      <x:c r="X2" s="48" t="str">
        <x:v>—/—/—/—</x:v>
      </x:c>
      <x:c r="Y2" s="48" t="str">
        <x:v>700/700/700/700</x:v>
      </x:c>
      <x:c r="Z2" s="48" t="str">
        <x:v>—/—/—/—</x:v>
      </x:c>
      <x:c r="AA2" s="48" t="str">
        <x:v>—/—/—/—</x:v>
      </x:c>
      <x:c r="AB2" s="48" t="str">
        <x:v>air,ground,enemy,organic/air,ground,enemy,organic/air,ground,enemy,organic/air,ground,enemy,organic</x:v>
      </x:c>
      <x:c r="AC2" s="48" t="str">
        <x:v>主动；无目标或脚本目标；主分类：伤害；标签：伤害、范围效果；等级：4；魔耗：30/35/40/45；冷却：3/3/3/3；施法距离：—/—/—/—；作用范围：700/700/700/700；持续时间：—/—/—/—。</x:v>
      </x:c>
      <x:c r="AD2" s="48" t="str">
        <x:v>650 / 30 / 10 / 1 / 20 / 2 / 40 / 3 / 60 / 4 / 80</x:v>
      </x:c>
      <x:c r="AE2" s="48" t="str">
        <x:v>A</x:v>
      </x:c>
      <x:c r="AF2" s="48" t="str">
        <x:v>6.48b 地图内 UnitAbilities/AbilityData/AbilityStrings 与对象修改表</x:v>
      </x:c>
      <x:c r="AG2" s="18" t="str">
        <x:v>S1</x:v>
      </x:c>
    </x:row>
    <x:row r="3" ht="48" customHeight="1">
      <x:c r="A3" s="19" t="str">
        <x:v>H008-2</x:v>
      </x:c>
      <x:c r="B3" s="19" t="str">
        <x:v>近卫军团</x:v>
      </x:c>
      <x:c r="C3" s="19" t="str">
        <x:v>光明酒馆</x:v>
      </x:c>
      <x:c r="D3" s="19" t="str">
        <x:v>刚背兽</x:v>
      </x:c>
      <x:c r="E3" s="19" t="str">
        <x:v>Bristleback</x:v>
      </x:c>
      <x:c r="F3" s="19" t="str">
        <x:v>H008</x:v>
      </x:c>
      <x:c r="G3" s="19" t="str">
        <x:v>Rigwarl</x:v>
      </x:c>
      <x:c r="H3" s="19" t="str">
        <x:v>STR</x:v>
      </x:c>
      <x:c r="I3" s="19" t="str">
        <x:v>近战</x:v>
      </x:c>
      <x:c r="J3" s="19" t="n">
        <x:v>2</x:v>
      </x:c>
      <x:c r="K3" s="19" t="str">
        <x:v>Bristleback</x:v>
      </x:c>
      <x:c r="L3" s="19" t="str">
        <x:v>A0M3</x:v>
      </x:c>
      <x:c r="M3" s="49" t="str">
        <x:v>否</x:v>
      </x:c>
      <x:c r="N3" s="49" t="n">
        <x:v>4</x:v>
      </x:c>
      <x:c r="O3" s="49" t="n">
        <x:v>1</x:v>
      </x:c>
      <x:c r="P3" s="49" t="n">
        <x:v>2</x:v>
      </x:c>
      <x:c r="Q3" s="19" t="str">
        <x:v>被动</x:v>
      </x:c>
      <x:c r="R3" s="19" t="str">
        <x:v>被动</x:v>
      </x:c>
      <x:c r="S3" s="19" t="str">
        <x:v>伤害</x:v>
      </x:c>
      <x:c r="T3" s="19" t="str">
        <x:v>伤害、被动触发</x:v>
      </x:c>
      <x:c r="U3" s="48" t="str">
        <x:v>被动；被动；主分类：伤害；标签：伤害、被动触发</x:v>
      </x:c>
      <x:c r="V3" s="48" t="str">
        <x:v>—/—/—/—</x:v>
      </x:c>
      <x:c r="W3" s="48" t="str">
        <x:v>—/—/—/—</x:v>
      </x:c>
      <x:c r="X3" s="48" t="str">
        <x:v>—/—/—/—</x:v>
      </x:c>
      <x:c r="Y3" s="48" t="str">
        <x:v>—/—/—/—</x:v>
      </x:c>
      <x:c r="Z3" s="48" t="str">
        <x:v>—/—/—/—</x:v>
      </x:c>
      <x:c r="AA3" s="48" t="str">
        <x:v>—/—/—/—</x:v>
      </x:c>
      <x:c r="AB3" s="48" t="str">
        <x:v>—/—/—/—</x:v>
      </x:c>
      <x:c r="AC3" s="48" t="str">
        <x:v>被动；被动；主分类：伤害；标签：伤害、被动触发；等级：4；魔耗：—/—/—/—；冷却：—/—/—/—；施法距离：—/—/—/—；作用范围：—/—/—/—；持续时间：—/—/—/—。</x:v>
      </x:c>
      <x:c r="AD3" s="48" t="str">
        <x:v>200 / 1 / 10% / 5% / 2 / 20% / 3 / 30% / 15% / 4 / 40%</x:v>
      </x:c>
      <x:c r="AE3" s="48" t="str">
        <x:v>A</x:v>
      </x:c>
      <x:c r="AF3" s="48" t="str">
        <x:v>6.48b 地图内 UnitAbilities/AbilityData/AbilityStrings 与对象修改表</x:v>
      </x:c>
      <x:c r="AG3" s="18" t="str">
        <x:v>S1</x:v>
      </x:c>
    </x:row>
    <x:row r="4" ht="48" customHeight="1">
      <x:c r="A4" s="19" t="str">
        <x:v>H008-3</x:v>
      </x:c>
      <x:c r="B4" s="19" t="str">
        <x:v>近卫军团</x:v>
      </x:c>
      <x:c r="C4" s="19" t="str">
        <x:v>光明酒馆</x:v>
      </x:c>
      <x:c r="D4" s="19" t="str">
        <x:v>刚背兽</x:v>
      </x:c>
      <x:c r="E4" s="19" t="str">
        <x:v>Bristleback</x:v>
      </x:c>
      <x:c r="F4" s="19" t="str">
        <x:v>H008</x:v>
      </x:c>
      <x:c r="G4" s="19" t="str">
        <x:v>Rigwarl</x:v>
      </x:c>
      <x:c r="H4" s="19" t="str">
        <x:v>STR</x:v>
      </x:c>
      <x:c r="I4" s="19" t="str">
        <x:v>近战</x:v>
      </x:c>
      <x:c r="J4" s="19" t="n">
        <x:v>3</x:v>
      </x:c>
      <x:c r="K4" s="19" t="str">
        <x:v>Warpath</x:v>
      </x:c>
      <x:c r="L4" s="19" t="str">
        <x:v>A0FV</x:v>
      </x:c>
      <x:c r="M4" s="49" t="str">
        <x:v>是</x:v>
      </x:c>
      <x:c r="N4" s="49" t="n">
        <x:v>3</x:v>
      </x:c>
      <x:c r="O4" s="49" t="n">
        <x:v>6</x:v>
      </x:c>
      <x:c r="P4" s="49" t="n">
        <x:v>5</x:v>
      </x:c>
      <x:c r="Q4" s="19" t="str">
        <x:v>被动/脚本触发</x:v>
      </x:c>
      <x:c r="R4" s="19" t="str">
        <x:v>被动</x:v>
      </x:c>
      <x:c r="S4" s="19" t="str">
        <x:v>软控</x:v>
      </x:c>
      <x:c r="T4" s="19" t="str">
        <x:v>软控、强化、被动触发</x:v>
      </x:c>
      <x:c r="U4" s="48" t="str">
        <x:v>被动/脚本触发；被动；主分类：软控；标签：软控、强化、被动触发</x:v>
      </x:c>
      <x:c r="V4" s="48" t="str">
        <x:v>—/—/—</x:v>
      </x:c>
      <x:c r="W4" s="48" t="str">
        <x:v>—/—/—</x:v>
      </x:c>
      <x:c r="X4" s="48" t="str">
        <x:v>—/—/—</x:v>
      </x:c>
      <x:c r="Y4" s="48" t="str">
        <x:v>—/—/—</x:v>
      </x:c>
      <x:c r="Z4" s="48" t="str">
        <x:v>—/—/—</x:v>
      </x:c>
      <x:c r="AA4" s="48" t="str">
        <x:v>—/—/—</x:v>
      </x:c>
      <x:c r="AB4" s="48" t="str">
        <x:v>—/—/—</x:v>
      </x:c>
      <x:c r="AC4" s="48" t="str">
        <x:v>被动/脚本触发；被动；主分类：软控；标签：软控、强化、被动触发；等级：3；魔耗：—/—/—；冷却：—/—/—；施法距离：—/—/—；作用范围：—/—/—；持续时间：—/—/—。</x:v>
      </x:c>
      <x:c r="AD4" s="48" t="str">
        <x:v>10 / 4 / 1 / 30% / 5% / 1% / 2 / 40% / 7% / 10% / 2% / 3 / 50% / 15% / 3%</x:v>
      </x:c>
      <x:c r="AE4" s="48" t="str">
        <x:v>A</x:v>
      </x:c>
      <x:c r="AF4" s="48" t="str">
        <x:v>6.48b 地图内 UnitAbilities/AbilityData/AbilityStrings 与对象修改表</x:v>
      </x:c>
      <x:c r="AG4" s="18" t="str">
        <x:v>S1</x:v>
      </x:c>
    </x:row>
    <x:row r="5" ht="48" customHeight="1">
      <x:c r="A5" s="19" t="str">
        <x:v>H008-4</x:v>
      </x:c>
      <x:c r="B5" s="19" t="str">
        <x:v>近卫军团</x:v>
      </x:c>
      <x:c r="C5" s="19" t="str">
        <x:v>光明酒馆</x:v>
      </x:c>
      <x:c r="D5" s="19" t="str">
        <x:v>刚背兽</x:v>
      </x:c>
      <x:c r="E5" s="19" t="str">
        <x:v>Bristleback</x:v>
      </x:c>
      <x:c r="F5" s="19" t="str">
        <x:v>H008</x:v>
      </x:c>
      <x:c r="G5" s="19" t="str">
        <x:v>Rigwarl</x:v>
      </x:c>
      <x:c r="H5" s="19" t="str">
        <x:v>STR</x:v>
      </x:c>
      <x:c r="I5" s="19" t="str">
        <x:v>近战</x:v>
      </x:c>
      <x:c r="J5" s="19" t="n">
        <x:v>4</x:v>
      </x:c>
      <x:c r="K5" s="19" t="str">
        <x:v>Viscous Nasal Goo</x:v>
      </x:c>
      <x:c r="L5" s="19" t="str">
        <x:v>A0FW</x:v>
      </x:c>
      <x:c r="M5" s="49" t="str">
        <x:v>否</x:v>
      </x:c>
      <x:c r="N5" s="49" t="n">
        <x:v>4</x:v>
      </x:c>
      <x:c r="O5" s="49" t="n">
        <x:v>1</x:v>
      </x:c>
      <x:c r="P5" s="49" t="n">
        <x:v>2</x:v>
      </x:c>
      <x:c r="Q5" s="19" t="str">
        <x:v>主动</x:v>
      </x:c>
      <x:c r="R5" s="19" t="str">
        <x:v>单位目标</x:v>
      </x:c>
      <x:c r="S5" s="19" t="str">
        <x:v>防御/生存</x:v>
      </x:c>
      <x:c r="T5" s="19" t="str">
        <x:v>软控、防御/生存、强化、削弱</x:v>
      </x:c>
      <x:c r="U5" s="48" t="str">
        <x:v>主动；单位目标；主分类：防御/生存；标签：软控、防御/生存、强化、削弱</x:v>
      </x:c>
      <x:c r="V5" s="48" t="str">
        <x:v>30/30/30/30</x:v>
      </x:c>
      <x:c r="W5" s="48" t="str">
        <x:v>1.5/1.5/1.5/1.5</x:v>
      </x:c>
      <x:c r="X5" s="48" t="str">
        <x:v>600/600/600/600</x:v>
      </x:c>
      <x:c r="Y5" s="48" t="str">
        <x:v>—/—/—/—</x:v>
      </x:c>
      <x:c r="Z5" s="48" t="str">
        <x:v>—/—/—/—</x:v>
      </x:c>
      <x:c r="AA5" s="48" t="str">
        <x:v>—/—/—/—</x:v>
      </x:c>
      <x:c r="AB5" s="48" t="str">
        <x:v>ground,air,enemy,neutral,organic/ground,air,enemy,neutral,organic/ground,air,enemy,neutral,organic/ground,air,enemy,neutral,organic</x:v>
      </x:c>
      <x:c r="AC5" s="48" t="str">
        <x:v>主动；单位目标；主分类：防御/生存；标签：软控、防御/生存、强化、削弱；等级：4；魔耗：30/30/30/30；冷却：1.5/1.5/1.5/1.5；施法距离：600/600/600/600；作用范围：—/—/—/—；持续时间：—/—/—/—。</x:v>
      </x:c>
      <x:c r="AD5" s="48" t="str">
        <x:v>5 / 1 / -1 / 20% / 3% / 2 / 6% / 3 / -2 / 9% / 4 / 12% / 1.5</x:v>
      </x:c>
      <x:c r="AE5" s="48" t="str">
        <x:v>A</x:v>
      </x:c>
      <x:c r="AF5" s="48" t="str">
        <x:v>6.48b 地图内 UnitAbilities/AbilityData/AbilityStrings 与对象修改表</x:v>
      </x:c>
      <x:c r="AG5" s="18" t="str">
        <x:v>S1</x:v>
      </x:c>
    </x:row>
    <x:row r="6" ht="48" customHeight="1">
      <x:c r="A6" s="19" t="str">
        <x:v>E005-1</x:v>
      </x:c>
      <x:c r="B6" s="19" t="str">
        <x:v>近卫军团</x:v>
      </x:c>
      <x:c r="C6" s="19" t="str">
        <x:v>光明酒馆</x:v>
      </x:c>
      <x:c r="D6" s="19" t="str">
        <x:v>月之骑士</x:v>
      </x:c>
      <x:c r="E6" s="19" t="str">
        <x:v>Moon Rider</x:v>
      </x:c>
      <x:c r="F6" s="19" t="str">
        <x:v>E005</x:v>
      </x:c>
      <x:c r="G6" s="19" t="str">
        <x:v>Luna Moonfang</x:v>
      </x:c>
      <x:c r="H6" s="19" t="str">
        <x:v>AGI</x:v>
      </x:c>
      <x:c r="I6" s="19" t="str">
        <x:v>远程</x:v>
      </x:c>
      <x:c r="J6" s="19" t="n">
        <x:v>1</x:v>
      </x:c>
      <x:c r="K6" s="19" t="str">
        <x:v>Moon Glaive</x:v>
      </x:c>
      <x:c r="L6" s="19" t="str">
        <x:v>A041</x:v>
      </x:c>
      <x:c r="M6" s="49" t="str">
        <x:v>否</x:v>
      </x:c>
      <x:c r="N6" s="49" t="n">
        <x:v>4</x:v>
      </x:c>
      <x:c r="O6" s="49" t="n">
        <x:v>1</x:v>
      </x:c>
      <x:c r="P6" s="49" t="n">
        <x:v>2</x:v>
      </x:c>
      <x:c r="Q6" s="19" t="str">
        <x:v>被动</x:v>
      </x:c>
      <x:c r="R6" s="19" t="str">
        <x:v>被动</x:v>
      </x:c>
      <x:c r="S6" s="19" t="str">
        <x:v>伤害</x:v>
      </x:c>
      <x:c r="T6" s="19" t="str">
        <x:v>伤害、被动触发</x:v>
      </x:c>
      <x:c r="U6" s="48" t="str">
        <x:v>被动；被动；主分类：伤害；标签：伤害、被动触发</x:v>
      </x:c>
      <x:c r="V6" s="48" t="str">
        <x:v>—/—/—/—</x:v>
      </x:c>
      <x:c r="W6" s="48" t="str">
        <x:v>—/—/—/—</x:v>
      </x:c>
      <x:c r="X6" s="48" t="str">
        <x:v>—/—/—/—</x:v>
      </x:c>
      <x:c r="Y6" s="48" t="str">
        <x:v>—/—/—/—</x:v>
      </x:c>
      <x:c r="Z6" s="48" t="str">
        <x:v>—/—/—/—</x:v>
      </x:c>
      <x:c r="AA6" s="48" t="str">
        <x:v>—/—/—/—</x:v>
      </x:c>
      <x:c r="AB6" s="48" t="str">
        <x:v>—/—/—/—</x:v>
      </x:c>
      <x:c r="AC6" s="48" t="str">
        <x:v>被动；被动；主分类：伤害；标签：伤害、被动触发；等级：4；魔耗：—/—/—/—；冷却：—/—/—/—；施法距离：—/—/—/—；作用范围：—/—/—/—；持续时间：—/—/—/—。</x:v>
      </x:c>
      <x:c r="AD6" s="48" t="str">
        <x:v>35% / 1 / 2 / 3 / 4 / 5</x:v>
      </x:c>
      <x:c r="AE6" s="48" t="str">
        <x:v>A</x:v>
      </x:c>
      <x:c r="AF6" s="48" t="str">
        <x:v>6.48b 地图内 UnitAbilities/AbilityData/AbilityStrings 与对象修改表</x:v>
      </x:c>
      <x:c r="AG6" s="18" t="str">
        <x:v>S1</x:v>
      </x:c>
    </x:row>
    <x:row r="7" ht="48" customHeight="1">
      <x:c r="A7" s="19" t="str">
        <x:v>E005-2</x:v>
      </x:c>
      <x:c r="B7" s="19" t="str">
        <x:v>近卫军团</x:v>
      </x:c>
      <x:c r="C7" s="19" t="str">
        <x:v>光明酒馆</x:v>
      </x:c>
      <x:c r="D7" s="19" t="str">
        <x:v>月之骑士</x:v>
      </x:c>
      <x:c r="E7" s="19" t="str">
        <x:v>Moon Rider</x:v>
      </x:c>
      <x:c r="F7" s="19" t="str">
        <x:v>E005</x:v>
      </x:c>
      <x:c r="G7" s="19" t="str">
        <x:v>Luna Moonfang</x:v>
      </x:c>
      <x:c r="H7" s="19" t="str">
        <x:v>AGI</x:v>
      </x:c>
      <x:c r="I7" s="19" t="str">
        <x:v>远程</x:v>
      </x:c>
      <x:c r="J7" s="19" t="n">
        <x:v>2</x:v>
      </x:c>
      <x:c r="K7" s="19" t="str">
        <x:v>Lunar Blessing</x:v>
      </x:c>
      <x:c r="L7" s="19" t="str">
        <x:v>A062</x:v>
      </x:c>
      <x:c r="M7" s="49" t="str">
        <x:v>否</x:v>
      </x:c>
      <x:c r="N7" s="49" t="n">
        <x:v>4</x:v>
      </x:c>
      <x:c r="O7" s="49" t="n">
        <x:v>1</x:v>
      </x:c>
      <x:c r="P7" s="49" t="n">
        <x:v>2</x:v>
      </x:c>
      <x:c r="Q7" s="19" t="str">
        <x:v>被动</x:v>
      </x:c>
      <x:c r="R7" s="19" t="str">
        <x:v>被动</x:v>
      </x:c>
      <x:c r="S7" s="19" t="str">
        <x:v>强化</x:v>
      </x:c>
      <x:c r="T7" s="19" t="str">
        <x:v>伤害、强化、光环、范围效果、被动触发</x:v>
      </x:c>
      <x:c r="U7" s="48" t="str">
        <x:v>被动；被动；主分类：强化；标签：伤害、强化、光环、范围效果、被动触发</x:v>
      </x:c>
      <x:c r="V7" s="48" t="str">
        <x:v>—/—/—/—</x:v>
      </x:c>
      <x:c r="W7" s="48" t="str">
        <x:v>—/—/—/—</x:v>
      </x:c>
      <x:c r="X7" s="48" t="str">
        <x:v>—/—/—/—</x:v>
      </x:c>
      <x:c r="Y7" s="48" t="str">
        <x:v>300/300/300/300</x:v>
      </x:c>
      <x:c r="Z7" s="48" t="str">
        <x:v>—/—/—/—</x:v>
      </x:c>
      <x:c r="AA7" s="48" t="str">
        <x:v>—/—/—/—</x:v>
      </x:c>
      <x:c r="AB7" s="48" t="str">
        <x:v>air,ground,friend,self,vuln,invu/air,ground,friend,self,vuln,invu/air,ground,friend,self,vuln,invu/air,ground,friend,self,vuln,invu</x:v>
      </x:c>
      <x:c r="AC7" s="48" t="str">
        <x:v>被动；被动；主分类：强化；标签：伤害、强化、光环、范围效果、被动触发；等级：4；魔耗：—/—/—/—；冷却：—/—/—/—；施法距离：—/—/—/—；作用范围：300/300/300/300；持续时间：—/—/—/—。</x:v>
      </x:c>
      <x:c r="AD7" s="48" t="str">
        <x:v>1 / 6% / 2 / 13% / 3 / 20% / 4 / 27%</x:v>
      </x:c>
      <x:c r="AE7" s="48" t="str">
        <x:v>A</x:v>
      </x:c>
      <x:c r="AF7" s="48" t="str">
        <x:v>6.48b 地图内 UnitAbilities/AbilityData/AbilityStrings 与对象修改表</x:v>
      </x:c>
      <x:c r="AG7" s="18" t="str">
        <x:v>S1</x:v>
      </x:c>
    </x:row>
    <x:row r="8" ht="48" customHeight="1">
      <x:c r="A8" s="19" t="str">
        <x:v>E005-3</x:v>
      </x:c>
      <x:c r="B8" s="19" t="str">
        <x:v>近卫军团</x:v>
      </x:c>
      <x:c r="C8" s="19" t="str">
        <x:v>光明酒馆</x:v>
      </x:c>
      <x:c r="D8" s="19" t="str">
        <x:v>月之骑士</x:v>
      </x:c>
      <x:c r="E8" s="19" t="str">
        <x:v>Moon Rider</x:v>
      </x:c>
      <x:c r="F8" s="19" t="str">
        <x:v>E005</x:v>
      </x:c>
      <x:c r="G8" s="19" t="str">
        <x:v>Luna Moonfang</x:v>
      </x:c>
      <x:c r="H8" s="19" t="str">
        <x:v>AGI</x:v>
      </x:c>
      <x:c r="I8" s="19" t="str">
        <x:v>远程</x:v>
      </x:c>
      <x:c r="J8" s="19" t="n">
        <x:v>3</x:v>
      </x:c>
      <x:c r="K8" s="19" t="str">
        <x:v>Eclipse</x:v>
      </x:c>
      <x:c r="L8" s="19" t="str">
        <x:v>A054</x:v>
      </x:c>
      <x:c r="M8" s="49" t="str">
        <x:v>是</x:v>
      </x:c>
      <x:c r="N8" s="49" t="n">
        <x:v>3</x:v>
      </x:c>
      <x:c r="O8" s="49" t="n">
        <x:v>6</x:v>
      </x:c>
      <x:c r="P8" s="49" t="n">
        <x:v>5</x:v>
      </x:c>
      <x:c r="Q8" s="19" t="str">
        <x:v>主动</x:v>
      </x:c>
      <x:c r="R8" s="19" t="str">
        <x:v>无目标或脚本目标</x:v>
      </x:c>
      <x:c r="S8" s="19" t="str">
        <x:v>召唤</x:v>
      </x:c>
      <x:c r="T8" s="19" t="str">
        <x:v>伤害、召唤</x:v>
      </x:c>
      <x:c r="U8" s="48" t="str">
        <x:v>主动；无目标或脚本目标；主分类：召唤；标签：伤害、召唤</x:v>
      </x:c>
      <x:c r="V8" s="48" t="str">
        <x:v>250/350/450</x:v>
      </x:c>
      <x:c r="W8" s="48" t="str">
        <x:v>140/120/100</x:v>
      </x:c>
      <x:c r="X8" s="48" t="str">
        <x:v>500/500/500</x:v>
      </x:c>
      <x:c r="Y8" s="48" t="str">
        <x:v>—/—/—</x:v>
      </x:c>
      <x:c r="Z8" s="48" t="str">
        <x:v>—/—/—</x:v>
      </x:c>
      <x:c r="AA8" s="48" t="str">
        <x:v>—/—/—</x:v>
      </x:c>
      <x:c r="AB8" s="48" t="str">
        <x:v>—/—/—</x:v>
      </x:c>
      <x:c r="AC8" s="48" t="str">
        <x:v>主动；无目标或脚本目标；主分类：召唤；标签：伤害、召唤；等级：3；魔耗：250/350/450；冷却：140/120/100；施法距离：500/500/500；作用范围：—/—/—；持续时间：—/—/—。</x:v>
      </x:c>
      <x:c r="AD8" s="48" t="str">
        <x:v>300 / 1 / 4 / 2 / 7 / 3 / 10 / 140 / 120 / 100</x:v>
      </x:c>
      <x:c r="AE8" s="48" t="str">
        <x:v>A</x:v>
      </x:c>
      <x:c r="AF8" s="48" t="str">
        <x:v>6.48b 地图内 UnitAbilities/AbilityData/AbilityStrings 与对象修改表</x:v>
      </x:c>
      <x:c r="AG8" s="18" t="str">
        <x:v>S1</x:v>
      </x:c>
    </x:row>
    <x:row r="9" ht="48" customHeight="1">
      <x:c r="A9" s="19" t="str">
        <x:v>E005-4</x:v>
      </x:c>
      <x:c r="B9" s="19" t="str">
        <x:v>近卫军团</x:v>
      </x:c>
      <x:c r="C9" s="19" t="str">
        <x:v>光明酒馆</x:v>
      </x:c>
      <x:c r="D9" s="19" t="str">
        <x:v>月之骑士</x:v>
      </x:c>
      <x:c r="E9" s="19" t="str">
        <x:v>Moon Rider</x:v>
      </x:c>
      <x:c r="F9" s="19" t="str">
        <x:v>E005</x:v>
      </x:c>
      <x:c r="G9" s="19" t="str">
        <x:v>Luna Moonfang</x:v>
      </x:c>
      <x:c r="H9" s="19" t="str">
        <x:v>AGI</x:v>
      </x:c>
      <x:c r="I9" s="19" t="str">
        <x:v>远程</x:v>
      </x:c>
      <x:c r="J9" s="19" t="n">
        <x:v>4</x:v>
      </x:c>
      <x:c r="K9" s="19" t="str">
        <x:v>Lucent Beam</x:v>
      </x:c>
      <x:c r="L9" s="19" t="str">
        <x:v>A042</x:v>
      </x:c>
      <x:c r="M9" s="49" t="str">
        <x:v>否</x:v>
      </x:c>
      <x:c r="N9" s="49" t="n">
        <x:v>4</x:v>
      </x:c>
      <x:c r="O9" s="49" t="n">
        <x:v>1</x:v>
      </x:c>
      <x:c r="P9" s="49" t="n">
        <x:v>2</x:v>
      </x:c>
      <x:c r="Q9" s="19" t="str">
        <x:v>主动</x:v>
      </x:c>
      <x:c r="R9" s="19" t="str">
        <x:v>无目标或脚本目标</x:v>
      </x:c>
      <x:c r="S9" s="19" t="str">
        <x:v>伤害</x:v>
      </x:c>
      <x:c r="T9" s="19" t="str">
        <x:v>伤害、持续施法</x:v>
      </x:c>
      <x:c r="U9" s="48" t="str">
        <x:v>主动；无目标或脚本目标；主分类：伤害；标签：伤害、持续施法</x:v>
      </x:c>
      <x:c r="V9" s="48" t="str">
        <x:v>95/110/125/140</x:v>
      </x:c>
      <x:c r="W9" s="48" t="str">
        <x:v>6/6/6/6</x:v>
      </x:c>
      <x:c r="X9" s="48" t="str">
        <x:v>600/600/600/600</x:v>
      </x:c>
      <x:c r="Y9" s="48" t="str">
        <x:v>—/—/—/—</x:v>
      </x:c>
      <x:c r="Z9" s="48" t="str">
        <x:v>0.01/0.01/0.01/0.01</x:v>
      </x:c>
      <x:c r="AA9" s="48" t="str">
        <x:v>0.01/0.01/0.01/0.01</x:v>
      </x:c>
      <x:c r="AB9" s="48" t="str">
        <x:v>air,enemies,ground,nonancient,organic,vulnerable/air,enemies,ground,nonancient,organic,vulnerable/air,enemies,ground,nonancient,organic,vulnerable/air,enemies,ground,nonancient,organic,vulnerable</x:v>
      </x:c>
      <x:c r="AC9" s="48" t="str">
        <x:v>主动；无目标或脚本目标；主分类：伤害；标签：伤害、持续施法；等级：4；魔耗：95/110/125/140；冷却：6/6/6/6；施法距离：600/600/600/600；作用范围：—/—/—/—；持续时间：0.01/0.01/0.01/0.01。</x:v>
      </x:c>
      <x:c r="AD9" s="48" t="str">
        <x:v>1 / 75 / 2 / 150 / 3 / 225 / 4 / 300 / 6</x:v>
      </x:c>
      <x:c r="AE9" s="48" t="str">
        <x:v>A</x:v>
      </x:c>
      <x:c r="AF9" s="48" t="str">
        <x:v>6.48b 地图内 UnitAbilities/AbilityData/AbilityStrings 与对象修改表</x:v>
      </x:c>
      <x:c r="AG9" s="18" t="str">
        <x:v>S1</x:v>
      </x:c>
    </x:row>
    <x:row r="10" ht="48" customHeight="1">
      <x:c r="A10" s="19" t="str">
        <x:v>Npbm-1</x:v>
      </x:c>
      <x:c r="B10" s="19" t="str">
        <x:v>近卫军团</x:v>
      </x:c>
      <x:c r="C10" s="19" t="str">
        <x:v>光明酒馆</x:v>
      </x:c>
      <x:c r="D10" s="19" t="str">
        <x:v>熊猫酒仙</x:v>
      </x:c>
      <x:c r="E10" s="19" t="str">
        <x:v>Pandaren Brewmaster</x:v>
      </x:c>
      <x:c r="F10" s="19" t="str">
        <x:v>Npbm</x:v>
      </x:c>
      <x:c r="G10" s="19" t="str">
        <x:v>Mangix</x:v>
      </x:c>
      <x:c r="H10" s="19" t="str">
        <x:v>STR</x:v>
      </x:c>
      <x:c r="I10" s="19" t="str">
        <x:v>近战</x:v>
      </x:c>
      <x:c r="J10" s="19" t="n">
        <x:v>1</x:v>
      </x:c>
      <x:c r="K10" s="19" t="str">
        <x:v>Thunder Clap</x:v>
      </x:c>
      <x:c r="L10" s="19" t="str">
        <x:v>A06M</x:v>
      </x:c>
      <x:c r="M10" s="49" t="str">
        <x:v>否</x:v>
      </x:c>
      <x:c r="N10" s="49" t="n">
        <x:v>4</x:v>
      </x:c>
      <x:c r="O10" s="49" t="n">
        <x:v>1</x:v>
      </x:c>
      <x:c r="P10" s="49" t="n">
        <x:v>2</x:v>
      </x:c>
      <x:c r="Q10" s="19" t="str">
        <x:v>主动</x:v>
      </x:c>
      <x:c r="R10" s="19" t="str">
        <x:v>无目标/范围</x:v>
      </x:c>
      <x:c r="S10" s="19" t="str">
        <x:v>软控</x:v>
      </x:c>
      <x:c r="T10" s="19" t="str">
        <x:v>伤害、软控、强化、范围效果</x:v>
      </x:c>
      <x:c r="U10" s="48" t="str">
        <x:v>主动；无目标/范围；主分类：软控；标签：伤害、软控、强化、范围效果</x:v>
      </x:c>
      <x:c r="V10" s="48" t="str">
        <x:v>90/105/130/150</x:v>
      </x:c>
      <x:c r="W10" s="48" t="str">
        <x:v>12/12/12/12</x:v>
      </x:c>
      <x:c r="X10" s="48" t="str">
        <x:v>—/—/—/—</x:v>
      </x:c>
      <x:c r="Y10" s="48" t="str">
        <x:v>250/300/350/400</x:v>
      </x:c>
      <x:c r="Z10" s="48" t="str">
        <x:v>8/8/8/8</x:v>
      </x:c>
      <x:c r="AA10" s="48" t="str">
        <x:v>4.25/4.25/4.25/4.25</x:v>
      </x:c>
      <x:c r="AB10" s="48" t="str">
        <x:v>ground,neutral,organic/ground,neutral,organic/ground,neutral,organic/ground,neutral,organic</x:v>
      </x:c>
      <x:c r="AC10" s="48" t="str">
        <x:v>主动；无目标/范围；主分类：软控；标签：伤害、软控、强化、范围效果；等级：4；魔耗：90/105/130/150；冷却：12/12/12/12；施法距离：—/—/—/—；作用范围：250/300/350/400；持续时间：8/8/8/8。</x:v>
      </x:c>
      <x:c r="AD10" s="48" t="str">
        <x:v>1 / 100 / 25% / 2 / 175 / 35% / 3 / 250 / 45% / 4 / 300 / 55% / 12</x:v>
      </x:c>
      <x:c r="AE10" s="48" t="str">
        <x:v>A</x:v>
      </x:c>
      <x:c r="AF10" s="48" t="str">
        <x:v>6.48b 地图内 UnitAbilities/AbilityData/AbilityStrings 与对象修改表</x:v>
      </x:c>
      <x:c r="AG10" s="18" t="str">
        <x:v>S1</x:v>
      </x:c>
    </x:row>
    <x:row r="11" ht="48" customHeight="1">
      <x:c r="A11" s="19" t="str">
        <x:v>Npbm-2</x:v>
      </x:c>
      <x:c r="B11" s="19" t="str">
        <x:v>近卫军团</x:v>
      </x:c>
      <x:c r="C11" s="19" t="str">
        <x:v>光明酒馆</x:v>
      </x:c>
      <x:c r="D11" s="19" t="str">
        <x:v>熊猫酒仙</x:v>
      </x:c>
      <x:c r="E11" s="19" t="str">
        <x:v>Pandaren Brewmaster</x:v>
      </x:c>
      <x:c r="F11" s="19" t="str">
        <x:v>Npbm</x:v>
      </x:c>
      <x:c r="G11" s="19" t="str">
        <x:v>Mangix</x:v>
      </x:c>
      <x:c r="H11" s="19" t="str">
        <x:v>STR</x:v>
      </x:c>
      <x:c r="I11" s="19" t="str">
        <x:v>近战</x:v>
      </x:c>
      <x:c r="J11" s="19" t="n">
        <x:v>2</x:v>
      </x:c>
      <x:c r="K11" s="19" t="str">
        <x:v>Drunken Haze</x:v>
      </x:c>
      <x:c r="L11" s="19" t="str">
        <x:v>Acdh</x:v>
      </x:c>
      <x:c r="M11" s="49" t="str">
        <x:v>否</x:v>
      </x:c>
      <x:c r="N11" s="49" t="n">
        <x:v>4</x:v>
      </x:c>
      <x:c r="O11" s="49" t="n">
        <x:v>1</x:v>
      </x:c>
      <x:c r="P11" s="49" t="n">
        <x:v>2</x:v>
      </x:c>
      <x:c r="Q11" s="19" t="str">
        <x:v>主动</x:v>
      </x:c>
      <x:c r="R11" s="19" t="str">
        <x:v>无目标或脚本目标</x:v>
      </x:c>
      <x:c r="S11" s="19" t="str">
        <x:v>软控</x:v>
      </x:c>
      <x:c r="T11" s="19" t="str">
        <x:v>软控、强化</x:v>
      </x:c>
      <x:c r="U11" s="48" t="str">
        <x:v>主动；无目标或脚本目标；主分类：软控；标签：软控、强化</x:v>
      </x:c>
      <x:c r="V11" s="48" t="str">
        <x:v>50/50/50/75</x:v>
      </x:c>
      <x:c r="W11" s="48" t="str">
        <x:v>12/12/12/12</x:v>
      </x:c>
      <x:c r="X11" s="48" t="str">
        <x:v>650/650/650/650</x:v>
      </x:c>
      <x:c r="Y11" s="48" t="str">
        <x:v>10/10/10/10</x:v>
      </x:c>
      <x:c r="Z11" s="48" t="str">
        <x:v>12/12/12/12</x:v>
      </x:c>
      <x:c r="AA11" s="48" t="str">
        <x:v>7/7/7/7</x:v>
      </x:c>
      <x:c r="AB11" s="48" t="str">
        <x:v>air,ground,enemy,organic,neutral/air,ground,enemy,organic,neutral/air,ground,enemy,organic,neutral/air,ground,enemy,organic,neutral</x:v>
      </x:c>
      <x:c r="AC11" s="48" t="str">
        <x:v>主动；无目标或脚本目标；主分类：软控；标签：软控、强化；等级：4；魔耗：50/50/50/75；冷却：12/12/12/12；施法距离：650/650/650/650；作用范围：10/10/10/10；持续时间：12/12/12/12。</x:v>
      </x:c>
      <x:c r="AD11" s="48" t="str">
        <x:v>7 / 1 / 10% / 45% / 2 / 12% / 55% / 3 / 15% / 65% / 4 / 17% / 75% / 12</x:v>
      </x:c>
      <x:c r="AE11" s="48" t="str">
        <x:v>A</x:v>
      </x:c>
      <x:c r="AF11" s="48" t="str">
        <x:v>6.48b 地图内 UnitAbilities/AbilityData/AbilityStrings 与对象修改表</x:v>
      </x:c>
      <x:c r="AG11" s="18" t="str">
        <x:v>S1</x:v>
      </x:c>
    </x:row>
    <x:row r="12" ht="48" customHeight="1">
      <x:c r="A12" s="19" t="str">
        <x:v>Npbm-3</x:v>
      </x:c>
      <x:c r="B12" s="19" t="str">
        <x:v>近卫军团</x:v>
      </x:c>
      <x:c r="C12" s="19" t="str">
        <x:v>光明酒馆</x:v>
      </x:c>
      <x:c r="D12" s="19" t="str">
        <x:v>熊猫酒仙</x:v>
      </x:c>
      <x:c r="E12" s="19" t="str">
        <x:v>Pandaren Brewmaster</x:v>
      </x:c>
      <x:c r="F12" s="19" t="str">
        <x:v>Npbm</x:v>
      </x:c>
      <x:c r="G12" s="19" t="str">
        <x:v>Mangix</x:v>
      </x:c>
      <x:c r="H12" s="19" t="str">
        <x:v>STR</x:v>
      </x:c>
      <x:c r="I12" s="19" t="str">
        <x:v>近战</x:v>
      </x:c>
      <x:c r="J12" s="19" t="n">
        <x:v>3</x:v>
      </x:c>
      <x:c r="K12" s="19" t="str">
        <x:v>Drunken Brawler</x:v>
      </x:c>
      <x:c r="L12" s="19" t="str">
        <x:v>A0MX</x:v>
      </x:c>
      <x:c r="M12" s="49" t="str">
        <x:v>否</x:v>
      </x:c>
      <x:c r="N12" s="49" t="n">
        <x:v>4</x:v>
      </x:c>
      <x:c r="O12" s="49" t="n">
        <x:v>1</x:v>
      </x:c>
      <x:c r="P12" s="49" t="n">
        <x:v>2</x:v>
      </x:c>
      <x:c r="Q12" s="19" t="str">
        <x:v>被动</x:v>
      </x:c>
      <x:c r="R12" s="19" t="str">
        <x:v>被动</x:v>
      </x:c>
      <x:c r="S12" s="19" t="str">
        <x:v>伤害</x:v>
      </x:c>
      <x:c r="T12" s="19" t="str">
        <x:v>伤害、被动触发</x:v>
      </x:c>
      <x:c r="U12" s="48" t="str">
        <x:v>被动；被动；主分类：伤害；标签：伤害、被动触发</x:v>
      </x:c>
      <x:c r="V12" s="48" t="str">
        <x:v>—/—/—/—</x:v>
      </x:c>
      <x:c r="W12" s="48" t="str">
        <x:v>—/—/—/—</x:v>
      </x:c>
      <x:c r="X12" s="48" t="str">
        <x:v>—/—/—/—</x:v>
      </x:c>
      <x:c r="Y12" s="48" t="str">
        <x:v>—/—/—/—</x:v>
      </x:c>
      <x:c r="Z12" s="48" t="str">
        <x:v>—/—/—/—</x:v>
      </x:c>
      <x:c r="AA12" s="48" t="str">
        <x:v>—/—/—/—</x:v>
      </x:c>
      <x:c r="AB12" s="48" t="str">
        <x:v>organic/organic/organic/organic</x:v>
      </x:c>
      <x:c r="AC12" s="48" t="str">
        <x:v>被动；被动；主分类：伤害；标签：伤害、被动触发；等级：4；魔耗：—/—/—/—；冷却：—/—/—/—；施法距离：—/—/—/—；作用范围：—/—/—/—；持续时间：—/—/—/—。</x:v>
      </x:c>
      <x:c r="AD12" s="48" t="str">
        <x:v>1.8 / 1 / 6% / 5% / 2 / 12% / 10% / 3 / 18% / 15% / 4 / 24% / 20%</x:v>
      </x:c>
      <x:c r="AE12" s="48" t="str">
        <x:v>A</x:v>
      </x:c>
      <x:c r="AF12" s="48" t="str">
        <x:v>6.48b 地图内 UnitAbilities/AbilityData/AbilityStrings 与对象修改表</x:v>
      </x:c>
      <x:c r="AG12" s="18" t="str">
        <x:v>S1</x:v>
      </x:c>
    </x:row>
    <x:row r="13" ht="48" customHeight="1">
      <x:c r="A13" s="19" t="str">
        <x:v>Npbm-4</x:v>
      </x:c>
      <x:c r="B13" s="19" t="str">
        <x:v>近卫军团</x:v>
      </x:c>
      <x:c r="C13" s="19" t="str">
        <x:v>光明酒馆</x:v>
      </x:c>
      <x:c r="D13" s="19" t="str">
        <x:v>熊猫酒仙</x:v>
      </x:c>
      <x:c r="E13" s="19" t="str">
        <x:v>Pandaren Brewmaster</x:v>
      </x:c>
      <x:c r="F13" s="19" t="str">
        <x:v>Npbm</x:v>
      </x:c>
      <x:c r="G13" s="19" t="str">
        <x:v>Mangix</x:v>
      </x:c>
      <x:c r="H13" s="19" t="str">
        <x:v>STR</x:v>
      </x:c>
      <x:c r="I13" s="19" t="str">
        <x:v>近战</x:v>
      </x:c>
      <x:c r="J13" s="19" t="n">
        <x:v>4</x:v>
      </x:c>
      <x:c r="K13" s="19" t="str">
        <x:v>Primal Split, Earth, And Fire</x:v>
      </x:c>
      <x:c r="L13" s="19" t="str">
        <x:v>A0MQ</x:v>
      </x:c>
      <x:c r="M13" s="49" t="str">
        <x:v>是</x:v>
      </x:c>
      <x:c r="N13" s="49" t="n">
        <x:v>3</x:v>
      </x:c>
      <x:c r="O13" s="49" t="n">
        <x:v>6</x:v>
      </x:c>
      <x:c r="P13" s="49" t="n">
        <x:v>5</x:v>
      </x:c>
      <x:c r="Q13" s="19" t="str">
        <x:v>主动</x:v>
      </x:c>
      <x:c r="R13" s="19" t="str">
        <x:v>无目标或脚本目标</x:v>
      </x:c>
      <x:c r="S13" s="19" t="str">
        <x:v>召唤</x:v>
      </x:c>
      <x:c r="T13" s="19" t="str">
        <x:v>召唤</x:v>
      </x:c>
      <x:c r="U13" s="48" t="str">
        <x:v>主动；无目标或脚本目标；主分类：召唤；标签：召唤</x:v>
      </x:c>
      <x:c r="V13" s="48" t="str">
        <x:v>125/175/225</x:v>
      </x:c>
      <x:c r="W13" s="48" t="str">
        <x:v>180/180/180</x:v>
      </x:c>
      <x:c r="X13" s="48" t="str">
        <x:v>—/—/—</x:v>
      </x:c>
      <x:c r="Y13" s="48" t="str">
        <x:v>128/128/128</x:v>
      </x:c>
      <x:c r="Z13" s="48" t="str">
        <x:v>15/17/19</x:v>
      </x:c>
      <x:c r="AA13" s="48" t="str">
        <x:v>15/17/19</x:v>
      </x:c>
      <x:c r="AB13" s="48" t="str">
        <x:v>—/—/—</x:v>
      </x:c>
      <x:c r="AC13" s="48" t="str">
        <x:v>主动；无目标或脚本目标；主分类：召唤；标签：召唤；等级：3；魔耗：125/175/225；冷却：180/180/180；施法距离：—/—/—；作用范围：128/128/128；持续时间：15/17/19。</x:v>
      </x:c>
      <x:c r="AD13" s="48" t="str">
        <x:v>3 / 1 / 15 / 2 / 17 / 19 / 180</x:v>
      </x:c>
      <x:c r="AE13" s="48" t="str">
        <x:v>A</x:v>
      </x:c>
      <x:c r="AF13" s="48" t="str">
        <x:v>6.48b 地图内 UnitAbilities/AbilityData/AbilityStrings 与对象修改表</x:v>
      </x:c>
      <x:c r="AG13" s="18" t="str">
        <x:v>S1</x:v>
      </x:c>
    </x:row>
    <x:row r="14" ht="48" customHeight="1">
      <x:c r="A14" s="19" t="str">
        <x:v>H000-1</x:v>
      </x:c>
      <x:c r="B14" s="19" t="str">
        <x:v>近卫军团</x:v>
      </x:c>
      <x:c r="C14" s="19" t="str">
        <x:v>光明酒馆</x:v>
      </x:c>
      <x:c r="D14" s="19" t="str">
        <x:v>半人马酋长</x:v>
      </x:c>
      <x:c r="E14" s="19" t="str">
        <x:v>Centaur Warchief</x:v>
      </x:c>
      <x:c r="F14" s="19" t="str">
        <x:v>H000</x:v>
      </x:c>
      <x:c r="G14" s="19" t="str">
        <x:v>Bradwarden</x:v>
      </x:c>
      <x:c r="H14" s="19" t="str">
        <x:v>STR</x:v>
      </x:c>
      <x:c r="I14" s="19" t="str">
        <x:v>近战</x:v>
      </x:c>
      <x:c r="J14" s="19" t="n">
        <x:v>1</x:v>
      </x:c>
      <x:c r="K14" s="19" t="str">
        <x:v>Hoof Stomp</x:v>
      </x:c>
      <x:c r="L14" s="19" t="str">
        <x:v>A00S</x:v>
      </x:c>
      <x:c r="M14" s="49" t="str">
        <x:v>否</x:v>
      </x:c>
      <x:c r="N14" s="49" t="n">
        <x:v>4</x:v>
      </x:c>
      <x:c r="O14" s="49" t="n">
        <x:v>1</x:v>
      </x:c>
      <x:c r="P14" s="49" t="n">
        <x:v>2</x:v>
      </x:c>
      <x:c r="Q14" s="19" t="str">
        <x:v>主动</x:v>
      </x:c>
      <x:c r="R14" s="19" t="str">
        <x:v>无目标/范围</x:v>
      </x:c>
      <x:c r="S14" s="19" t="str">
        <x:v>硬控</x:v>
      </x:c>
      <x:c r="T14" s="19" t="str">
        <x:v>伤害、硬控、范围效果</x:v>
      </x:c>
      <x:c r="U14" s="48" t="str">
        <x:v>主动；无目标/范围；主分类：硬控；标签：伤害、硬控、范围效果</x:v>
      </x:c>
      <x:c r="V14" s="48" t="str">
        <x:v>85/100/115/130</x:v>
      </x:c>
      <x:c r="W14" s="48" t="str">
        <x:v>15/15/15/15</x:v>
      </x:c>
      <x:c r="X14" s="48" t="str">
        <x:v>—/—/—/—</x:v>
      </x:c>
      <x:c r="Y14" s="48" t="str">
        <x:v>315/315/315/315</x:v>
      </x:c>
      <x:c r="Z14" s="48" t="str">
        <x:v>1.25/1.75/2.25/2.75</x:v>
      </x:c>
      <x:c r="AA14" s="48" t="str">
        <x:v>1.25/1.75/2.25/2.75</x:v>
      </x:c>
      <x:c r="AB14" s="48" t="str">
        <x:v>ground,organic/ground,organic/ground,organic/ground,organic</x:v>
      </x:c>
      <x:c r="AC14" s="48" t="str">
        <x:v>主动；无目标/范围；主分类：硬控；标签：伤害、硬控、范围效果；等级：4；魔耗：85/100/115/130；冷却：15/15/15/15；施法距离：—/—/—/—；作用范围：315/315/315/315；持续时间：1.25/1.75/2.25/2.75。</x:v>
      </x:c>
      <x:c r="AD14" s="48" t="str">
        <x:v>1 / 100 / 1.25 / 2 / 150 / 1.75 / 3 / 200 / 2.25 / 4 / 250 / 2.75 / 15</x:v>
      </x:c>
      <x:c r="AE14" s="48" t="str">
        <x:v>A</x:v>
      </x:c>
      <x:c r="AF14" s="48" t="str">
        <x:v>6.48b 地图内 UnitAbilities/AbilityData/AbilityStrings 与对象修改表</x:v>
      </x:c>
      <x:c r="AG14" s="18" t="str">
        <x:v>S1</x:v>
      </x:c>
    </x:row>
    <x:row r="15" ht="48" customHeight="1">
      <x:c r="A15" s="19" t="str">
        <x:v>H000-2</x:v>
      </x:c>
      <x:c r="B15" s="19" t="str">
        <x:v>近卫军团</x:v>
      </x:c>
      <x:c r="C15" s="19" t="str">
        <x:v>光明酒馆</x:v>
      </x:c>
      <x:c r="D15" s="19" t="str">
        <x:v>半人马酋长</x:v>
      </x:c>
      <x:c r="E15" s="19" t="str">
        <x:v>Centaur Warchief</x:v>
      </x:c>
      <x:c r="F15" s="19" t="str">
        <x:v>H000</x:v>
      </x:c>
      <x:c r="G15" s="19" t="str">
        <x:v>Bradwarden</x:v>
      </x:c>
      <x:c r="H15" s="19" t="str">
        <x:v>STR</x:v>
      </x:c>
      <x:c r="I15" s="19" t="str">
        <x:v>近战</x:v>
      </x:c>
      <x:c r="J15" s="19" t="n">
        <x:v>2</x:v>
      </x:c>
      <x:c r="K15" s="19" t="str">
        <x:v>Double Edge</x:v>
      </x:c>
      <x:c r="L15" s="19" t="str">
        <x:v>A00L</x:v>
      </x:c>
      <x:c r="M15" s="49" t="str">
        <x:v>否</x:v>
      </x:c>
      <x:c r="N15" s="49" t="n">
        <x:v>4</x:v>
      </x:c>
      <x:c r="O15" s="49" t="n">
        <x:v>1</x:v>
      </x:c>
      <x:c r="P15" s="49" t="n">
        <x:v>2</x:v>
      </x:c>
      <x:c r="Q15" s="19" t="str">
        <x:v>主动</x:v>
      </x:c>
      <x:c r="R15" s="19" t="str">
        <x:v>无目标或脚本目标</x:v>
      </x:c>
      <x:c r="S15" s="19" t="str">
        <x:v>召唤</x:v>
      </x:c>
      <x:c r="T15" s="19" t="str">
        <x:v>伤害、召唤</x:v>
      </x:c>
      <x:c r="U15" s="48" t="str">
        <x:v>主动；无目标或脚本目标；主分类：召唤；标签：伤害、召唤</x:v>
      </x:c>
      <x:c r="V15" s="48" t="str">
        <x:v>75/90/105/120</x:v>
      </x:c>
      <x:c r="W15" s="48" t="str">
        <x:v>25/25/25/25</x:v>
      </x:c>
      <x:c r="X15" s="48" t="str">
        <x:v>150/150/150/150</x:v>
      </x:c>
      <x:c r="Y15" s="48" t="str">
        <x:v>—/—/—/—</x:v>
      </x:c>
      <x:c r="Z15" s="48" t="str">
        <x:v>0.01/0.01/0.01/0.01</x:v>
      </x:c>
      <x:c r="AA15" s="48" t="str">
        <x:v>0.01/0.01/0.01/0.01</x:v>
      </x:c>
      <x:c r="AB15" s="48" t="str">
        <x:v>air,ground,organic,enemy,neutral/air,ground,organic,enemy,neutral/air,ground,organic,enemy,neutral/air,ground,organic,enemy,neutral</x:v>
      </x:c>
      <x:c r="AC15" s="48" t="str">
        <x:v>主动；无目标或脚本目标；主分类：召唤；标签：伤害、召唤；等级：4；魔耗：75/90/105/120；冷却：25/25/25/25；施法距离：150/150/150/150；作用范围：—/—/—/—；持续时间：0.01/0.01/0.01/0.01。</x:v>
      </x:c>
      <x:c r="AD15" s="48" t="str">
        <x:v>1 / 175 / 2 / 250 / 3 / 325 / 4 / 400 / 25</x:v>
      </x:c>
      <x:c r="AE15" s="48" t="str">
        <x:v>A</x:v>
      </x:c>
      <x:c r="AF15" s="48" t="str">
        <x:v>6.48b 地图内 UnitAbilities/AbilityData/AbilityStrings 与对象修改表</x:v>
      </x:c>
      <x:c r="AG15" s="18" t="str">
        <x:v>S1</x:v>
      </x:c>
    </x:row>
    <x:row r="16" ht="48" customHeight="1">
      <x:c r="A16" s="19" t="str">
        <x:v>H000-3</x:v>
      </x:c>
      <x:c r="B16" s="19" t="str">
        <x:v>近卫军团</x:v>
      </x:c>
      <x:c r="C16" s="19" t="str">
        <x:v>光明酒馆</x:v>
      </x:c>
      <x:c r="D16" s="19" t="str">
        <x:v>半人马酋长</x:v>
      </x:c>
      <x:c r="E16" s="19" t="str">
        <x:v>Centaur Warchief</x:v>
      </x:c>
      <x:c r="F16" s="19" t="str">
        <x:v>H000</x:v>
      </x:c>
      <x:c r="G16" s="19" t="str">
        <x:v>Bradwarden</x:v>
      </x:c>
      <x:c r="H16" s="19" t="str">
        <x:v>STR</x:v>
      </x:c>
      <x:c r="I16" s="19" t="str">
        <x:v>近战</x:v>
      </x:c>
      <x:c r="J16" s="19" t="n">
        <x:v>3</x:v>
      </x:c>
      <x:c r="K16" s="19" t="str">
        <x:v>Return</x:v>
      </x:c>
      <x:c r="L16" s="19" t="str">
        <x:v>A00V</x:v>
      </x:c>
      <x:c r="M16" s="49" t="str">
        <x:v>否</x:v>
      </x:c>
      <x:c r="N16" s="49" t="n">
        <x:v>4</x:v>
      </x:c>
      <x:c r="O16" s="49" t="n">
        <x:v>1</x:v>
      </x:c>
      <x:c r="P16" s="49" t="n">
        <x:v>2</x:v>
      </x:c>
      <x:c r="Q16" s="19" t="str">
        <x:v>被动</x:v>
      </x:c>
      <x:c r="R16" s="19" t="str">
        <x:v>被动</x:v>
      </x:c>
      <x:c r="S16" s="19" t="str">
        <x:v>强化</x:v>
      </x:c>
      <x:c r="T16" s="19" t="str">
        <x:v>伤害、强化、被动触发</x:v>
      </x:c>
      <x:c r="U16" s="48" t="str">
        <x:v>被动；被动；主分类：强化；标签：伤害、强化、被动触发</x:v>
      </x:c>
      <x:c r="V16" s="48" t="str">
        <x:v>—/—/—/—</x:v>
      </x:c>
      <x:c r="W16" s="48" t="str">
        <x:v>—/—/—/—</x:v>
      </x:c>
      <x:c r="X16" s="48" t="str">
        <x:v>—/—/—/—</x:v>
      </x:c>
      <x:c r="Y16" s="48" t="str">
        <x:v>1000/1000/1000/1000</x:v>
      </x:c>
      <x:c r="Z16" s="48" t="str">
        <x:v>—/—/—/—</x:v>
      </x:c>
      <x:c r="AA16" s="48" t="str">
        <x:v>—/—/—/—</x:v>
      </x:c>
      <x:c r="AB16" s="48" t="str">
        <x:v>self/self/self/self</x:v>
      </x:c>
      <x:c r="AC16" s="48" t="str">
        <x:v>被动；被动；主分类：强化；标签：伤害、强化、被动触发；等级：4；魔耗：—/—/—/—；冷却：—/—/—/—；施法距离：—/—/—/—；作用范围：1000/1000/1000/1000；持续时间：—/—/—/—。</x:v>
      </x:c>
      <x:c r="AD16" s="48" t="str">
        <x:v>1 / 12.5 / 2 / 25 / 3 / 37.5 / 4 / 50</x:v>
      </x:c>
      <x:c r="AE16" s="48" t="str">
        <x:v>A</x:v>
      </x:c>
      <x:c r="AF16" s="48" t="str">
        <x:v>6.48b 地图内 UnitAbilities/AbilityData/AbilityStrings 与对象修改表</x:v>
      </x:c>
      <x:c r="AG16" s="18" t="str">
        <x:v>S1</x:v>
      </x:c>
    </x:row>
    <x:row r="17" ht="48" customHeight="1">
      <x:c r="A17" s="19" t="str">
        <x:v>H000-4</x:v>
      </x:c>
      <x:c r="B17" s="19" t="str">
        <x:v>近卫军团</x:v>
      </x:c>
      <x:c r="C17" s="19" t="str">
        <x:v>光明酒馆</x:v>
      </x:c>
      <x:c r="D17" s="19" t="str">
        <x:v>半人马酋长</x:v>
      </x:c>
      <x:c r="E17" s="19" t="str">
        <x:v>Centaur Warchief</x:v>
      </x:c>
      <x:c r="F17" s="19" t="str">
        <x:v>H000</x:v>
      </x:c>
      <x:c r="G17" s="19" t="str">
        <x:v>Bradwarden</x:v>
      </x:c>
      <x:c r="H17" s="19" t="str">
        <x:v>STR</x:v>
      </x:c>
      <x:c r="I17" s="19" t="str">
        <x:v>近战</x:v>
      </x:c>
      <x:c r="J17" s="19" t="n">
        <x:v>4</x:v>
      </x:c>
      <x:c r="K17" s="19" t="str">
        <x:v>Great Fortitude</x:v>
      </x:c>
      <x:c r="L17" s="19" t="str">
        <x:v>A01L</x:v>
      </x:c>
      <x:c r="M17" s="49" t="str">
        <x:v>是</x:v>
      </x:c>
      <x:c r="N17" s="49" t="n">
        <x:v>3</x:v>
      </x:c>
      <x:c r="O17" s="49" t="n">
        <x:v>6</x:v>
      </x:c>
      <x:c r="P17" s="49" t="n">
        <x:v>5</x:v>
      </x:c>
      <x:c r="Q17" s="19" t="str">
        <x:v>主动</x:v>
      </x:c>
      <x:c r="R17" s="19" t="str">
        <x:v>无目标或脚本目标</x:v>
      </x:c>
      <x:c r="S17" s="19" t="str">
        <x:v>强化</x:v>
      </x:c>
      <x:c r="T17" s="19" t="str">
        <x:v>伤害、强化</x:v>
      </x:c>
      <x:c r="U17" s="48" t="str">
        <x:v>主动；无目标或脚本目标；主分类：强化；标签：伤害、强化</x:v>
      </x:c>
      <x:c r="V17" s="48" t="str">
        <x:v>—/—/—</x:v>
      </x:c>
      <x:c r="W17" s="48" t="str">
        <x:v>—/—/—</x:v>
      </x:c>
      <x:c r="X17" s="48" t="str">
        <x:v>—/—/—</x:v>
      </x:c>
      <x:c r="Y17" s="48" t="str">
        <x:v>—/—/—</x:v>
      </x:c>
      <x:c r="Z17" s="48" t="str">
        <x:v>—/—/—</x:v>
      </x:c>
      <x:c r="AA17" s="48" t="str">
        <x:v>—/—/—</x:v>
      </x:c>
      <x:c r="AB17" s="48" t="str">
        <x:v>—/—/—</x:v>
      </x:c>
      <x:c r="AC17" s="48" t="str">
        <x:v>主动；无目标或脚本目标；主分类：强化；标签：伤害、强化；等级：3；魔耗：—/—/—；冷却：—/—/—；施法距离：—/—/—；作用范围：—/—/—；持续时间：—/—/—。</x:v>
      </x:c>
      <x:c r="AD17" s="48" t="str">
        <x:v>1 / 12 / 2 / 24 / 3 / 36 / 4</x:v>
      </x:c>
      <x:c r="AE17" s="48" t="str">
        <x:v>A</x:v>
      </x:c>
      <x:c r="AF17" s="48" t="str">
        <x:v>6.48b 地图内 UnitAbilities/AbilityData/AbilityStrings 与对象修改表</x:v>
      </x:c>
      <x:c r="AG17" s="18" t="str">
        <x:v>S1</x:v>
      </x:c>
    </x:row>
    <x:row r="18" ht="48" customHeight="1">
      <x:c r="A18" s="19" t="str">
        <x:v>Nbrn-1</x:v>
      </x:c>
      <x:c r="B18" s="19" t="str">
        <x:v>近卫军团</x:v>
      </x:c>
      <x:c r="C18" s="19" t="str">
        <x:v>光明酒馆</x:v>
      </x:c>
      <x:c r="D18" s="19" t="str">
        <x:v>卓尔游侠</x:v>
      </x:c>
      <x:c r="E18" s="19" t="str">
        <x:v>Drow Ranger</x:v>
      </x:c>
      <x:c r="F18" s="19" t="str">
        <x:v>Nbrn</x:v>
      </x:c>
      <x:c r="G18" s="19" t="str">
        <x:v>Traxex</x:v>
      </x:c>
      <x:c r="H18" s="19" t="str">
        <x:v>AGI</x:v>
      </x:c>
      <x:c r="I18" s="19" t="str">
        <x:v>远程</x:v>
      </x:c>
      <x:c r="J18" s="19" t="n">
        <x:v>1</x:v>
      </x:c>
      <x:c r="K18" s="19" t="str">
        <x:v>Frost Arrows</x:v>
      </x:c>
      <x:c r="L18" s="19" t="str">
        <x:v>A026</x:v>
      </x:c>
      <x:c r="M18" s="49" t="str">
        <x:v>否</x:v>
      </x:c>
      <x:c r="N18" s="49" t="n">
        <x:v>4</x:v>
      </x:c>
      <x:c r="O18" s="49" t="n">
        <x:v>1</x:v>
      </x:c>
      <x:c r="P18" s="49" t="n">
        <x:v>2</x:v>
      </x:c>
      <x:c r="Q18" s="19" t="str">
        <x:v>主动</x:v>
      </x:c>
      <x:c r="R18" s="19" t="str">
        <x:v>单位目标</x:v>
      </x:c>
      <x:c r="S18" s="19" t="str">
        <x:v>软控</x:v>
      </x:c>
      <x:c r="T18" s="19" t="str">
        <x:v>软控、强化</x:v>
      </x:c>
      <x:c r="U18" s="48" t="str">
        <x:v>主动；单位目标；主分类：软控；标签：软控、强化</x:v>
      </x:c>
      <x:c r="V18" s="48" t="str">
        <x:v>12/12/12/12</x:v>
      </x:c>
      <x:c r="W18" s="48" t="str">
        <x:v>—/—/—/—</x:v>
      </x:c>
      <x:c r="X18" s="48" t="str">
        <x:v>600/600/600/600</x:v>
      </x:c>
      <x:c r="Y18" s="48" t="str">
        <x:v>—/—/—/—</x:v>
      </x:c>
      <x:c r="Z18" s="48" t="str">
        <x:v>7/7/7/7</x:v>
      </x:c>
      <x:c r="AA18" s="48" t="str">
        <x:v>1.5/1.5/1.5/1.5</x:v>
      </x:c>
      <x:c r="AB18" s="48" t="str">
        <x:v>air,ground,enemy,neutral/air,ground,enemy,neutral/air,ground,enemy,neutral/air,ground,enemy,neutral</x:v>
      </x:c>
      <x:c r="AC18" s="48" t="str">
        <x:v>主动；单位目标；主分类：软控；标签：软控、强化；等级：4；魔耗：12/12/12/12；冷却：—/—/—/—；施法距离：600/600/600/600；作用范围：—/—/—/—；持续时间：7/7/7/7。</x:v>
      </x:c>
      <x:c r="AD18" s="48" t="str">
        <x:v>1 / 5% / 10% / 2 / 20% / 3 / 15% / 30% / 4 / 40% / 0</x:v>
      </x:c>
      <x:c r="AE18" s="48" t="str">
        <x:v>A</x:v>
      </x:c>
      <x:c r="AF18" s="48" t="str">
        <x:v>6.48b 地图内 UnitAbilities/AbilityData/AbilityStrings 与对象修改表</x:v>
      </x:c>
      <x:c r="AG18" s="18" t="str">
        <x:v>S1</x:v>
      </x:c>
    </x:row>
    <x:row r="19" ht="48" customHeight="1">
      <x:c r="A19" s="19" t="str">
        <x:v>Nbrn-2</x:v>
      </x:c>
      <x:c r="B19" s="19" t="str">
        <x:v>近卫军团</x:v>
      </x:c>
      <x:c r="C19" s="19" t="str">
        <x:v>光明酒馆</x:v>
      </x:c>
      <x:c r="D19" s="19" t="str">
        <x:v>卓尔游侠</x:v>
      </x:c>
      <x:c r="E19" s="19" t="str">
        <x:v>Drow Ranger</x:v>
      </x:c>
      <x:c r="F19" s="19" t="str">
        <x:v>Nbrn</x:v>
      </x:c>
      <x:c r="G19" s="19" t="str">
        <x:v>Traxex</x:v>
      </x:c>
      <x:c r="H19" s="19" t="str">
        <x:v>AGI</x:v>
      </x:c>
      <x:c r="I19" s="19" t="str">
        <x:v>远程</x:v>
      </x:c>
      <x:c r="J19" s="19" t="n">
        <x:v>2</x:v>
      </x:c>
      <x:c r="K19" s="19" t="str">
        <x:v>Silence</x:v>
      </x:c>
      <x:c r="L19" s="19" t="str">
        <x:v>A0QB</x:v>
      </x:c>
      <x:c r="M19" s="49" t="str">
        <x:v>否</x:v>
      </x:c>
      <x:c r="N19" s="49" t="n">
        <x:v>4</x:v>
      </x:c>
      <x:c r="O19" s="49" t="n">
        <x:v>1</x:v>
      </x:c>
      <x:c r="P19" s="49" t="n">
        <x:v>2</x:v>
      </x:c>
      <x:c r="Q19" s="19" t="str">
        <x:v>主动</x:v>
      </x:c>
      <x:c r="R19" s="19" t="str">
        <x:v>点目标/区域</x:v>
      </x:c>
      <x:c r="S19" s="19" t="str">
        <x:v>软控</x:v>
      </x:c>
      <x:c r="T19" s="19" t="str">
        <x:v>软控、范围效果</x:v>
      </x:c>
      <x:c r="U19" s="48" t="str">
        <x:v>主动；点目标/区域；主分类：软控；标签：软控、范围效果</x:v>
      </x:c>
      <x:c r="V19" s="48" t="str">
        <x:v>90/90/90/90</x:v>
      </x:c>
      <x:c r="W19" s="48" t="str">
        <x:v>15/15/15/15</x:v>
      </x:c>
      <x:c r="X19" s="48" t="str">
        <x:v>900/900/900/900</x:v>
      </x:c>
      <x:c r="Y19" s="48" t="str">
        <x:v>275/275/275/275</x:v>
      </x:c>
      <x:c r="Z19" s="48" t="str">
        <x:v>3/4/5/6</x:v>
      </x:c>
      <x:c r="AA19" s="48" t="str">
        <x:v>3/4/5/6</x:v>
      </x:c>
      <x:c r="AB19" s="48" t="str">
        <x:v>air,ground,enemy,organic,neutral/air,ground,enemy,organic,neutral/air,ground,enemy,organic,neutral/air,ground,enemy,organic,neutral</x:v>
      </x:c>
      <x:c r="AC19" s="48" t="str">
        <x:v>主动；点目标/区域；主分类：软控；标签：软控、范围效果；等级：4；魔耗：90/90/90/90；冷却：15/15/15/15；施法距离：900/900/900/900；作用范围：275/275/275/275；持续时间：3/4/5/6。</x:v>
      </x:c>
      <x:c r="AD19" s="48" t="str">
        <x:v>1 / 3 / 2 / 4 / 5 / 6 / 15</x:v>
      </x:c>
      <x:c r="AE19" s="48" t="str">
        <x:v>A</x:v>
      </x:c>
      <x:c r="AF19" s="48" t="str">
        <x:v>6.48b 地图内 UnitAbilities/AbilityData/AbilityStrings 与对象修改表</x:v>
      </x:c>
      <x:c r="AG19" s="18" t="str">
        <x:v>S1</x:v>
      </x:c>
    </x:row>
    <x:row r="20" ht="48" customHeight="1">
      <x:c r="A20" s="19" t="str">
        <x:v>Nbrn-3</x:v>
      </x:c>
      <x:c r="B20" s="19" t="str">
        <x:v>近卫军团</x:v>
      </x:c>
      <x:c r="C20" s="19" t="str">
        <x:v>光明酒馆</x:v>
      </x:c>
      <x:c r="D20" s="19" t="str">
        <x:v>卓尔游侠</x:v>
      </x:c>
      <x:c r="E20" s="19" t="str">
        <x:v>Drow Ranger</x:v>
      </x:c>
      <x:c r="F20" s="19" t="str">
        <x:v>Nbrn</x:v>
      </x:c>
      <x:c r="G20" s="19" t="str">
        <x:v>Traxex</x:v>
      </x:c>
      <x:c r="H20" s="19" t="str">
        <x:v>AGI</x:v>
      </x:c>
      <x:c r="I20" s="19" t="str">
        <x:v>远程</x:v>
      </x:c>
      <x:c r="J20" s="19" t="n">
        <x:v>3</x:v>
      </x:c>
      <x:c r="K20" s="19" t="str">
        <x:v>Trueshot Aura</x:v>
      </x:c>
      <x:c r="L20" s="19" t="str">
        <x:v>A029</x:v>
      </x:c>
      <x:c r="M20" s="49" t="str">
        <x:v>否</x:v>
      </x:c>
      <x:c r="N20" s="49" t="n">
        <x:v>4</x:v>
      </x:c>
      <x:c r="O20" s="49" t="n">
        <x:v>1</x:v>
      </x:c>
      <x:c r="P20" s="49" t="n">
        <x:v>2</x:v>
      </x:c>
      <x:c r="Q20" s="19" t="str">
        <x:v>被动</x:v>
      </x:c>
      <x:c r="R20" s="19" t="str">
        <x:v>被动</x:v>
      </x:c>
      <x:c r="S20" s="19" t="str">
        <x:v>强化</x:v>
      </x:c>
      <x:c r="T20" s="19" t="str">
        <x:v>伤害、强化、光环、范围效果、被动触发</x:v>
      </x:c>
      <x:c r="U20" s="48" t="str">
        <x:v>被动；被动；主分类：强化；标签：伤害、强化、光环、范围效果、被动触发</x:v>
      </x:c>
      <x:c r="V20" s="48" t="str">
        <x:v>—/—/—/—</x:v>
      </x:c>
      <x:c r="W20" s="48" t="str">
        <x:v>—/—/—/—</x:v>
      </x:c>
      <x:c r="X20" s="48" t="str">
        <x:v>—/—/—/—</x:v>
      </x:c>
      <x:c r="Y20" s="48" t="str">
        <x:v>300/300/300/300</x:v>
      </x:c>
      <x:c r="Z20" s="48" t="str">
        <x:v>—/—/—/—</x:v>
      </x:c>
      <x:c r="AA20" s="48" t="str">
        <x:v>—/—/—/—</x:v>
      </x:c>
      <x:c r="AB20" s="48" t="str">
        <x:v>air,ground,friend,self,vuln,invu/air,ground,friend,self,vuln,invu/air,ground,friend,self,vuln,invu/air,ground,friend,self,vuln,invu</x:v>
      </x:c>
      <x:c r="AC20" s="48" t="str">
        <x:v>被动；被动；主分类：强化；标签：伤害、强化、光环、范围效果、被动触发；等级：4；魔耗：—/—/—/—；冷却：—/—/—/—；施法距离：—/—/—/—；作用范围：300/300/300/300；持续时间：—/—/—/—。</x:v>
      </x:c>
      <x:c r="AD20" s="48" t="str">
        <x:v>1 / 7% / 2 / 14% / 3 / 21% / 4 / 28%</x:v>
      </x:c>
      <x:c r="AE20" s="48" t="str">
        <x:v>A</x:v>
      </x:c>
      <x:c r="AF20" s="48" t="str">
        <x:v>6.48b 地图内 UnitAbilities/AbilityData/AbilityStrings 与对象修改表</x:v>
      </x:c>
      <x:c r="AG20" s="18" t="str">
        <x:v>S1</x:v>
      </x:c>
    </x:row>
    <x:row r="21" ht="48" customHeight="1">
      <x:c r="A21" s="19" t="str">
        <x:v>Nbrn-4</x:v>
      </x:c>
      <x:c r="B21" s="19" t="str">
        <x:v>近卫军团</x:v>
      </x:c>
      <x:c r="C21" s="19" t="str">
        <x:v>光明酒馆</x:v>
      </x:c>
      <x:c r="D21" s="19" t="str">
        <x:v>卓尔游侠</x:v>
      </x:c>
      <x:c r="E21" s="19" t="str">
        <x:v>Drow Ranger</x:v>
      </x:c>
      <x:c r="F21" s="19" t="str">
        <x:v>Nbrn</x:v>
      </x:c>
      <x:c r="G21" s="19" t="str">
        <x:v>Traxex</x:v>
      </x:c>
      <x:c r="H21" s="19" t="str">
        <x:v>AGI</x:v>
      </x:c>
      <x:c r="I21" s="19" t="str">
        <x:v>远程</x:v>
      </x:c>
      <x:c r="J21" s="19" t="n">
        <x:v>4</x:v>
      </x:c>
      <x:c r="K21" s="19" t="str">
        <x:v>Marksmanship</x:v>
      </x:c>
      <x:c r="L21" s="19" t="str">
        <x:v>A056</x:v>
      </x:c>
      <x:c r="M21" s="49" t="str">
        <x:v>是</x:v>
      </x:c>
      <x:c r="N21" s="49" t="n">
        <x:v>3</x:v>
      </x:c>
      <x:c r="O21" s="49" t="n">
        <x:v>6</x:v>
      </x:c>
      <x:c r="P21" s="49" t="n">
        <x:v>5</x:v>
      </x:c>
      <x:c r="Q21" s="19" t="str">
        <x:v>主动</x:v>
      </x:c>
      <x:c r="R21" s="19" t="str">
        <x:v>无目标或脚本目标</x:v>
      </x:c>
      <x:c r="S21" s="19" t="str">
        <x:v>功能/特殊</x:v>
      </x:c>
      <x:c r="T21" s="19" t="str"/>
      <x:c r="U21" s="48" t="str">
        <x:v>主动；无目标或脚本目标；主分类：功能/特殊</x:v>
      </x:c>
      <x:c r="V21" s="48" t="str">
        <x:v>—/—/—</x:v>
      </x:c>
      <x:c r="W21" s="48" t="str">
        <x:v>—/—/—</x:v>
      </x:c>
      <x:c r="X21" s="48" t="str">
        <x:v>—/—/—</x:v>
      </x:c>
      <x:c r="Y21" s="48" t="str">
        <x:v>—/—/—</x:v>
      </x:c>
      <x:c r="Z21" s="48" t="str">
        <x:v>1/1/1</x:v>
      </x:c>
      <x:c r="AA21" s="48" t="str">
        <x:v>1/1/1</x:v>
      </x:c>
      <x:c r="AB21" s="48" t="str">
        <x:v>enemies,ground,nonancient,nonhero,organic/enemies,ground,nonancient,nonhero,organic/enemies,ground,nonancient,nonhero,organic</x:v>
      </x:c>
      <x:c r="AC21" s="48" t="str">
        <x:v>主动；无目标或脚本目标；主分类：功能/特殊；等级：3；魔耗：—/—/—；冷却：—/—/—；施法距离：—/—/—；作用范围：—/—/—；持续时间：1/1/1。</x:v>
      </x:c>
      <x:c r="AD21" s="48" t="str">
        <x:v>1 / 10% / 2 / 15% / 3 / 20%</x:v>
      </x:c>
      <x:c r="AE21" s="48" t="str">
        <x:v>A</x:v>
      </x:c>
      <x:c r="AF21" s="48" t="str">
        <x:v>6.48b 地图内 UnitAbilities/AbilityData/AbilityStrings 与对象修改表</x:v>
      </x:c>
      <x:c r="AG21" s="18" t="str">
        <x:v>S1</x:v>
      </x:c>
    </x:row>
    <x:row r="22" ht="48" customHeight="1">
      <x:c r="A22" s="19" t="str">
        <x:v>Hlgr-1</x:v>
      </x:c>
      <x:c r="B22" s="19" t="str">
        <x:v>近卫军团</x:v>
      </x:c>
      <x:c r="C22" s="19" t="str">
        <x:v>光明酒馆</x:v>
      </x:c>
      <x:c r="D22" s="19" t="str">
        <x:v>龙骑士</x:v>
      </x:c>
      <x:c r="E22" s="19" t="str">
        <x:v>Dragon Knight</x:v>
      </x:c>
      <x:c r="F22" s="19" t="str">
        <x:v>Hlgr</x:v>
      </x:c>
      <x:c r="G22" s="19" t="str">
        <x:v>Knight Davion</x:v>
      </x:c>
      <x:c r="H22" s="19" t="str">
        <x:v>STR</x:v>
      </x:c>
      <x:c r="I22" s="19" t="str">
        <x:v>近战</x:v>
      </x:c>
      <x:c r="J22" s="19" t="n">
        <x:v>1</x:v>
      </x:c>
      <x:c r="K22" s="19" t="str">
        <x:v>Breathe Fire</x:v>
      </x:c>
      <x:c r="L22" s="19" t="str">
        <x:v>A03F</x:v>
      </x:c>
      <x:c r="M22" s="49" t="str">
        <x:v>否</x:v>
      </x:c>
      <x:c r="N22" s="49" t="n">
        <x:v>4</x:v>
      </x:c>
      <x:c r="O22" s="49" t="n">
        <x:v>1</x:v>
      </x:c>
      <x:c r="P22" s="49" t="n">
        <x:v>2</x:v>
      </x:c>
      <x:c r="Q22" s="19" t="str">
        <x:v>主动</x:v>
      </x:c>
      <x:c r="R22" s="19" t="str">
        <x:v>无目标或脚本目标</x:v>
      </x:c>
      <x:c r="S22" s="19" t="str">
        <x:v>伤害</x:v>
      </x:c>
      <x:c r="T22" s="19" t="str">
        <x:v>伤害</x:v>
      </x:c>
      <x:c r="U22" s="48" t="str">
        <x:v>主动；无目标或脚本目标；主分类：伤害；标签：伤害</x:v>
      </x:c>
      <x:c r="V22" s="48" t="str">
        <x:v>100/115/130/150</x:v>
      </x:c>
      <x:c r="W22" s="48" t="str">
        <x:v>12/12/12/12</x:v>
      </x:c>
      <x:c r="X22" s="48" t="str">
        <x:v>500/500/500/500</x:v>
      </x:c>
      <x:c r="Y22" s="48" t="str">
        <x:v>150/150/150/150</x:v>
      </x:c>
      <x:c r="Z22" s="48" t="str">
        <x:v>5/5/5/5</x:v>
      </x:c>
      <x:c r="AA22" s="48" t="str">
        <x:v>5/5/5/5</x:v>
      </x:c>
      <x:c r="AB22" s="48" t="str">
        <x:v>air,enemies,friend,ground/air,enemies,friend,ground/air,enemies,friend,ground/air,enemies,friend,ground</x:v>
      </x:c>
      <x:c r="AC22" s="48" t="str">
        <x:v>主动；无目标或脚本目标；主分类：伤害；标签：伤害；等级：4；魔耗：100/115/130/150；冷却：12/12/12/12；施法距离：500/500/500/500；作用范围：150/150/150/150；持续时间：5/5/5/5。</x:v>
      </x:c>
      <x:c r="AD22" s="48" t="str">
        <x:v>1 / 75 / 2 / 150 / 3 / 225 / 4 / 300 / 12</x:v>
      </x:c>
      <x:c r="AE22" s="48" t="str">
        <x:v>A</x:v>
      </x:c>
      <x:c r="AF22" s="48" t="str">
        <x:v>6.48b 地图内 UnitAbilities/AbilityData/AbilityStrings 与对象修改表</x:v>
      </x:c>
      <x:c r="AG22" s="18" t="str">
        <x:v>S1</x:v>
      </x:c>
    </x:row>
    <x:row r="23" ht="48" customHeight="1">
      <x:c r="A23" s="19" t="str">
        <x:v>Hlgr-2</x:v>
      </x:c>
      <x:c r="B23" s="19" t="str">
        <x:v>近卫军团</x:v>
      </x:c>
      <x:c r="C23" s="19" t="str">
        <x:v>光明酒馆</x:v>
      </x:c>
      <x:c r="D23" s="19" t="str">
        <x:v>龙骑士</x:v>
      </x:c>
      <x:c r="E23" s="19" t="str">
        <x:v>Dragon Knight</x:v>
      </x:c>
      <x:c r="F23" s="19" t="str">
        <x:v>Hlgr</x:v>
      </x:c>
      <x:c r="G23" s="19" t="str">
        <x:v>Knight Davion</x:v>
      </x:c>
      <x:c r="H23" s="19" t="str">
        <x:v>STR</x:v>
      </x:c>
      <x:c r="I23" s="19" t="str">
        <x:v>近战</x:v>
      </x:c>
      <x:c r="J23" s="19" t="n">
        <x:v>2</x:v>
      </x:c>
      <x:c r="K23" s="19" t="str">
        <x:v>Dragon Tail</x:v>
      </x:c>
      <x:c r="L23" s="19" t="str">
        <x:v>A0AR</x:v>
      </x:c>
      <x:c r="M23" s="49" t="str">
        <x:v>否</x:v>
      </x:c>
      <x:c r="N23" s="49" t="n">
        <x:v>4</x:v>
      </x:c>
      <x:c r="O23" s="49" t="n">
        <x:v>1</x:v>
      </x:c>
      <x:c r="P23" s="49" t="n">
        <x:v>2</x:v>
      </x:c>
      <x:c r="Q23" s="19" t="str">
        <x:v>主动</x:v>
      </x:c>
      <x:c r="R23" s="19" t="str">
        <x:v>无目标或脚本目标</x:v>
      </x:c>
      <x:c r="S23" s="19" t="str">
        <x:v>硬控</x:v>
      </x:c>
      <x:c r="T23" s="19" t="str">
        <x:v>伤害、硬控</x:v>
      </x:c>
      <x:c r="U23" s="48" t="str">
        <x:v>主动；无目标或脚本目标；主分类：硬控；标签：伤害、硬控</x:v>
      </x:c>
      <x:c r="V23" s="48" t="str">
        <x:v>100/100/100/100</x:v>
      </x:c>
      <x:c r="W23" s="48" t="str">
        <x:v>9/9/9/9</x:v>
      </x:c>
      <x:c r="X23" s="48" t="str">
        <x:v>150/150/150/150</x:v>
      </x:c>
      <x:c r="Y23" s="48" t="str">
        <x:v>—/—/—/—</x:v>
      </x:c>
      <x:c r="Z23" s="48" t="str">
        <x:v>2.5/2.75/3/3.25</x:v>
      </x:c>
      <x:c r="AA23" s="48" t="str">
        <x:v>2.5/2.75/3/3.25</x:v>
      </x:c>
      <x:c r="AB23" s="48" t="str">
        <x:v>air,ground,debris,enemy,neutral,organic/air,ground,debris,enemy,neutral,organic/air,ground,debris,enemy,neutral,organic/air,ground,debris,enemy,neutral,organic</x:v>
      </x:c>
      <x:c r="AC23" s="48" t="str">
        <x:v>主动；无目标或脚本目标；主分类：硬控；标签：伤害、硬控；等级：4；魔耗：100/100/100/100；冷却：9/9/9/9；施法距离：150/150/150/150；作用范围：—/—/—/—；持续时间：2.5/2.75/3/3.25。</x:v>
      </x:c>
      <x:c r="AD23" s="48" t="str">
        <x:v>1 / 25 / 2.5 / 2 / 50 / 2.75 / 3 / 75 / 4 / 100 / 3.25 / 9</x:v>
      </x:c>
      <x:c r="AE23" s="48" t="str">
        <x:v>A</x:v>
      </x:c>
      <x:c r="AF23" s="48" t="str">
        <x:v>6.48b 地图内 UnitAbilities/AbilityData/AbilityStrings 与对象修改表</x:v>
      </x:c>
      <x:c r="AG23" s="18" t="str">
        <x:v>S1</x:v>
      </x:c>
    </x:row>
    <x:row r="24" ht="48" customHeight="1">
      <x:c r="A24" s="19" t="str">
        <x:v>Hlgr-3</x:v>
      </x:c>
      <x:c r="B24" s="19" t="str">
        <x:v>近卫军团</x:v>
      </x:c>
      <x:c r="C24" s="19" t="str">
        <x:v>光明酒馆</x:v>
      </x:c>
      <x:c r="D24" s="19" t="str">
        <x:v>龙骑士</x:v>
      </x:c>
      <x:c r="E24" s="19" t="str">
        <x:v>Dragon Knight</x:v>
      </x:c>
      <x:c r="F24" s="19" t="str">
        <x:v>Hlgr</x:v>
      </x:c>
      <x:c r="G24" s="19" t="str">
        <x:v>Knight Davion</x:v>
      </x:c>
      <x:c r="H24" s="19" t="str">
        <x:v>STR</x:v>
      </x:c>
      <x:c r="I24" s="19" t="str">
        <x:v>近战</x:v>
      </x:c>
      <x:c r="J24" s="19" t="n">
        <x:v>3</x:v>
      </x:c>
      <x:c r="K24" s="19" t="str">
        <x:v>Dragon Blood</x:v>
      </x:c>
      <x:c r="L24" s="19" t="str">
        <x:v>A0CL</x:v>
      </x:c>
      <x:c r="M24" s="49" t="str">
        <x:v>否</x:v>
      </x:c>
      <x:c r="N24" s="49" t="n">
        <x:v>4</x:v>
      </x:c>
      <x:c r="O24" s="49" t="n">
        <x:v>1</x:v>
      </x:c>
      <x:c r="P24" s="49" t="n">
        <x:v>2</x:v>
      </x:c>
      <x:c r="Q24" s="19" t="str">
        <x:v>被动/脚本触发</x:v>
      </x:c>
      <x:c r="R24" s="19" t="str">
        <x:v>被动</x:v>
      </x:c>
      <x:c r="S24" s="19" t="str">
        <x:v>治疗/回复</x:v>
      </x:c>
      <x:c r="T24" s="19" t="str">
        <x:v>治疗/回复、防御/生存、强化、被动触发</x:v>
      </x:c>
      <x:c r="U24" s="48" t="str">
        <x:v>被动/脚本触发；被动；主分类：治疗/回复；标签：治疗/回复、防御/生存、强化、被动触发</x:v>
      </x:c>
      <x:c r="V24" s="48" t="str">
        <x:v>—/—/—/—</x:v>
      </x:c>
      <x:c r="W24" s="48" t="str">
        <x:v>—/—/—/—</x:v>
      </x:c>
      <x:c r="X24" s="48" t="str">
        <x:v>—/—/—/—</x:v>
      </x:c>
      <x:c r="Y24" s="48" t="str">
        <x:v>—/—/—/—</x:v>
      </x:c>
      <x:c r="Z24" s="48" t="str">
        <x:v>—/—/—/—</x:v>
      </x:c>
      <x:c r="AA24" s="48" t="str">
        <x:v>—/—/—/—</x:v>
      </x:c>
      <x:c r="AB24" s="48" t="str">
        <x:v>self/self/self/self</x:v>
      </x:c>
      <x:c r="AC24" s="48" t="str">
        <x:v>被动/脚本触发；被动；主分类：治疗/回复；标签：治疗/回复、防御/生存、强化、被动触发；等级：4；魔耗：—/—/—/—；冷却：—/—/—/—；施法距离：—/—/—/—；作用范围：—/—/—/—；持续时间：—/—/—/—。</x:v>
      </x:c>
      <x:c r="AD24" s="48" t="str">
        <x:v>1 / 2 / 4 / 3 / 6 / 8</x:v>
      </x:c>
      <x:c r="AE24" s="48" t="str">
        <x:v>A</x:v>
      </x:c>
      <x:c r="AF24" s="48" t="str">
        <x:v>6.48b 地图内 UnitAbilities/AbilityData/AbilityStrings 与对象修改表</x:v>
      </x:c>
      <x:c r="AG24" s="18" t="str">
        <x:v>S1</x:v>
      </x:c>
    </x:row>
    <x:row r="25" ht="48" customHeight="1">
      <x:c r="A25" s="19" t="str">
        <x:v>Hlgr-4</x:v>
      </x:c>
      <x:c r="B25" s="19" t="str">
        <x:v>近卫军团</x:v>
      </x:c>
      <x:c r="C25" s="19" t="str">
        <x:v>光明酒馆</x:v>
      </x:c>
      <x:c r="D25" s="19" t="str">
        <x:v>龙骑士</x:v>
      </x:c>
      <x:c r="E25" s="19" t="str">
        <x:v>Dragon Knight</x:v>
      </x:c>
      <x:c r="F25" s="19" t="str">
        <x:v>Hlgr</x:v>
      </x:c>
      <x:c r="G25" s="19" t="str">
        <x:v>Knight Davion</x:v>
      </x:c>
      <x:c r="H25" s="19" t="str">
        <x:v>STR</x:v>
      </x:c>
      <x:c r="I25" s="19" t="str">
        <x:v>近战</x:v>
      </x:c>
      <x:c r="J25" s="19" t="n">
        <x:v>4</x:v>
      </x:c>
      <x:c r="K25" s="19" t="str">
        <x:v>Elder Dragon Form</x:v>
      </x:c>
      <x:c r="L25" s="19" t="str">
        <x:v>A03G</x:v>
      </x:c>
      <x:c r="M25" s="49" t="str">
        <x:v>是</x:v>
      </x:c>
      <x:c r="N25" s="49" t="n">
        <x:v>3</x:v>
      </x:c>
      <x:c r="O25" s="49" t="n">
        <x:v>6</x:v>
      </x:c>
      <x:c r="P25" s="49" t="n">
        <x:v>5</x:v>
      </x:c>
      <x:c r="Q25" s="19" t="str">
        <x:v>主动</x:v>
      </x:c>
      <x:c r="R25" s="19" t="str">
        <x:v>无目标或脚本目标</x:v>
      </x:c>
      <x:c r="S25" s="19" t="str">
        <x:v>软控</x:v>
      </x:c>
      <x:c r="T25" s="19" t="str">
        <x:v>软控、强化、变身/形态</x:v>
      </x:c>
      <x:c r="U25" s="48" t="str">
        <x:v>主动；无目标或脚本目标；主分类：软控；标签：软控、强化、变身/形态</x:v>
      </x:c>
      <x:c r="V25" s="48" t="str">
        <x:v>100/150/200</x:v>
      </x:c>
      <x:c r="W25" s="48" t="str">
        <x:v>135/135/135</x:v>
      </x:c>
      <x:c r="X25" s="48" t="str">
        <x:v>—/—/—</x:v>
      </x:c>
      <x:c r="Y25" s="48" t="str">
        <x:v>—/—/—</x:v>
      </x:c>
      <x:c r="Z25" s="48" t="str">
        <x:v>—/—/—</x:v>
      </x:c>
      <x:c r="AA25" s="48" t="str">
        <x:v>58/58/58</x:v>
      </x:c>
      <x:c r="AB25" s="48" t="str">
        <x:v>—/—/—</x:v>
      </x:c>
      <x:c r="AC25" s="48" t="str">
        <x:v>主动；无目标或脚本目标；主分类：软控；标签：软控、强化、变身/形态；等级：3；魔耗：100/150/200；冷却：135/135/135；施法距离：—/—/—；作用范围：—/—/—；持续时间：—/—/—。</x:v>
      </x:c>
      <x:c r="AD25" s="48" t="str">
        <x:v>60 / 1 / 2 / 3 / 135 / 10 / 35</x:v>
      </x:c>
      <x:c r="AE25" s="48" t="str">
        <x:v>A</x:v>
      </x:c>
      <x:c r="AF25" s="48" t="str">
        <x:v>6.48b 地图内 UnitAbilities/AbilityData/AbilityStrings 与对象修改表</x:v>
      </x:c>
      <x:c r="AG25" s="18" t="str">
        <x:v>S1</x:v>
      </x:c>
    </x:row>
    <x:row r="26" ht="48" customHeight="1">
      <x:c r="A26" s="19" t="str">
        <x:v>Edem-1</x:v>
      </x:c>
      <x:c r="B26" s="19" t="str">
        <x:v>近卫军团</x:v>
      </x:c>
      <x:c r="C26" s="19" t="str">
        <x:v>光明酒馆</x:v>
      </x:c>
      <x:c r="D26" s="19" t="str">
        <x:v>敌法师</x:v>
      </x:c>
      <x:c r="E26" s="19" t="str">
        <x:v>Anti-Mage</x:v>
      </x:c>
      <x:c r="F26" s="19" t="str">
        <x:v>Edem</x:v>
      </x:c>
      <x:c r="G26" s="19" t="str">
        <x:v>Magina</x:v>
      </x:c>
      <x:c r="H26" s="19" t="str">
        <x:v>AGI</x:v>
      </x:c>
      <x:c r="I26" s="19" t="str">
        <x:v>近战</x:v>
      </x:c>
      <x:c r="J26" s="19" t="n">
        <x:v>1</x:v>
      </x:c>
      <x:c r="K26" s="19" t="str">
        <x:v>Blink</x:v>
      </x:c>
      <x:c r="L26" s="19" t="str">
        <x:v>AEbl</x:v>
      </x:c>
      <x:c r="M26" s="49" t="str">
        <x:v>否</x:v>
      </x:c>
      <x:c r="N26" s="49" t="n">
        <x:v>4</x:v>
      </x:c>
      <x:c r="O26" s="49" t="n">
        <x:v>1</x:v>
      </x:c>
      <x:c r="P26" s="49" t="n">
        <x:v>2</x:v>
      </x:c>
      <x:c r="Q26" s="19" t="str">
        <x:v>主动</x:v>
      </x:c>
      <x:c r="R26" s="19" t="str">
        <x:v>无目标或脚本目标</x:v>
      </x:c>
      <x:c r="S26" s="19" t="str">
        <x:v>位移</x:v>
      </x:c>
      <x:c r="T26" s="19" t="str">
        <x:v>位移、资源机制</x:v>
      </x:c>
      <x:c r="U26" s="48" t="str">
        <x:v>主动；无目标或脚本目标；主分类：位移；标签：位移、资源机制</x:v>
      </x:c>
      <x:c r="V26" s="48" t="str">
        <x:v>60/60/60/60</x:v>
      </x:c>
      <x:c r="W26" s="48" t="str">
        <x:v>12/9/7/5</x:v>
      </x:c>
      <x:c r="X26" s="48" t="str">
        <x:v>99999/99999/99999/99999</x:v>
      </x:c>
      <x:c r="Y26" s="48" t="str">
        <x:v>—/—/—/—</x:v>
      </x:c>
      <x:c r="Z26" s="48" t="str">
        <x:v>0.33/0.33/0.33/0.33</x:v>
      </x:c>
      <x:c r="AA26" s="48" t="str">
        <x:v>—/—/—/—</x:v>
      </x:c>
      <x:c r="AB26" s="48" t="str">
        <x:v>—/—/—/—</x:v>
      </x:c>
      <x:c r="AC26" s="48" t="str">
        <x:v>主动；无目标或脚本目标；主分类：位移；标签：位移、资源机制；等级：4；魔耗：60/60/60/60；冷却：12/9/7/5；施法距离：99999/99999/99999/99999；作用范围：—/—/—/—；持续时间：0.33/0.33/0.33/0.33。</x:v>
      </x:c>
      <x:c r="AD26" s="48" t="str">
        <x:v>60 / 1 / 12 / 2 / 9 / 3 / 7 / 4 / 5</x:v>
      </x:c>
      <x:c r="AE26" s="48" t="str">
        <x:v>A</x:v>
      </x:c>
      <x:c r="AF26" s="48" t="str">
        <x:v>6.48b 地图内 UnitAbilities/AbilityData/AbilityStrings 与对象修改表</x:v>
      </x:c>
      <x:c r="AG26" s="18" t="str">
        <x:v>S1</x:v>
      </x:c>
    </x:row>
    <x:row r="27" ht="48" customHeight="1">
      <x:c r="A27" s="19" t="str">
        <x:v>Edem-2</x:v>
      </x:c>
      <x:c r="B27" s="19" t="str">
        <x:v>近卫军团</x:v>
      </x:c>
      <x:c r="C27" s="19" t="str">
        <x:v>光明酒馆</x:v>
      </x:c>
      <x:c r="D27" s="19" t="str">
        <x:v>敌法师</x:v>
      </x:c>
      <x:c r="E27" s="19" t="str">
        <x:v>Anti-Mage</x:v>
      </x:c>
      <x:c r="F27" s="19" t="str">
        <x:v>Edem</x:v>
      </x:c>
      <x:c r="G27" s="19" t="str">
        <x:v>Magina</x:v>
      </x:c>
      <x:c r="H27" s="19" t="str">
        <x:v>AGI</x:v>
      </x:c>
      <x:c r="I27" s="19" t="str">
        <x:v>近战</x:v>
      </x:c>
      <x:c r="J27" s="19" t="n">
        <x:v>2</x:v>
      </x:c>
      <x:c r="K27" s="19" t="str">
        <x:v>Spell Shield</x:v>
      </x:c>
      <x:c r="L27" s="19" t="str">
        <x:v>A0KY</x:v>
      </x:c>
      <x:c r="M27" s="49" t="str">
        <x:v>否</x:v>
      </x:c>
      <x:c r="N27" s="49" t="n">
        <x:v>4</x:v>
      </x:c>
      <x:c r="O27" s="49" t="n">
        <x:v>1</x:v>
      </x:c>
      <x:c r="P27" s="49" t="n">
        <x:v>2</x:v>
      </x:c>
      <x:c r="Q27" s="19" t="str">
        <x:v>被动/脚本触发</x:v>
      </x:c>
      <x:c r="R27" s="19" t="str">
        <x:v>被动</x:v>
      </x:c>
      <x:c r="S27" s="19" t="str">
        <x:v>召唤</x:v>
      </x:c>
      <x:c r="T27" s="19" t="str">
        <x:v>伤害、召唤、削弱、持续施法、被动触发</x:v>
      </x:c>
      <x:c r="U27" s="48" t="str">
        <x:v>被动/脚本触发；被动；主分类：召唤；标签：伤害、召唤、削弱、持续施法、被动触发</x:v>
      </x:c>
      <x:c r="V27" s="48" t="str">
        <x:v>—/—/—/—</x:v>
      </x:c>
      <x:c r="W27" s="48" t="str">
        <x:v>—/—/—/—</x:v>
      </x:c>
      <x:c r="X27" s="48" t="str">
        <x:v>—/—/—/—</x:v>
      </x:c>
      <x:c r="Y27" s="48" t="str">
        <x:v>—/—/—/—</x:v>
      </x:c>
      <x:c r="Z27" s="48" t="str">
        <x:v>—/—/—/—</x:v>
      </x:c>
      <x:c r="AA27" s="48" t="str">
        <x:v>—/—/—/—</x:v>
      </x:c>
      <x:c r="AB27" s="48" t="str">
        <x:v>vuln,invu/vuln,invu/vuln,invu/vuln,invu</x:v>
      </x:c>
      <x:c r="AC27" s="48" t="str">
        <x:v>被动/脚本触发；被动；主分类：召唤；标签：伤害、召唤、削弱、持续施法、被动触发；等级：4；魔耗：—/—/—/—；冷却：—/—/—/—；施法距离：—/—/—/—；作用范围：—/—/—/—；持续时间：—/—/—/—。</x:v>
      </x:c>
      <x:c r="AD27" s="48" t="str">
        <x:v>1 / 10% / 2 / 20% / 3 / 30% / 4 / 40%</x:v>
      </x:c>
      <x:c r="AE27" s="48" t="str">
        <x:v>A</x:v>
      </x:c>
      <x:c r="AF27" s="48" t="str">
        <x:v>6.48b 地图内 UnitAbilities/AbilityData/AbilityStrings 与对象修改表</x:v>
      </x:c>
      <x:c r="AG27" s="18" t="str">
        <x:v>S1</x:v>
      </x:c>
    </x:row>
    <x:row r="28" ht="48" customHeight="1">
      <x:c r="A28" s="19" t="str">
        <x:v>Edem-3</x:v>
      </x:c>
      <x:c r="B28" s="19" t="str">
        <x:v>近卫军团</x:v>
      </x:c>
      <x:c r="C28" s="19" t="str">
        <x:v>光明酒馆</x:v>
      </x:c>
      <x:c r="D28" s="19" t="str">
        <x:v>敌法师</x:v>
      </x:c>
      <x:c r="E28" s="19" t="str">
        <x:v>Anti-Mage</x:v>
      </x:c>
      <x:c r="F28" s="19" t="str">
        <x:v>Edem</x:v>
      </x:c>
      <x:c r="G28" s="19" t="str">
        <x:v>Magina</x:v>
      </x:c>
      <x:c r="H28" s="19" t="str">
        <x:v>AGI</x:v>
      </x:c>
      <x:c r="I28" s="19" t="str">
        <x:v>近战</x:v>
      </x:c>
      <x:c r="J28" s="19" t="n">
        <x:v>3</x:v>
      </x:c>
      <x:c r="K28" s="19" t="str">
        <x:v>Mana Void</x:v>
      </x:c>
      <x:c r="L28" s="19" t="str">
        <x:v>A0E3</x:v>
      </x:c>
      <x:c r="M28" s="49" t="str">
        <x:v>是</x:v>
      </x:c>
      <x:c r="N28" s="49" t="n">
        <x:v>3</x:v>
      </x:c>
      <x:c r="O28" s="49" t="n">
        <x:v>6</x:v>
      </x:c>
      <x:c r="P28" s="49" t="n">
        <x:v>5</x:v>
      </x:c>
      <x:c r="Q28" s="19" t="str">
        <x:v>主动</x:v>
      </x:c>
      <x:c r="R28" s="19" t="str">
        <x:v>单位目标</x:v>
      </x:c>
      <x:c r="S28" s="19" t="str">
        <x:v>硬控</x:v>
      </x:c>
      <x:c r="T28" s="19" t="str">
        <x:v>伤害、硬控、资源机制</x:v>
      </x:c>
      <x:c r="U28" s="48" t="str">
        <x:v>主动；单位目标；主分类：硬控；标签：伤害、硬控、资源机制</x:v>
      </x:c>
      <x:c r="V28" s="48" t="str">
        <x:v>175/225/275</x:v>
      </x:c>
      <x:c r="W28" s="48" t="str">
        <x:v>120/120/120</x:v>
      </x:c>
      <x:c r="X28" s="48" t="str">
        <x:v>600/600/600</x:v>
      </x:c>
      <x:c r="Y28" s="48" t="str">
        <x:v>—/—/—</x:v>
      </x:c>
      <x:c r="Z28" s="48" t="str">
        <x:v>0.1/0.2/0.3</x:v>
      </x:c>
      <x:c r="AA28" s="48" t="str">
        <x:v>0.1/0.2/0.3</x:v>
      </x:c>
      <x:c r="AB28" s="48" t="str">
        <x:v>air,ground,debris,enemy,neutral,organic/air,ground,debris,enemy,neutral,organic/air,ground,debris,enemy,neutral,organic</x:v>
      </x:c>
      <x:c r="AC28" s="48" t="str">
        <x:v>主动；单位目标；主分类：硬控；标签：伤害、硬控、资源机制；等级：3；魔耗：175/225/275；冷却：120/120/120；施法距离：600/600/600；作用范围：—/—/—；持续时间：0.1/0.2/0.3。</x:v>
      </x:c>
      <x:c r="AD28" s="48" t="str">
        <x:v>1 / 6 / 2 / 85 / 3 / 1.1 / 120</x:v>
      </x:c>
      <x:c r="AE28" s="48" t="str">
        <x:v>A</x:v>
      </x:c>
      <x:c r="AF28" s="48" t="str">
        <x:v>6.48b 地图内 UnitAbilities/AbilityData/AbilityStrings 与对象修改表</x:v>
      </x:c>
      <x:c r="AG28" s="18" t="str">
        <x:v>S1</x:v>
      </x:c>
    </x:row>
    <x:row r="29" ht="48" customHeight="1">
      <x:c r="A29" s="19" t="str">
        <x:v>Edem-4</x:v>
      </x:c>
      <x:c r="B29" s="19" t="str">
        <x:v>近卫军团</x:v>
      </x:c>
      <x:c r="C29" s="19" t="str">
        <x:v>光明酒馆</x:v>
      </x:c>
      <x:c r="D29" s="19" t="str">
        <x:v>敌法师</x:v>
      </x:c>
      <x:c r="E29" s="19" t="str">
        <x:v>Anti-Mage</x:v>
      </x:c>
      <x:c r="F29" s="19" t="str">
        <x:v>Edem</x:v>
      </x:c>
      <x:c r="G29" s="19" t="str">
        <x:v>Magina</x:v>
      </x:c>
      <x:c r="H29" s="19" t="str">
        <x:v>AGI</x:v>
      </x:c>
      <x:c r="I29" s="19" t="str">
        <x:v>近战</x:v>
      </x:c>
      <x:c r="J29" s="19" t="n">
        <x:v>4</x:v>
      </x:c>
      <x:c r="K29" s="19" t="str">
        <x:v>Mana Break</x:v>
      </x:c>
      <x:c r="L29" s="19" t="str">
        <x:v>A022</x:v>
      </x:c>
      <x:c r="M29" s="49" t="str">
        <x:v>否</x:v>
      </x:c>
      <x:c r="N29" s="49" t="n">
        <x:v>4</x:v>
      </x:c>
      <x:c r="O29" s="49" t="n">
        <x:v>1</x:v>
      </x:c>
      <x:c r="P29" s="49" t="n">
        <x:v>2</x:v>
      </x:c>
      <x:c r="Q29" s="19" t="str">
        <x:v>被动</x:v>
      </x:c>
      <x:c r="R29" s="19" t="str">
        <x:v>被动</x:v>
      </x:c>
      <x:c r="S29" s="19" t="str">
        <x:v>资源机制</x:v>
      </x:c>
      <x:c r="T29" s="19" t="str">
        <x:v>伤害、资源机制、被动触发</x:v>
      </x:c>
      <x:c r="U29" s="48" t="str">
        <x:v>被动；被动；主分类：资源机制；标签：伤害、资源机制、被动触发</x:v>
      </x:c>
      <x:c r="V29" s="48" t="str">
        <x:v>—/—/—/—</x:v>
      </x:c>
      <x:c r="W29" s="48" t="str">
        <x:v>—/—/—/—</x:v>
      </x:c>
      <x:c r="X29" s="48" t="str">
        <x:v>—/—/—/—</x:v>
      </x:c>
      <x:c r="Y29" s="48" t="str">
        <x:v>—/—/—/—</x:v>
      </x:c>
      <x:c r="Z29" s="48" t="str">
        <x:v>—/—/—/—</x:v>
      </x:c>
      <x:c r="AA29" s="48" t="str">
        <x:v>—/—/—/—</x:v>
      </x:c>
      <x:c r="AB29" s="48" t="str">
        <x:v>air,ground,enemy,neutral/air,ground,enemy,neutral/air,ground,enemy,neutral/air,ground,enemy,neutral</x:v>
      </x:c>
      <x:c r="AC29" s="48" t="str">
        <x:v>被动；被动；主分类：资源机制；标签：伤害、资源机制、被动触发；等级：4；魔耗：—/—/—/—；冷却：—/—/—/—；施法距离：—/—/—/—；作用范围：—/—/—/—；持续时间：—/—/—/—。</x:v>
      </x:c>
      <x:c r="AD29" s="48" t="str">
        <x:v>1 / 16 / 2 / 32 / 3 / 48 / 4 / 64</x:v>
      </x:c>
      <x:c r="AE29" s="48" t="str">
        <x:v>A</x:v>
      </x:c>
      <x:c r="AF29" s="48" t="str">
        <x:v>6.48b 地图内 UnitAbilities/AbilityData/AbilityStrings 与对象修改表</x:v>
      </x:c>
      <x:c r="AG29" s="18" t="str">
        <x:v>S1</x:v>
      </x:c>
    </x:row>
    <x:row r="30" ht="48" customHeight="1">
      <x:c r="A30" s="19" t="str">
        <x:v>Usyl-1</x:v>
      </x:c>
      <x:c r="B30" s="19" t="str">
        <x:v>近卫军团</x:v>
      </x:c>
      <x:c r="C30" s="19" t="str">
        <x:v>光明酒馆</x:v>
      </x:c>
      <x:c r="D30" s="19" t="str">
        <x:v>矮人狙击手</x:v>
      </x:c>
      <x:c r="E30" s="19" t="str">
        <x:v>Dwarven Sniper</x:v>
      </x:c>
      <x:c r="F30" s="19" t="str">
        <x:v>Usyl</x:v>
      </x:c>
      <x:c r="G30" s="19" t="str">
        <x:v>Kardel Sharpeye</x:v>
      </x:c>
      <x:c r="H30" s="19" t="str">
        <x:v>AGI</x:v>
      </x:c>
      <x:c r="I30" s="19" t="str">
        <x:v>远程</x:v>
      </x:c>
      <x:c r="J30" s="19" t="n">
        <x:v>1</x:v>
      </x:c>
      <x:c r="K30" s="19" t="str">
        <x:v>ScatterShot</x:v>
      </x:c>
      <x:c r="L30" s="19" t="str">
        <x:v>A064</x:v>
      </x:c>
      <x:c r="M30" s="49" t="str">
        <x:v>否</x:v>
      </x:c>
      <x:c r="N30" s="49" t="n">
        <x:v>4</x:v>
      </x:c>
      <x:c r="O30" s="49" t="n">
        <x:v>1</x:v>
      </x:c>
      <x:c r="P30" s="49" t="n">
        <x:v>2</x:v>
      </x:c>
      <x:c r="Q30" s="19" t="str">
        <x:v>主动</x:v>
      </x:c>
      <x:c r="R30" s="19" t="str">
        <x:v>点目标/区域</x:v>
      </x:c>
      <x:c r="S30" s="19" t="str">
        <x:v>伤害</x:v>
      </x:c>
      <x:c r="T30" s="19" t="str">
        <x:v>伤害、范围效果</x:v>
      </x:c>
      <x:c r="U30" s="48" t="str">
        <x:v>主动；点目标/区域；主分类：伤害；标签：伤害、范围效果</x:v>
      </x:c>
      <x:c r="V30" s="48" t="str">
        <x:v>120/120/120/120</x:v>
      </x:c>
      <x:c r="W30" s="48" t="str">
        <x:v>13/13/13/13</x:v>
      </x:c>
      <x:c r="X30" s="48" t="str">
        <x:v>900/900/900/900</x:v>
      </x:c>
      <x:c r="Y30" s="48" t="str">
        <x:v>360/360/360/360</x:v>
      </x:c>
      <x:c r="Z30" s="48" t="str">
        <x:v>—/—/—/—</x:v>
      </x:c>
      <x:c r="AA30" s="48" t="str">
        <x:v>—/—/—/—</x:v>
      </x:c>
      <x:c r="AB30" s="48" t="str">
        <x:v>—/—/—/—</x:v>
      </x:c>
      <x:c r="AC30" s="48" t="str">
        <x:v>主动；点目标/区域；主分类：伤害；标签：伤害、范围效果；等级：4；魔耗：120/120/120/120；冷却：13/13/13/13；施法距离：900/900/900/900；作用范围：360/360/360/360；持续时间：—/—/—/—。</x:v>
      </x:c>
      <x:c r="AD30" s="48" t="str">
        <x:v>10 / -35 / 200 / 1 / 8 / 2 / 12 / 3 / 16 / 4 / 20 / 13</x:v>
      </x:c>
      <x:c r="AE30" s="48" t="str">
        <x:v>A</x:v>
      </x:c>
      <x:c r="AF30" s="48" t="str">
        <x:v>6.48b 地图内 UnitAbilities/AbilityData/AbilityStrings 与对象修改表</x:v>
      </x:c>
      <x:c r="AG30" s="18" t="str">
        <x:v>S1</x:v>
      </x:c>
    </x:row>
    <x:row r="31" ht="48" customHeight="1">
      <x:c r="A31" s="19" t="str">
        <x:v>Usyl-2</x:v>
      </x:c>
      <x:c r="B31" s="19" t="str">
        <x:v>近卫军团</x:v>
      </x:c>
      <x:c r="C31" s="19" t="str">
        <x:v>光明酒馆</x:v>
      </x:c>
      <x:c r="D31" s="19" t="str">
        <x:v>矮人狙击手</x:v>
      </x:c>
      <x:c r="E31" s="19" t="str">
        <x:v>Dwarven Sniper</x:v>
      </x:c>
      <x:c r="F31" s="19" t="str">
        <x:v>Usyl</x:v>
      </x:c>
      <x:c r="G31" s="19" t="str">
        <x:v>Kardel Sharpeye</x:v>
      </x:c>
      <x:c r="H31" s="19" t="str">
        <x:v>AGI</x:v>
      </x:c>
      <x:c r="I31" s="19" t="str">
        <x:v>远程</x:v>
      </x:c>
      <x:c r="J31" s="19" t="n">
        <x:v>2</x:v>
      </x:c>
      <x:c r="K31" s="19" t="str">
        <x:v>Headshot</x:v>
      </x:c>
      <x:c r="L31" s="19" t="str">
        <x:v>A03S</x:v>
      </x:c>
      <x:c r="M31" s="49" t="str">
        <x:v>否</x:v>
      </x:c>
      <x:c r="N31" s="49" t="n">
        <x:v>4</x:v>
      </x:c>
      <x:c r="O31" s="49" t="n">
        <x:v>1</x:v>
      </x:c>
      <x:c r="P31" s="49" t="n">
        <x:v>2</x:v>
      </x:c>
      <x:c r="Q31" s="19" t="str">
        <x:v>主动</x:v>
      </x:c>
      <x:c r="R31" s="19" t="str">
        <x:v>无目标或脚本目标</x:v>
      </x:c>
      <x:c r="S31" s="19" t="str">
        <x:v>硬控</x:v>
      </x:c>
      <x:c r="T31" s="19" t="str">
        <x:v>伤害、硬控、强化</x:v>
      </x:c>
      <x:c r="U31" s="48" t="str">
        <x:v>主动；无目标或脚本目标；主分类：硬控；标签：伤害、硬控、强化</x:v>
      </x:c>
      <x:c r="V31" s="48" t="str">
        <x:v>—/—/—/—</x:v>
      </x:c>
      <x:c r="W31" s="48" t="str">
        <x:v>—/—/—/—</x:v>
      </x:c>
      <x:c r="X31" s="48" t="str">
        <x:v>—/—/—/—</x:v>
      </x:c>
      <x:c r="Y31" s="48" t="str">
        <x:v>—/—/—/—</x:v>
      </x:c>
      <x:c r="Z31" s="48" t="str">
        <x:v>0.01/0.1/0.2/0.2</x:v>
      </x:c>
      <x:c r="AA31" s="48" t="str">
        <x:v>0.01/0.1/0.2/0.2</x:v>
      </x:c>
      <x:c r="AB31" s="48" t="str">
        <x:v>air,ground/air,ground/air,ground/air,ground</x:v>
      </x:c>
      <x:c r="AC31" s="48" t="str">
        <x:v>主动；无目标或脚本目标；主分类：硬控；标签：伤害、硬控、强化；等级：4；魔耗：—/—/—/—；冷却：—/—/—/—；施法距离：—/—/—/—；作用范围：—/—/—/—；持续时间：0.01/0.1/0.2/0.2。</x:v>
      </x:c>
      <x:c r="AD31" s="48" t="str">
        <x:v>1 / 30 / 25% / 2 / 30% / 3 / 40 / 35% / 4 / 50 / 40% / 01</x:v>
      </x:c>
      <x:c r="AE31" s="48" t="str">
        <x:v>A</x:v>
      </x:c>
      <x:c r="AF31" s="48" t="str">
        <x:v>6.48b 地图内 UnitAbilities/AbilityData/AbilityStrings 与对象修改表</x:v>
      </x:c>
      <x:c r="AG31" s="18" t="str">
        <x:v>S1</x:v>
      </x:c>
    </x:row>
    <x:row r="32" ht="48" customHeight="1">
      <x:c r="A32" s="19" t="str">
        <x:v>Usyl-3</x:v>
      </x:c>
      <x:c r="B32" s="19" t="str">
        <x:v>近卫军团</x:v>
      </x:c>
      <x:c r="C32" s="19" t="str">
        <x:v>光明酒馆</x:v>
      </x:c>
      <x:c r="D32" s="19" t="str">
        <x:v>矮人狙击手</x:v>
      </x:c>
      <x:c r="E32" s="19" t="str">
        <x:v>Dwarven Sniper</x:v>
      </x:c>
      <x:c r="F32" s="19" t="str">
        <x:v>Usyl</x:v>
      </x:c>
      <x:c r="G32" s="19" t="str">
        <x:v>Kardel Sharpeye</x:v>
      </x:c>
      <x:c r="H32" s="19" t="str">
        <x:v>AGI</x:v>
      </x:c>
      <x:c r="I32" s="19" t="str">
        <x:v>远程</x:v>
      </x:c>
      <x:c r="J32" s="19" t="n">
        <x:v>3</x:v>
      </x:c>
      <x:c r="K32" s="19" t="str">
        <x:v>Take Aim</x:v>
      </x:c>
      <x:c r="L32" s="19" t="str">
        <x:v>A03U</x:v>
      </x:c>
      <x:c r="M32" s="49" t="str">
        <x:v>否</x:v>
      </x:c>
      <x:c r="N32" s="49" t="n">
        <x:v>4</x:v>
      </x:c>
      <x:c r="O32" s="49" t="n">
        <x:v>1</x:v>
      </x:c>
      <x:c r="P32" s="49" t="n">
        <x:v>2</x:v>
      </x:c>
      <x:c r="Q32" s="19" t="str">
        <x:v>被动/脚本触发</x:v>
      </x:c>
      <x:c r="R32" s="19" t="str">
        <x:v>被动</x:v>
      </x:c>
      <x:c r="S32" s="19" t="str">
        <x:v>强化</x:v>
      </x:c>
      <x:c r="T32" s="19" t="str">
        <x:v>强化、被动触发</x:v>
      </x:c>
      <x:c r="U32" s="48" t="str">
        <x:v>被动/脚本触发；被动；主分类：强化；标签：强化、被动触发</x:v>
      </x:c>
      <x:c r="V32" s="48" t="str">
        <x:v>—/—/—/—</x:v>
      </x:c>
      <x:c r="W32" s="48" t="str">
        <x:v>—/—/—/—</x:v>
      </x:c>
      <x:c r="X32" s="48" t="str">
        <x:v>—/—/—/—</x:v>
      </x:c>
      <x:c r="Y32" s="48" t="str">
        <x:v>—/—/—/—</x:v>
      </x:c>
      <x:c r="Z32" s="48" t="str">
        <x:v>—/—/—/—</x:v>
      </x:c>
      <x:c r="AA32" s="48" t="str">
        <x:v>—/—/—/—</x:v>
      </x:c>
      <x:c r="AB32" s="48" t="str">
        <x:v>—/—/—/—</x:v>
      </x:c>
      <x:c r="AC32" s="48" t="str">
        <x:v>被动/脚本触发；被动；主分类：强化；标签：强化、被动触发；等级：4；魔耗：—/—/—/—；冷却：—/—/—/—；施法距离：—/—/—/—；作用范围：—/—/—/—；持续时间：—/—/—/—。</x:v>
      </x:c>
      <x:c r="AD32" s="48" t="str">
        <x:v>1 / 55 / 2 / 110 / 3 / 165 / 4 / 220</x:v>
      </x:c>
      <x:c r="AE32" s="48" t="str">
        <x:v>A</x:v>
      </x:c>
      <x:c r="AF32" s="48" t="str">
        <x:v>6.48b 地图内 UnitAbilities/AbilityData/AbilityStrings 与对象修改表</x:v>
      </x:c>
      <x:c r="AG32" s="18" t="str">
        <x:v>S1</x:v>
      </x:c>
    </x:row>
    <x:row r="33" ht="48" customHeight="1">
      <x:c r="A33" s="19" t="str">
        <x:v>Usyl-4</x:v>
      </x:c>
      <x:c r="B33" s="19" t="str">
        <x:v>近卫军团</x:v>
      </x:c>
      <x:c r="C33" s="19" t="str">
        <x:v>光明酒馆</x:v>
      </x:c>
      <x:c r="D33" s="19" t="str">
        <x:v>矮人狙击手</x:v>
      </x:c>
      <x:c r="E33" s="19" t="str">
        <x:v>Dwarven Sniper</x:v>
      </x:c>
      <x:c r="F33" s="19" t="str">
        <x:v>Usyl</x:v>
      </x:c>
      <x:c r="G33" s="19" t="str">
        <x:v>Kardel Sharpeye</x:v>
      </x:c>
      <x:c r="H33" s="19" t="str">
        <x:v>AGI</x:v>
      </x:c>
      <x:c r="I33" s="19" t="str">
        <x:v>远程</x:v>
      </x:c>
      <x:c r="J33" s="19" t="n">
        <x:v>4</x:v>
      </x:c>
      <x:c r="K33" s="19" t="str">
        <x:v>Assassinate</x:v>
      </x:c>
      <x:c r="L33" s="19" t="str">
        <x:v>A04P</x:v>
      </x:c>
      <x:c r="M33" s="49" t="str">
        <x:v>是</x:v>
      </x:c>
      <x:c r="N33" s="49" t="n">
        <x:v>3</x:v>
      </x:c>
      <x:c r="O33" s="49" t="n">
        <x:v>6</x:v>
      </x:c>
      <x:c r="P33" s="49" t="n">
        <x:v>5</x:v>
      </x:c>
      <x:c r="Q33" s="19" t="str">
        <x:v>主动</x:v>
      </x:c>
      <x:c r="R33" s="19" t="str">
        <x:v>单位目标</x:v>
      </x:c>
      <x:c r="S33" s="19" t="str">
        <x:v>硬控</x:v>
      </x:c>
      <x:c r="T33" s="19" t="str">
        <x:v>伤害、硬控</x:v>
      </x:c>
      <x:c r="U33" s="48" t="str">
        <x:v>主动；单位目标；主分类：硬控；标签：伤害、硬控</x:v>
      </x:c>
      <x:c r="V33" s="48" t="str">
        <x:v>175/275/375</x:v>
      </x:c>
      <x:c r="W33" s="48" t="str">
        <x:v>30/20/10</x:v>
      </x:c>
      <x:c r="X33" s="48" t="str">
        <x:v>1500/2000/2500</x:v>
      </x:c>
      <x:c r="Y33" s="48" t="str">
        <x:v>—/—/—</x:v>
      </x:c>
      <x:c r="Z33" s="48" t="str">
        <x:v>0.01/0.01/0.01</x:v>
      </x:c>
      <x:c r="AA33" s="48" t="str">
        <x:v>0.01/0.01/0.01</x:v>
      </x:c>
      <x:c r="AB33" s="48" t="str">
        <x:v>air,ground,organic,enemy,neutral/air,ground,organic,enemy,neutral/air,ground,organic,enemy,neutral</x:v>
      </x:c>
      <x:c r="AC33" s="48" t="str">
        <x:v>主动；单位目标；主分类：硬控；标签：伤害、硬控；等级：3；魔耗：175/275/375；冷却：30/20/10；施法距离：1500/2000/2500；作用范围：—/—/—；持续时间：0.01/0.01/0.01。</x:v>
      </x:c>
      <x:c r="AD33" s="48" t="str">
        <x:v>1 / 355 / 1500 / 2 / 505 / 2000 / 3 / 655 / 2500 / 30 / 20 / 10 / 4</x:v>
      </x:c>
      <x:c r="AE33" s="48" t="str">
        <x:v>A</x:v>
      </x:c>
      <x:c r="AF33" s="48" t="str">
        <x:v>6.48b 地图内 UnitAbilities/AbilityData/AbilityStrings 与对象修改表</x:v>
      </x:c>
      <x:c r="AG33" s="18" t="str">
        <x:v>S1</x:v>
      </x:c>
    </x:row>
    <x:row r="34" ht="48" customHeight="1">
      <x:c r="A34" s="19" t="str">
        <x:v>Harf-1</x:v>
      </x:c>
      <x:c r="B34" s="19" t="str">
        <x:v>近卫军团</x:v>
      </x:c>
      <x:c r="C34" s="19" t="str">
        <x:v>光明酒馆</x:v>
      </x:c>
      <x:c r="D34" s="19" t="str">
        <x:v>全能骑士</x:v>
      </x:c>
      <x:c r="E34" s="19" t="str">
        <x:v>Omniknight</x:v>
      </x:c>
      <x:c r="F34" s="19" t="str">
        <x:v>Harf</x:v>
      </x:c>
      <x:c r="G34" s="19" t="str">
        <x:v>Purist Thunderwrath</x:v>
      </x:c>
      <x:c r="H34" s="19" t="str">
        <x:v>STR</x:v>
      </x:c>
      <x:c r="I34" s="19" t="str">
        <x:v>近战</x:v>
      </x:c>
      <x:c r="J34" s="19" t="n">
        <x:v>1</x:v>
      </x:c>
      <x:c r="K34" s="19" t="str">
        <x:v>Purification</x:v>
      </x:c>
      <x:c r="L34" s="19" t="str">
        <x:v>A08N</x:v>
      </x:c>
      <x:c r="M34" s="49" t="str">
        <x:v>否</x:v>
      </x:c>
      <x:c r="N34" s="49" t="n">
        <x:v>4</x:v>
      </x:c>
      <x:c r="O34" s="49" t="n">
        <x:v>1</x:v>
      </x:c>
      <x:c r="P34" s="49" t="n">
        <x:v>2</x:v>
      </x:c>
      <x:c r="Q34" s="19" t="str">
        <x:v>主动</x:v>
      </x:c>
      <x:c r="R34" s="19" t="str">
        <x:v>无目标/范围</x:v>
      </x:c>
      <x:c r="S34" s="19" t="str">
        <x:v>治疗/回复</x:v>
      </x:c>
      <x:c r="T34" s="19" t="str">
        <x:v>伤害、治疗/回复、范围效果</x:v>
      </x:c>
      <x:c r="U34" s="48" t="str">
        <x:v>主动；无目标/范围；主分类：治疗/回复；标签：伤害、治疗/回复、范围效果</x:v>
      </x:c>
      <x:c r="V34" s="48" t="str">
        <x:v>100/120/140/160</x:v>
      </x:c>
      <x:c r="W34" s="48" t="str">
        <x:v>12/12/12/12</x:v>
      </x:c>
      <x:c r="X34" s="48" t="str">
        <x:v>400/400/400/400</x:v>
      </x:c>
      <x:c r="Y34" s="48" t="str">
        <x:v>—/—/—/—</x:v>
      </x:c>
      <x:c r="Z34" s="48" t="str">
        <x:v>0.02/0.02/0.02/0.02</x:v>
      </x:c>
      <x:c r="AA34" s="48" t="str">
        <x:v>0.02/0.02/0.02/0.02</x:v>
      </x:c>
      <x:c r="AB34" s="48" t="str">
        <x:v>air,ground,friend,self,neutral/air,ground,friend,self,neutral/air,ground,friend,self,neutral/air,ground,friend,self,neutral</x:v>
      </x:c>
      <x:c r="AC34" s="48" t="str">
        <x:v>主动；无目标/范围；主分类：治疗/回复；标签：伤害、治疗/回复、范围效果；等级：4；魔耗：100/120/140/160；冷却：12/12/12/12；施法距离：400/400/400/400；作用范围：—/—/—/—；持续时间：0.02/0.02/0.02/0.02。</x:v>
      </x:c>
      <x:c r="AD34" s="48" t="str">
        <x:v>1 / 90 / 2 / 180 / 3 / 270 / 4 / 360 / 12</x:v>
      </x:c>
      <x:c r="AE34" s="48" t="str">
        <x:v>A</x:v>
      </x:c>
      <x:c r="AF34" s="48" t="str">
        <x:v>6.48b 地图内 UnitAbilities/AbilityData/AbilityStrings 与对象修改表</x:v>
      </x:c>
      <x:c r="AG34" s="18" t="str">
        <x:v>S1</x:v>
      </x:c>
    </x:row>
    <x:row r="35" ht="48" customHeight="1">
      <x:c r="A35" s="19" t="str">
        <x:v>Harf-2</x:v>
      </x:c>
      <x:c r="B35" s="19" t="str">
        <x:v>近卫军团</x:v>
      </x:c>
      <x:c r="C35" s="19" t="str">
        <x:v>光明酒馆</x:v>
      </x:c>
      <x:c r="D35" s="19" t="str">
        <x:v>全能骑士</x:v>
      </x:c>
      <x:c r="E35" s="19" t="str">
        <x:v>Omniknight</x:v>
      </x:c>
      <x:c r="F35" s="19" t="str">
        <x:v>Harf</x:v>
      </x:c>
      <x:c r="G35" s="19" t="str">
        <x:v>Purist Thunderwrath</x:v>
      </x:c>
      <x:c r="H35" s="19" t="str">
        <x:v>STR</x:v>
      </x:c>
      <x:c r="I35" s="19" t="str">
        <x:v>近战</x:v>
      </x:c>
      <x:c r="J35" s="19" t="n">
        <x:v>2</x:v>
      </x:c>
      <x:c r="K35" s="19" t="str">
        <x:v>Repel</x:v>
      </x:c>
      <x:c r="L35" s="19" t="str">
        <x:v>A08V</x:v>
      </x:c>
      <x:c r="M35" s="49" t="str">
        <x:v>否</x:v>
      </x:c>
      <x:c r="N35" s="49" t="n">
        <x:v>4</x:v>
      </x:c>
      <x:c r="O35" s="49" t="n">
        <x:v>1</x:v>
      </x:c>
      <x:c r="P35" s="49" t="n">
        <x:v>2</x:v>
      </x:c>
      <x:c r="Q35" s="19" t="str">
        <x:v>主动</x:v>
      </x:c>
      <x:c r="R35" s="19" t="str">
        <x:v>单位目标</x:v>
      </x:c>
      <x:c r="S35" s="19" t="str">
        <x:v>召唤</x:v>
      </x:c>
      <x:c r="T35" s="19" t="str">
        <x:v>召唤</x:v>
      </x:c>
      <x:c r="U35" s="48" t="str">
        <x:v>主动；单位目标；主分类：召唤；标签：召唤</x:v>
      </x:c>
      <x:c r="V35" s="48" t="str">
        <x:v>60/70/80/90</x:v>
      </x:c>
      <x:c r="W35" s="48" t="str">
        <x:v>20/20/20/20</x:v>
      </x:c>
      <x:c r="X35" s="48" t="str">
        <x:v>500/500/500/500</x:v>
      </x:c>
      <x:c r="Y35" s="48" t="str">
        <x:v>—/—/—/—</x:v>
      </x:c>
      <x:c r="Z35" s="48" t="str">
        <x:v>10/20/30/40</x:v>
      </x:c>
      <x:c r="AA35" s="48" t="str">
        <x:v>5/10/15/20</x:v>
      </x:c>
      <x:c r="AB35" s="48" t="str">
        <x:v>air,ground,vuln,invu/air,ground,vuln,invu/air,ground,vuln,invu/air,ground,vuln,invu</x:v>
      </x:c>
      <x:c r="AC35" s="48" t="str">
        <x:v>主动；单位目标；主分类：召唤；标签：召唤；等级：4；魔耗：60/70/80/90；冷却：20/20/20/20；施法距离：500/500/500/500；作用范围：—/—/—/—；持续时间：10/20/30/40。</x:v>
      </x:c>
      <x:c r="AD35" s="48" t="str">
        <x:v>1 / 5 / 2 / 10 / 3 / 15 / 4 / 20</x:v>
      </x:c>
      <x:c r="AE35" s="48" t="str">
        <x:v>A</x:v>
      </x:c>
      <x:c r="AF35" s="48" t="str">
        <x:v>6.48b 地图内 UnitAbilities/AbilityData/AbilityStrings 与对象修改表</x:v>
      </x:c>
      <x:c r="AG35" s="18" t="str">
        <x:v>S1</x:v>
      </x:c>
    </x:row>
    <x:row r="36" ht="48" customHeight="1">
      <x:c r="A36" s="19" t="str">
        <x:v>Harf-3</x:v>
      </x:c>
      <x:c r="B36" s="19" t="str">
        <x:v>近卫军团</x:v>
      </x:c>
      <x:c r="C36" s="19" t="str">
        <x:v>光明酒馆</x:v>
      </x:c>
      <x:c r="D36" s="19" t="str">
        <x:v>全能骑士</x:v>
      </x:c>
      <x:c r="E36" s="19" t="str">
        <x:v>Omniknight</x:v>
      </x:c>
      <x:c r="F36" s="19" t="str">
        <x:v>Harf</x:v>
      </x:c>
      <x:c r="G36" s="19" t="str">
        <x:v>Purist Thunderwrath</x:v>
      </x:c>
      <x:c r="H36" s="19" t="str">
        <x:v>STR</x:v>
      </x:c>
      <x:c r="I36" s="19" t="str">
        <x:v>近战</x:v>
      </x:c>
      <x:c r="J36" s="19" t="n">
        <x:v>3</x:v>
      </x:c>
      <x:c r="K36" s="19" t="str">
        <x:v>Degen Aura</x:v>
      </x:c>
      <x:c r="L36" s="19" t="str">
        <x:v>A06A</x:v>
      </x:c>
      <x:c r="M36" s="49" t="str">
        <x:v>否</x:v>
      </x:c>
      <x:c r="N36" s="49" t="n">
        <x:v>4</x:v>
      </x:c>
      <x:c r="O36" s="49" t="n">
        <x:v>1</x:v>
      </x:c>
      <x:c r="P36" s="49" t="n">
        <x:v>2</x:v>
      </x:c>
      <x:c r="Q36" s="19" t="str">
        <x:v>被动</x:v>
      </x:c>
      <x:c r="R36" s="19" t="str">
        <x:v>被动</x:v>
      </x:c>
      <x:c r="S36" s="19" t="str">
        <x:v>软控</x:v>
      </x:c>
      <x:c r="T36" s="19" t="str">
        <x:v>软控、强化、削弱、光环、范围效果、被动触发</x:v>
      </x:c>
      <x:c r="U36" s="48" t="str">
        <x:v>被动；被动；主分类：软控；标签：软控、强化、削弱、光环、范围效果、被动触发</x:v>
      </x:c>
      <x:c r="V36" s="48" t="str">
        <x:v>—/—/—/—</x:v>
      </x:c>
      <x:c r="W36" s="48" t="str">
        <x:v>—/—/—/—</x:v>
      </x:c>
      <x:c r="X36" s="48" t="str">
        <x:v>—/—/—/—</x:v>
      </x:c>
      <x:c r="Y36" s="48" t="str">
        <x:v>300/300/300/300</x:v>
      </x:c>
      <x:c r="Z36" s="48" t="str">
        <x:v>—/—/—/—</x:v>
      </x:c>
      <x:c r="AA36" s="48" t="str">
        <x:v>—/—/—/—</x:v>
      </x:c>
      <x:c r="AB36" s="48" t="str">
        <x:v>air,enemies,ground,invulnerable,structure,vulnerable/air,enemies,ground,invulnerable,structure,vulnerable/air,enemies,ground,invulnerable,structure,vulnerable/air,enemies,ground,invulnerable,structure,vulnerable</x:v>
      </x:c>
      <x:c r="AC36" s="48" t="str">
        <x:v>被动；被动；主分类：软控；标签：软控、强化、削弱、光环、范围效果、被动触发；等级：4；魔耗：—/—/—/—；冷却：—/—/—/—；施法距离：—/—/—/—；作用范围：300/300/300/300；持续时间：—/—/—/—。</x:v>
      </x:c>
      <x:c r="AD36" s="48" t="str">
        <x:v>1 / 7% / 2 / 14% / 3 / 21% / 4 / 28%</x:v>
      </x:c>
      <x:c r="AE36" s="48" t="str">
        <x:v>A</x:v>
      </x:c>
      <x:c r="AF36" s="48" t="str">
        <x:v>6.48b 地图内 UnitAbilities/AbilityData/AbilityStrings 与对象修改表</x:v>
      </x:c>
      <x:c r="AG36" s="18" t="str">
        <x:v>S1</x:v>
      </x:c>
    </x:row>
    <x:row r="37" ht="48" customHeight="1">
      <x:c r="A37" s="19" t="str">
        <x:v>Harf-4</x:v>
      </x:c>
      <x:c r="B37" s="19" t="str">
        <x:v>近卫军团</x:v>
      </x:c>
      <x:c r="C37" s="19" t="str">
        <x:v>光明酒馆</x:v>
      </x:c>
      <x:c r="D37" s="19" t="str">
        <x:v>全能骑士</x:v>
      </x:c>
      <x:c r="E37" s="19" t="str">
        <x:v>Omniknight</x:v>
      </x:c>
      <x:c r="F37" s="19" t="str">
        <x:v>Harf</x:v>
      </x:c>
      <x:c r="G37" s="19" t="str">
        <x:v>Purist Thunderwrath</x:v>
      </x:c>
      <x:c r="H37" s="19" t="str">
        <x:v>STR</x:v>
      </x:c>
      <x:c r="I37" s="19" t="str">
        <x:v>近战</x:v>
      </x:c>
      <x:c r="J37" s="19" t="n">
        <x:v>4</x:v>
      </x:c>
      <x:c r="K37" s="19" t="str">
        <x:v>Guardian Angel</x:v>
      </x:c>
      <x:c r="L37" s="19" t="str">
        <x:v>A0ER</x:v>
      </x:c>
      <x:c r="M37" s="49" t="str">
        <x:v>是</x:v>
      </x:c>
      <x:c r="N37" s="49" t="n">
        <x:v>3</x:v>
      </x:c>
      <x:c r="O37" s="49" t="n">
        <x:v>6</x:v>
      </x:c>
      <x:c r="P37" s="49" t="n">
        <x:v>5</x:v>
      </x:c>
      <x:c r="Q37" s="19" t="str">
        <x:v>主动</x:v>
      </x:c>
      <x:c r="R37" s="19" t="str">
        <x:v>无目标/范围</x:v>
      </x:c>
      <x:c r="S37" s="19" t="str">
        <x:v>治疗/回复</x:v>
      </x:c>
      <x:c r="T37" s="19" t="str">
        <x:v>伤害、治疗/回复、强化、范围效果</x:v>
      </x:c>
      <x:c r="U37" s="48" t="str">
        <x:v>主动；无目标/范围；主分类：治疗/回复；标签：伤害、治疗/回复、强化、范围效果</x:v>
      </x:c>
      <x:c r="V37" s="48" t="str">
        <x:v>125/175/250</x:v>
      </x:c>
      <x:c r="W37" s="48" t="str">
        <x:v>150/150/150</x:v>
      </x:c>
      <x:c r="X37" s="48" t="str">
        <x:v>—/—/—</x:v>
      </x:c>
      <x:c r="Y37" s="48" t="str">
        <x:v>1000/1000/1000</x:v>
      </x:c>
      <x:c r="Z37" s="48" t="str">
        <x:v>5/7/9</x:v>
      </x:c>
      <x:c r="AA37" s="48" t="str">
        <x:v>5/7/9</x:v>
      </x:c>
      <x:c r="AB37" s="48" t="str">
        <x:v>air,friend,ground,neutral,self/air,friend,ground,neutral,self/air,friend,ground,neutral,self</x:v>
      </x:c>
      <x:c r="AC37" s="48" t="str">
        <x:v>主动；无目标/范围；主分类：治疗/回复；标签：伤害、治疗/回复、强化、范围效果；等级：3；魔耗：125/175/250；冷却：150/150/150；施法距离：—/—/—；作用范围：1000/1000/1000；持续时间：5/7/9。</x:v>
      </x:c>
      <x:c r="AD37" s="48" t="str">
        <x:v>1 / 5 / 2 / 7 / 3 / 9 / 150 / 4</x:v>
      </x:c>
      <x:c r="AE37" s="48" t="str">
        <x:v>A</x:v>
      </x:c>
      <x:c r="AF37" s="48" t="str">
        <x:v>6.48b 地图内 UnitAbilities/AbilityData/AbilityStrings 与对象修改表</x:v>
      </x:c>
      <x:c r="AG37" s="18" t="str">
        <x:v>S1</x:v>
      </x:c>
    </x:row>
    <x:row r="38" ht="48" customHeight="1">
      <x:c r="A38" s="19" t="str">
        <x:v>N016-1</x:v>
      </x:c>
      <x:c r="B38" s="19" t="str">
        <x:v>近卫军团</x:v>
      </x:c>
      <x:c r="C38" s="19" t="str">
        <x:v>光明酒馆</x:v>
      </x:c>
      <x:c r="D38" s="19" t="str">
        <x:v>巨魔战将</x:v>
      </x:c>
      <x:c r="E38" s="19" t="str">
        <x:v>Troll Warlord</x:v>
      </x:c>
      <x:c r="F38" s="19" t="str">
        <x:v>N016</x:v>
      </x:c>
      <x:c r="G38" s="19" t="str">
        <x:v>Jah'rakal</x:v>
      </x:c>
      <x:c r="H38" s="19" t="str">
        <x:v>AGI</x:v>
      </x:c>
      <x:c r="I38" s="19" t="str">
        <x:v>远程</x:v>
      </x:c>
      <x:c r="J38" s="19" t="n">
        <x:v>1</x:v>
      </x:c>
      <x:c r="K38" s="19" t="str">
        <x:v>Blind</x:v>
      </x:c>
      <x:c r="L38" s="19" t="str">
        <x:v>A0BC</x:v>
      </x:c>
      <x:c r="M38" s="49" t="str">
        <x:v>否</x:v>
      </x:c>
      <x:c r="N38" s="49" t="n">
        <x:v>4</x:v>
      </x:c>
      <x:c r="O38" s="49" t="n">
        <x:v>1</x:v>
      </x:c>
      <x:c r="P38" s="49" t="n">
        <x:v>2</x:v>
      </x:c>
      <x:c r="Q38" s="19" t="str">
        <x:v>开关/自动施放</x:v>
      </x:c>
      <x:c r="R38" s="19" t="str">
        <x:v>单位目标</x:v>
      </x:c>
      <x:c r="S38" s="19" t="str">
        <x:v>软控</x:v>
      </x:c>
      <x:c r="T38" s="19" t="str">
        <x:v>软控、视野/侦察</x:v>
      </x:c>
      <x:c r="U38" s="48" t="str">
        <x:v>开关/自动施放；单位目标；主分类：软控；标签：软控、视野/侦察</x:v>
      </x:c>
      <x:c r="V38" s="48" t="str">
        <x:v>20/20/20/20</x:v>
      </x:c>
      <x:c r="W38" s="48" t="str">
        <x:v>8/8/8/8</x:v>
      </x:c>
      <x:c r="X38" s="48" t="str">
        <x:v>700/700/700/700</x:v>
      </x:c>
      <x:c r="Y38" s="48" t="str">
        <x:v>—/—/—/—</x:v>
      </x:c>
      <x:c r="Z38" s="48" t="str">
        <x:v>30/30/30/30</x:v>
      </x:c>
      <x:c r="AA38" s="48" t="str">
        <x:v>15/15/15/15</x:v>
      </x:c>
      <x:c r="AB38" s="48" t="str">
        <x:v>air,ground,enemy,organic,neutral/air,ground,enemy,organic,neutral/air,ground,enemy,organic,neutral/air,ground,enemy,organic,neutral</x:v>
      </x:c>
      <x:c r="AC38" s="48" t="str">
        <x:v>开关/自动施放；单位目标；主分类：软控；标签：软控、视野/侦察；等级：4；魔耗：20/20/20/20；冷却：8/8/8/8；施法距离：700/700/700/700；作用范围：—/—/—/—；持续时间：30/30/30/30。</x:v>
      </x:c>
      <x:c r="AD38" s="48" t="str">
        <x:v>15 / 1 / 15% / 2 / 24% / 3 / 33% / 4 / 42% / 8</x:v>
      </x:c>
      <x:c r="AE38" s="48" t="str">
        <x:v>A</x:v>
      </x:c>
      <x:c r="AF38" s="48" t="str">
        <x:v>6.48b 地图内 UnitAbilities/AbilityData/AbilityStrings 与对象修改表</x:v>
      </x:c>
      <x:c r="AG38" s="18" t="str">
        <x:v>S1</x:v>
      </x:c>
    </x:row>
    <x:row r="39" ht="48" customHeight="1">
      <x:c r="A39" s="19" t="str">
        <x:v>N016-2</x:v>
      </x:c>
      <x:c r="B39" s="19" t="str">
        <x:v>近卫军团</x:v>
      </x:c>
      <x:c r="C39" s="19" t="str">
        <x:v>光明酒馆</x:v>
      </x:c>
      <x:c r="D39" s="19" t="str">
        <x:v>巨魔战将</x:v>
      </x:c>
      <x:c r="E39" s="19" t="str">
        <x:v>Troll Warlord</x:v>
      </x:c>
      <x:c r="F39" s="19" t="str">
        <x:v>N016</x:v>
      </x:c>
      <x:c r="G39" s="19" t="str">
        <x:v>Jah'rakal</x:v>
      </x:c>
      <x:c r="H39" s="19" t="str">
        <x:v>AGI</x:v>
      </x:c>
      <x:c r="I39" s="19" t="str">
        <x:v>远程</x:v>
      </x:c>
      <x:c r="J39" s="19" t="n">
        <x:v>2</x:v>
      </x:c>
      <x:c r="K39" s="19" t="str">
        <x:v>Fervor</x:v>
      </x:c>
      <x:c r="L39" s="19" t="str">
        <x:v>A0BD</x:v>
      </x:c>
      <x:c r="M39" s="49" t="str">
        <x:v>否</x:v>
      </x:c>
      <x:c r="N39" s="49" t="n">
        <x:v>4</x:v>
      </x:c>
      <x:c r="O39" s="49" t="n">
        <x:v>1</x:v>
      </x:c>
      <x:c r="P39" s="49" t="n">
        <x:v>2</x:v>
      </x:c>
      <x:c r="Q39" s="19" t="str">
        <x:v>被动</x:v>
      </x:c>
      <x:c r="R39" s="19" t="str">
        <x:v>被动</x:v>
      </x:c>
      <x:c r="S39" s="19" t="str">
        <x:v>软控</x:v>
      </x:c>
      <x:c r="T39" s="19" t="str">
        <x:v>软控、强化、范围效果、被动触发</x:v>
      </x:c>
      <x:c r="U39" s="48" t="str">
        <x:v>被动；被动；主分类：软控；标签：软控、强化、范围效果、被动触发</x:v>
      </x:c>
      <x:c r="V39" s="48" t="str">
        <x:v>—/—/—/—</x:v>
      </x:c>
      <x:c r="W39" s="48" t="str">
        <x:v>—/—/—/—</x:v>
      </x:c>
      <x:c r="X39" s="48" t="str">
        <x:v>—/—/—/—</x:v>
      </x:c>
      <x:c r="Y39" s="48" t="str">
        <x:v>300/300/300/300</x:v>
      </x:c>
      <x:c r="Z39" s="48" t="str">
        <x:v>—/—/—/—</x:v>
      </x:c>
      <x:c r="AA39" s="48" t="str">
        <x:v>—/—/—/—</x:v>
      </x:c>
      <x:c r="AB39" s="48" t="str">
        <x:v>air,ground,friend,self,vuln,invu/air,ground,friend,self,vuln,invu/air,ground,friend,self,vuln,invu/air,ground,friend,self,vuln,invu</x:v>
      </x:c>
      <x:c r="AC39" s="48" t="str">
        <x:v>被动；被动；主分类：软控；标签：软控、强化、范围效果、被动触发；等级：4；魔耗：—/—/—/—；冷却：—/—/—/—；施法距离：—/—/—/—；作用范围：300/300/300/300；持续时间：—/—/—/—。</x:v>
      </x:c>
      <x:c r="AD39" s="48" t="str">
        <x:v>1 / 5% / 2 / 15% / 3 / 20% / 4 / 30%</x:v>
      </x:c>
      <x:c r="AE39" s="48" t="str">
        <x:v>A</x:v>
      </x:c>
      <x:c r="AF39" s="48" t="str">
        <x:v>6.48b 地图内 UnitAbilities/AbilityData/AbilityStrings 与对象修改表</x:v>
      </x:c>
      <x:c r="AG39" s="18" t="str">
        <x:v>S1</x:v>
      </x:c>
    </x:row>
    <x:row r="40" ht="48" customHeight="1">
      <x:c r="A40" s="19" t="str">
        <x:v>N016-3</x:v>
      </x:c>
      <x:c r="B40" s="19" t="str">
        <x:v>近卫军团</x:v>
      </x:c>
      <x:c r="C40" s="19" t="str">
        <x:v>光明酒馆</x:v>
      </x:c>
      <x:c r="D40" s="19" t="str">
        <x:v>巨魔战将</x:v>
      </x:c>
      <x:c r="E40" s="19" t="str">
        <x:v>Troll Warlord</x:v>
      </x:c>
      <x:c r="F40" s="19" t="str">
        <x:v>N016</x:v>
      </x:c>
      <x:c r="G40" s="19" t="str">
        <x:v>Jah'rakal</x:v>
      </x:c>
      <x:c r="H40" s="19" t="str">
        <x:v>AGI</x:v>
      </x:c>
      <x:c r="I40" s="19" t="str">
        <x:v>远程</x:v>
      </x:c>
      <x:c r="J40" s="19" t="n">
        <x:v>3</x:v>
      </x:c>
      <x:c r="K40" s="19" t="str">
        <x:v>Rampage</x:v>
      </x:c>
      <x:c r="L40" s="19" t="str">
        <x:v>A0BB</x:v>
      </x:c>
      <x:c r="M40" s="49" t="str">
        <x:v>是</x:v>
      </x:c>
      <x:c r="N40" s="49" t="n">
        <x:v>3</x:v>
      </x:c>
      <x:c r="O40" s="49" t="n">
        <x:v>6</x:v>
      </x:c>
      <x:c r="P40" s="49" t="n">
        <x:v>5</x:v>
      </x:c>
      <x:c r="Q40" s="19" t="str">
        <x:v>主动</x:v>
      </x:c>
      <x:c r="R40" s="19" t="str">
        <x:v>无目标或脚本目标</x:v>
      </x:c>
      <x:c r="S40" s="19" t="str">
        <x:v>软控</x:v>
      </x:c>
      <x:c r="T40" s="19" t="str">
        <x:v>软控、强化</x:v>
      </x:c>
      <x:c r="U40" s="48" t="str">
        <x:v>主动；无目标或脚本目标；主分类：软控；标签：软控、强化</x:v>
      </x:c>
      <x:c r="V40" s="48" t="str">
        <x:v>100/150/205</x:v>
      </x:c>
      <x:c r="W40" s="48" t="str">
        <x:v>90/80/70</x:v>
      </x:c>
      <x:c r="X40" s="48" t="str">
        <x:v>—/—/—</x:v>
      </x:c>
      <x:c r="Y40" s="48" t="str">
        <x:v>—/—/—</x:v>
      </x:c>
      <x:c r="Z40" s="48" t="str">
        <x:v>30/30/30</x:v>
      </x:c>
      <x:c r="AA40" s="48" t="str">
        <x:v>30/30/30</x:v>
      </x:c>
      <x:c r="AB40" s="48" t="str">
        <x:v>—/—/—</x:v>
      </x:c>
      <x:c r="AC40" s="48" t="str">
        <x:v>主动；无目标或脚本目标；主分类：软控；标签：软控、强化；等级：3；魔耗：100/150/205；冷却：90/80/70；施法距离：—/—/—；作用范围：—/—/—；持续时间：30/30/30。</x:v>
      </x:c>
      <x:c r="AD40" s="48" t="str">
        <x:v>30 / 1 / 40% / 7% / 2 / 80% / 9% / 3 / 120% / 11% / 90 / 80 / 70</x:v>
      </x:c>
      <x:c r="AE40" s="48" t="str">
        <x:v>A</x:v>
      </x:c>
      <x:c r="AF40" s="48" t="str">
        <x:v>6.48b 地图内 UnitAbilities/AbilityData/AbilityStrings 与对象修改表</x:v>
      </x:c>
      <x:c r="AG40" s="18" t="str">
        <x:v>S1</x:v>
      </x:c>
    </x:row>
    <x:row r="41" ht="48" customHeight="1">
      <x:c r="A41" s="19" t="str">
        <x:v>N016-4</x:v>
      </x:c>
      <x:c r="B41" s="19" t="str">
        <x:v>近卫军团</x:v>
      </x:c>
      <x:c r="C41" s="19" t="str">
        <x:v>光明酒馆</x:v>
      </x:c>
      <x:c r="D41" s="19" t="str">
        <x:v>巨魔战将</x:v>
      </x:c>
      <x:c r="E41" s="19" t="str">
        <x:v>Troll Warlord</x:v>
      </x:c>
      <x:c r="F41" s="19" t="str">
        <x:v>N016</x:v>
      </x:c>
      <x:c r="G41" s="19" t="str">
        <x:v>Jah'rakal</x:v>
      </x:c>
      <x:c r="H41" s="19" t="str">
        <x:v>AGI</x:v>
      </x:c>
      <x:c r="I41" s="19" t="str">
        <x:v>远程</x:v>
      </x:c>
      <x:c r="J41" s="19" t="n">
        <x:v>4</x:v>
      </x:c>
      <x:c r="K41" s="19" t="str">
        <x:v>Berserker Rage</x:v>
      </x:c>
      <x:c r="L41" s="19" t="str">
        <x:v>A0BE</x:v>
      </x:c>
      <x:c r="M41" s="49" t="str">
        <x:v>否</x:v>
      </x:c>
      <x:c r="N41" s="49" t="n">
        <x:v>4</x:v>
      </x:c>
      <x:c r="O41" s="49" t="n">
        <x:v>1</x:v>
      </x:c>
      <x:c r="P41" s="49" t="n">
        <x:v>2</x:v>
      </x:c>
      <x:c r="Q41" s="19" t="str">
        <x:v>被动</x:v>
      </x:c>
      <x:c r="R41" s="19" t="str">
        <x:v>被动</x:v>
      </x:c>
      <x:c r="S41" s="19" t="str">
        <x:v>防御/生存</x:v>
      </x:c>
      <x:c r="T41" s="19" t="str">
        <x:v>伤害、硬控、软控、防御/生存、强化、变身/形态、被动触发</x:v>
      </x:c>
      <x:c r="U41" s="48" t="str">
        <x:v>被动；被动；主分类：防御/生存；标签：伤害、硬控、软控、防御/生存、强化、变身/形态、被动触发</x:v>
      </x:c>
      <x:c r="V41" s="48" t="str">
        <x:v>—/—/—/—</x:v>
      </x:c>
      <x:c r="W41" s="48" t="str">
        <x:v>—/—/—/—</x:v>
      </x:c>
      <x:c r="X41" s="48" t="str">
        <x:v>—/—/—/—</x:v>
      </x:c>
      <x:c r="Y41" s="48" t="str">
        <x:v>—/—/—/—</x:v>
      </x:c>
      <x:c r="Z41" s="48" t="str">
        <x:v>0.1/0.1/0.1/0.1</x:v>
      </x:c>
      <x:c r="AA41" s="48" t="str">
        <x:v>—/—/—/—</x:v>
      </x:c>
      <x:c r="AB41" s="48" t="str">
        <x:v>—/—/—/—</x:v>
      </x:c>
      <x:c r="AC41" s="48" t="str">
        <x:v>被动；被动；主分类：防御/生存；标签：伤害、硬控、软控、防御/生存、强化、变身/形态、被动触发；等级：4；魔耗：—/—/—/—；冷却：—/—/—/—；施法距离：—/—/—/—；作用范围：—/—/—/—；持续时间：0.1/0.1/0.1/0.1。</x:v>
      </x:c>
      <x:c r="AD41" s="48" t="str">
        <x:v>1 / 5% / 25 / 2 / 50 / 3 / 10% / 4</x:v>
      </x:c>
      <x:c r="AE41" s="48" t="str">
        <x:v>A</x:v>
      </x:c>
      <x:c r="AF41" s="48" t="str">
        <x:v>6.48b 地图内 UnitAbilities/AbilityData/AbilityStrings 与对象修改表</x:v>
      </x:c>
      <x:c r="AG41" s="18" t="str">
        <x:v>S1</x:v>
      </x:c>
    </x:row>
    <x:row r="42" ht="48" customHeight="1">
      <x:c r="A42" s="19" t="str">
        <x:v>Naka-1</x:v>
      </x:c>
      <x:c r="B42" s="19" t="str">
        <x:v>近卫军团</x:v>
      </x:c>
      <x:c r="C42" s="19" t="str">
        <x:v>光明酒馆</x:v>
      </x:c>
      <x:c r="D42" s="19" t="str">
        <x:v>赏金猎人</x:v>
      </x:c>
      <x:c r="E42" s="19" t="str">
        <x:v>Bounty Hunter</x:v>
      </x:c>
      <x:c r="F42" s="19" t="str">
        <x:v>Naka</x:v>
      </x:c>
      <x:c r="G42" s="19" t="str">
        <x:v>Gondar</x:v>
      </x:c>
      <x:c r="H42" s="19" t="str">
        <x:v>AGI</x:v>
      </x:c>
      <x:c r="I42" s="19" t="str">
        <x:v>近战</x:v>
      </x:c>
      <x:c r="J42" s="19" t="n">
        <x:v>1</x:v>
      </x:c>
      <x:c r="K42" s="19" t="str">
        <x:v>Shuriken Toss</x:v>
      </x:c>
      <x:c r="L42" s="19" t="str">
        <x:v>A004</x:v>
      </x:c>
      <x:c r="M42" s="49" t="str">
        <x:v>否</x:v>
      </x:c>
      <x:c r="N42" s="49" t="n">
        <x:v>4</x:v>
      </x:c>
      <x:c r="O42" s="49" t="n">
        <x:v>1</x:v>
      </x:c>
      <x:c r="P42" s="49" t="n">
        <x:v>2</x:v>
      </x:c>
      <x:c r="Q42" s="19" t="str">
        <x:v>主动</x:v>
      </x:c>
      <x:c r="R42" s="19" t="str">
        <x:v>单位目标</x:v>
      </x:c>
      <x:c r="S42" s="19" t="str">
        <x:v>伤害</x:v>
      </x:c>
      <x:c r="T42" s="19" t="str">
        <x:v>伤害</x:v>
      </x:c>
      <x:c r="U42" s="48" t="str">
        <x:v>主动；单位目标；主分类：伤害；标签：伤害</x:v>
      </x:c>
      <x:c r="V42" s="48" t="str">
        <x:v>90/115/135/155</x:v>
      </x:c>
      <x:c r="W42" s="48" t="str">
        <x:v>10/10/10/10</x:v>
      </x:c>
      <x:c r="X42" s="48" t="str">
        <x:v>300/300/300/300</x:v>
      </x:c>
      <x:c r="Y42" s="48" t="str">
        <x:v>—/—/—/—</x:v>
      </x:c>
      <x:c r="Z42" s="48" t="str">
        <x:v>0.01/0.01/0.01/0.01</x:v>
      </x:c>
      <x:c r="AA42" s="48" t="str">
        <x:v>0.01/0.01/0.01/0.01</x:v>
      </x:c>
      <x:c r="AB42" s="48" t="str">
        <x:v>air,ground,debris,enemy,neutral,organic/air,ground,debris,enemy,neutral,organic/air,ground,debris,enemy,neutral,organic/air,ground,debris,enemy,neutral,organic</x:v>
      </x:c>
      <x:c r="AC42" s="48" t="str">
        <x:v>主动；单位目标；主分类：伤害；标签：伤害；等级：4；魔耗：90/115/135/155；冷却：10/10/10/10；施法距离：300/300/300/300；作用范围：—/—/—/—；持续时间：0.01/0.01/0.01/0.01。</x:v>
      </x:c>
      <x:c r="AD42" s="48" t="str">
        <x:v>1 / 100 / 2 / 200 / 3 / 250 / 4 / 325 / 10</x:v>
      </x:c>
      <x:c r="AE42" s="48" t="str">
        <x:v>A</x:v>
      </x:c>
      <x:c r="AF42" s="48" t="str">
        <x:v>6.48b 地图内 UnitAbilities/AbilityData/AbilityStrings 与对象修改表</x:v>
      </x:c>
      <x:c r="AG42" s="18" t="str">
        <x:v>S1</x:v>
      </x:c>
    </x:row>
    <x:row r="43" ht="48" customHeight="1">
      <x:c r="A43" s="19" t="str">
        <x:v>Naka-2</x:v>
      </x:c>
      <x:c r="B43" s="19" t="str">
        <x:v>近卫军团</x:v>
      </x:c>
      <x:c r="C43" s="19" t="str">
        <x:v>光明酒馆</x:v>
      </x:c>
      <x:c r="D43" s="19" t="str">
        <x:v>赏金猎人</x:v>
      </x:c>
      <x:c r="E43" s="19" t="str">
        <x:v>Bounty Hunter</x:v>
      </x:c>
      <x:c r="F43" s="19" t="str">
        <x:v>Naka</x:v>
      </x:c>
      <x:c r="G43" s="19" t="str">
        <x:v>Gondar</x:v>
      </x:c>
      <x:c r="H43" s="19" t="str">
        <x:v>AGI</x:v>
      </x:c>
      <x:c r="I43" s="19" t="str">
        <x:v>近战</x:v>
      </x:c>
      <x:c r="J43" s="19" t="n">
        <x:v>2</x:v>
      </x:c>
      <x:c r="K43" s="19" t="str">
        <x:v>Jinada</x:v>
      </x:c>
      <x:c r="L43" s="19" t="str">
        <x:v>A000</x:v>
      </x:c>
      <x:c r="M43" s="49" t="str">
        <x:v>否</x:v>
      </x:c>
      <x:c r="N43" s="49" t="n">
        <x:v>4</x:v>
      </x:c>
      <x:c r="O43" s="49" t="n">
        <x:v>1</x:v>
      </x:c>
      <x:c r="P43" s="49" t="n">
        <x:v>2</x:v>
      </x:c>
      <x:c r="Q43" s="19" t="str">
        <x:v>被动</x:v>
      </x:c>
      <x:c r="R43" s="19" t="str">
        <x:v>被动</x:v>
      </x:c>
      <x:c r="S43" s="19" t="str">
        <x:v>伤害</x:v>
      </x:c>
      <x:c r="T43" s="19" t="str">
        <x:v>伤害、被动触发</x:v>
      </x:c>
      <x:c r="U43" s="48" t="str">
        <x:v>被动；被动；主分类：伤害；标签：伤害、被动触发</x:v>
      </x:c>
      <x:c r="V43" s="48" t="str">
        <x:v>—/—/—/—</x:v>
      </x:c>
      <x:c r="W43" s="48" t="str">
        <x:v>—/—/—/—</x:v>
      </x:c>
      <x:c r="X43" s="48" t="str">
        <x:v>—/—/—/—</x:v>
      </x:c>
      <x:c r="Y43" s="48" t="str">
        <x:v>—/—/—/—</x:v>
      </x:c>
      <x:c r="Z43" s="48" t="str">
        <x:v>—/—/—/—</x:v>
      </x:c>
      <x:c r="AA43" s="48" t="str">
        <x:v>—/—/—/—</x:v>
      </x:c>
      <x:c r="AB43" s="48" t="str">
        <x:v>organic/organic/organic/organic</x:v>
      </x:c>
      <x:c r="AC43" s="48" t="str">
        <x:v>被动；被动；主分类：伤害；标签：伤害、被动触发；等级：4；魔耗：—/—/—/—；冷却：—/—/—/—；施法距离：—/—/—/—；作用范围：—/—/—/—；持续时间：—/—/—/—。</x:v>
      </x:c>
      <x:c r="AD43" s="48" t="str">
        <x:v>15% / 1 / 5% / 1.25 / 2 / 10% / 1.5 / 3 / 1.75 / 4 / 20%</x:v>
      </x:c>
      <x:c r="AE43" s="48" t="str">
        <x:v>A</x:v>
      </x:c>
      <x:c r="AF43" s="48" t="str">
        <x:v>6.48b 地图内 UnitAbilities/AbilityData/AbilityStrings 与对象修改表</x:v>
      </x:c>
      <x:c r="AG43" s="18" t="str">
        <x:v>S1</x:v>
      </x:c>
    </x:row>
    <x:row r="44" ht="48" customHeight="1">
      <x:c r="A44" s="19" t="str">
        <x:v>Naka-3</x:v>
      </x:c>
      <x:c r="B44" s="19" t="str">
        <x:v>近卫军团</x:v>
      </x:c>
      <x:c r="C44" s="19" t="str">
        <x:v>光明酒馆</x:v>
      </x:c>
      <x:c r="D44" s="19" t="str">
        <x:v>赏金猎人</x:v>
      </x:c>
      <x:c r="E44" s="19" t="str">
        <x:v>Bounty Hunter</x:v>
      </x:c>
      <x:c r="F44" s="19" t="str">
        <x:v>Naka</x:v>
      </x:c>
      <x:c r="G44" s="19" t="str">
        <x:v>Gondar</x:v>
      </x:c>
      <x:c r="H44" s="19" t="str">
        <x:v>AGI</x:v>
      </x:c>
      <x:c r="I44" s="19" t="str">
        <x:v>近战</x:v>
      </x:c>
      <x:c r="J44" s="19" t="n">
        <x:v>3</x:v>
      </x:c>
      <x:c r="K44" s="19" t="str">
        <x:v>Wind Walk</x:v>
      </x:c>
      <x:c r="L44" s="19" t="str">
        <x:v>A07A</x:v>
      </x:c>
      <x:c r="M44" s="49" t="str">
        <x:v>否</x:v>
      </x:c>
      <x:c r="N44" s="49" t="n">
        <x:v>4</x:v>
      </x:c>
      <x:c r="O44" s="49" t="n">
        <x:v>1</x:v>
      </x:c>
      <x:c r="P44" s="49" t="n">
        <x:v>2</x:v>
      </x:c>
      <x:c r="Q44" s="19" t="str">
        <x:v>主动</x:v>
      </x:c>
      <x:c r="R44" s="19" t="str">
        <x:v>无目标或脚本目标</x:v>
      </x:c>
      <x:c r="S44" s="19" t="str">
        <x:v>强化</x:v>
      </x:c>
      <x:c r="T44" s="19" t="str">
        <x:v>伤害、强化、隐身</x:v>
      </x:c>
      <x:c r="U44" s="48" t="str">
        <x:v>主动；无目标或脚本目标；主分类：强化；标签：伤害、强化、隐身</x:v>
      </x:c>
      <x:c r="V44" s="48" t="str">
        <x:v>50/50/50/50</x:v>
      </x:c>
      <x:c r="W44" s="48" t="str">
        <x:v>20/20/20/20</x:v>
      </x:c>
      <x:c r="X44" s="48" t="str">
        <x:v>—/—/—/—</x:v>
      </x:c>
      <x:c r="Y44" s="48" t="str">
        <x:v>—/—/—/—</x:v>
      </x:c>
      <x:c r="Z44" s="48" t="str">
        <x:v>15/20/25/30</x:v>
      </x:c>
      <x:c r="AA44" s="48" t="str">
        <x:v>15/20/25/30</x:v>
      </x:c>
      <x:c r="AB44" s="48" t="str">
        <x:v>air,ground,enemy,neutral/air,ground,enemy,neutral/air,ground,enemy,neutral/air,ground,enemy,neutral</x:v>
      </x:c>
      <x:c r="AC44" s="48" t="str">
        <x:v>主动；无目标或脚本目标；主分类：强化；标签：伤害、强化、隐身；等级：4；魔耗：50/50/50/50；冷却：20/20/20/20；施法距离：—/—/—/—；作用范围：—/—/—/—；持续时间：15/20/25/30。</x:v>
      </x:c>
      <x:c r="AD44" s="48" t="str">
        <x:v>1 / 30 / 15 / 2 / 60 / 20 / 3 / 90 / 25 / 4 / 120</x:v>
      </x:c>
      <x:c r="AE44" s="48" t="str">
        <x:v>A</x:v>
      </x:c>
      <x:c r="AF44" s="48" t="str">
        <x:v>6.48b 地图内 UnitAbilities/AbilityData/AbilityStrings 与对象修改表</x:v>
      </x:c>
      <x:c r="AG44" s="18" t="str">
        <x:v>S1</x:v>
      </x:c>
    </x:row>
    <x:row r="45" ht="48" customHeight="1">
      <x:c r="A45" s="19" t="str">
        <x:v>Naka-4</x:v>
      </x:c>
      <x:c r="B45" s="19" t="str">
        <x:v>近卫军团</x:v>
      </x:c>
      <x:c r="C45" s="19" t="str">
        <x:v>光明酒馆</x:v>
      </x:c>
      <x:c r="D45" s="19" t="str">
        <x:v>赏金猎人</x:v>
      </x:c>
      <x:c r="E45" s="19" t="str">
        <x:v>Bounty Hunter</x:v>
      </x:c>
      <x:c r="F45" s="19" t="str">
        <x:v>Naka</x:v>
      </x:c>
      <x:c r="G45" s="19" t="str">
        <x:v>Gondar</x:v>
      </x:c>
      <x:c r="H45" s="19" t="str">
        <x:v>AGI</x:v>
      </x:c>
      <x:c r="I45" s="19" t="str">
        <x:v>近战</x:v>
      </x:c>
      <x:c r="J45" s="19" t="n">
        <x:v>4</x:v>
      </x:c>
      <x:c r="K45" s="19" t="str">
        <x:v>Track</x:v>
      </x:c>
      <x:c r="L45" s="19" t="str">
        <x:v>A0B4</x:v>
      </x:c>
      <x:c r="M45" s="49" t="str">
        <x:v>是</x:v>
      </x:c>
      <x:c r="N45" s="49" t="n">
        <x:v>3</x:v>
      </x:c>
      <x:c r="O45" s="49" t="n">
        <x:v>6</x:v>
      </x:c>
      <x:c r="P45" s="49" t="n">
        <x:v>5</x:v>
      </x:c>
      <x:c r="Q45" s="19" t="str">
        <x:v>开关/自动施放</x:v>
      </x:c>
      <x:c r="R45" s="19" t="str">
        <x:v>—</x:v>
      </x:c>
      <x:c r="S45" s="19" t="str">
        <x:v>防御/生存</x:v>
      </x:c>
      <x:c r="T45" s="19" t="str">
        <x:v>软控、防御/生存、强化、削弱、资源机制</x:v>
      </x:c>
      <x:c r="U45" s="48" t="str">
        <x:v>开关/自动施放；—；主分类：防御/生存；标签：软控、防御/生存、强化、削弱、资源机制</x:v>
      </x:c>
      <x:c r="V45" s="48" t="str">
        <x:v>100/75/50</x:v>
      </x:c>
      <x:c r="W45" s="48" t="str">
        <x:v>10/7/5</x:v>
      </x:c>
      <x:c r="X45" s="48" t="str">
        <x:v>750/950/1150</x:v>
      </x:c>
      <x:c r="Y45" s="48" t="str">
        <x:v>—/—/—</x:v>
      </x:c>
      <x:c r="Z45" s="48" t="str">
        <x:v>30/30/30</x:v>
      </x:c>
      <x:c r="AA45" s="48" t="str">
        <x:v>30/30/30</x:v>
      </x:c>
      <x:c r="AB45" s="48" t="str">
        <x:v>air,enemies,ground,hero,neutral/air,enemies,ground,hero,neutral/air,enemies,ground,hero,neutral</x:v>
      </x:c>
      <x:c r="AC45" s="48" t="str">
        <x:v>开关/自动施放；—；主分类：防御/生存；标签：软控、防御/生存、强化、削弱、资源机制；等级：3；魔耗：100/75/50；冷却：10/7/5；施法距离：750/950/1150；作用范围：—/—/—；持续时间：30/30/30。</x:v>
      </x:c>
      <x:c r="AD45" s="48" t="str">
        <x:v>30 / 20% / 1 / 50 / 2 / 100 / 3 / 150 / 4 / 10 / 7 / 5</x:v>
      </x:c>
      <x:c r="AE45" s="48" t="str">
        <x:v>A</x:v>
      </x:c>
      <x:c r="AF45" s="48" t="str">
        <x:v>6.48b 地图内 UnitAbilities/AbilityData/AbilityStrings 与对象修改表</x:v>
      </x:c>
      <x:c r="AG45" s="18" t="str">
        <x:v>S1</x:v>
      </x:c>
    </x:row>
    <x:row r="46" ht="48" customHeight="1">
      <x:c r="A46" s="19" t="str">
        <x:v>Orkn-1</x:v>
      </x:c>
      <x:c r="B46" s="19" t="str">
        <x:v>近卫军团</x:v>
      </x:c>
      <x:c r="C46" s="19" t="str">
        <x:v>光明酒馆</x:v>
      </x:c>
      <x:c r="D46" s="19" t="str">
        <x:v>暗影萨满</x:v>
      </x:c>
      <x:c r="E46" s="19" t="str">
        <x:v>Shadow Shaman</x:v>
      </x:c>
      <x:c r="F46" s="19" t="str">
        <x:v>Orkn</x:v>
      </x:c>
      <x:c r="G46" s="19" t="str">
        <x:v>Rhasta</x:v>
      </x:c>
      <x:c r="H46" s="19" t="str">
        <x:v>INT</x:v>
      </x:c>
      <x:c r="I46" s="19" t="str">
        <x:v>远程</x:v>
      </x:c>
      <x:c r="J46" s="19" t="n">
        <x:v>1</x:v>
      </x:c>
      <x:c r="K46" s="19" t="str">
        <x:v>Voodoo</x:v>
      </x:c>
      <x:c r="L46" s="19" t="str">
        <x:v>A0RX</x:v>
      </x:c>
      <x:c r="M46" s="49" t="str">
        <x:v>否</x:v>
      </x:c>
      <x:c r="N46" s="49" t="n">
        <x:v>4</x:v>
      </x:c>
      <x:c r="O46" s="49" t="n">
        <x:v>1</x:v>
      </x:c>
      <x:c r="P46" s="49" t="n">
        <x:v>2</x:v>
      </x:c>
      <x:c r="Q46" s="19" t="str">
        <x:v>主动</x:v>
      </x:c>
      <x:c r="R46" s="19" t="str">
        <x:v>无目标或脚本目标</x:v>
      </x:c>
      <x:c r="S46" s="19" t="str">
        <x:v>变身/形态</x:v>
      </x:c>
      <x:c r="T46" s="19" t="str">
        <x:v>变身/形态</x:v>
      </x:c>
      <x:c r="U46" s="48" t="str">
        <x:v>主动；无目标或脚本目标；主分类：变身/形态；标签：变身/形态</x:v>
      </x:c>
      <x:c r="V46" s="48" t="str">
        <x:v>110/140/170/200</x:v>
      </x:c>
      <x:c r="W46" s="48" t="str">
        <x:v>13/13/13/13</x:v>
      </x:c>
      <x:c r="X46" s="48" t="str">
        <x:v>500/500/500/500</x:v>
      </x:c>
      <x:c r="Y46" s="48" t="str">
        <x:v>—/—/—/—</x:v>
      </x:c>
      <x:c r="Z46" s="48" t="str">
        <x:v>1/2/3/4</x:v>
      </x:c>
      <x:c r="AA46" s="48" t="str">
        <x:v>1/2/3/4</x:v>
      </x:c>
      <x:c r="AB46" s="48" t="str">
        <x:v>air,ground,enemy,organic,neutral/air,ground,enemy,organic,neutral/air,ground,enemy,organic,neutral/air,ground,enemy,organic,neutral</x:v>
      </x:c>
      <x:c r="AC46" s="48" t="str">
        <x:v>主动；无目标或脚本目标；主分类：变身/形态；标签：变身/形态；等级：4；魔耗：110/140/170/200；冷却：13/13/13/13；施法距离：500/500/500/500；作用范围：—/—/—/—；持续时间：1/2/3/4。</x:v>
      </x:c>
      <x:c r="AD46" s="48" t="str">
        <x:v>1 / 2 / 3 / 4 / 13</x:v>
      </x:c>
      <x:c r="AE46" s="48" t="str">
        <x:v>A</x:v>
      </x:c>
      <x:c r="AF46" s="48" t="str">
        <x:v>6.48b 地图内 UnitAbilities/AbilityData/AbilityStrings 与对象修改表</x:v>
      </x:c>
      <x:c r="AG46" s="18" t="str">
        <x:v>S1</x:v>
      </x:c>
    </x:row>
    <x:row r="47" ht="48" customHeight="1">
      <x:c r="A47" s="19" t="str">
        <x:v>Orkn-2</x:v>
      </x:c>
      <x:c r="B47" s="19" t="str">
        <x:v>近卫军团</x:v>
      </x:c>
      <x:c r="C47" s="19" t="str">
        <x:v>光明酒馆</x:v>
      </x:c>
      <x:c r="D47" s="19" t="str">
        <x:v>暗影萨满</x:v>
      </x:c>
      <x:c r="E47" s="19" t="str">
        <x:v>Shadow Shaman</x:v>
      </x:c>
      <x:c r="F47" s="19" t="str">
        <x:v>Orkn</x:v>
      </x:c>
      <x:c r="G47" s="19" t="str">
        <x:v>Rhasta</x:v>
      </x:c>
      <x:c r="H47" s="19" t="str">
        <x:v>INT</x:v>
      </x:c>
      <x:c r="I47" s="19" t="str">
        <x:v>远程</x:v>
      </x:c>
      <x:c r="J47" s="19" t="n">
        <x:v>2</x:v>
      </x:c>
      <x:c r="K47" s="19" t="str">
        <x:v>Shackles</x:v>
      </x:c>
      <x:c r="L47" s="19" t="str">
        <x:v>A00P</x:v>
      </x:c>
      <x:c r="M47" s="49" t="str">
        <x:v>否</x:v>
      </x:c>
      <x:c r="N47" s="49" t="n">
        <x:v>4</x:v>
      </x:c>
      <x:c r="O47" s="49" t="n">
        <x:v>1</x:v>
      </x:c>
      <x:c r="P47" s="49" t="n">
        <x:v>2</x:v>
      </x:c>
      <x:c r="Q47" s="19" t="str">
        <x:v>主动</x:v>
      </x:c>
      <x:c r="R47" s="19" t="str">
        <x:v>单位目标</x:v>
      </x:c>
      <x:c r="S47" s="19" t="str">
        <x:v>硬控</x:v>
      </x:c>
      <x:c r="T47" s="19" t="str">
        <x:v>伤害、硬控、持续施法</x:v>
      </x:c>
      <x:c r="U47" s="48" t="str">
        <x:v>主动；单位目标；主分类：硬控；标签：伤害、硬控、持续施法</x:v>
      </x:c>
      <x:c r="V47" s="48" t="str">
        <x:v>110/130/155/185</x:v>
      </x:c>
      <x:c r="W47" s="48" t="str">
        <x:v>16/16/16/16</x:v>
      </x:c>
      <x:c r="X47" s="48" t="str">
        <x:v>400/400/400/400</x:v>
      </x:c>
      <x:c r="Y47" s="48" t="str">
        <x:v>—/—/—/—</x:v>
      </x:c>
      <x:c r="Z47" s="48" t="str">
        <x:v>2.5/3.25/4/4.75</x:v>
      </x:c>
      <x:c r="AA47" s="48" t="str">
        <x:v>2.5/3.25/4/4.75</x:v>
      </x:c>
      <x:c r="AB47" s="48" t="str">
        <x:v>air,enemies,ground/air,enemies,ground/air,enemies,ground/air,enemies,ground</x:v>
      </x:c>
      <x:c r="AC47" s="48" t="str">
        <x:v>主动；单位目标；主分类：硬控；标签：伤害、硬控、持续施法；等级：4；魔耗：110/130/155/185；冷却：16/16/16/16；施法距离：400/400/400/400；作用范围：—/—/—/—；持续时间：2.5/3.25/4/4.75。</x:v>
      </x:c>
      <x:c r="AD47" s="48" t="str">
        <x:v>40 / 1 / 2.5 / 2 / 3.25 / 3 / 4 / 4.75 / 16</x:v>
      </x:c>
      <x:c r="AE47" s="48" t="str">
        <x:v>A</x:v>
      </x:c>
      <x:c r="AF47" s="48" t="str">
        <x:v>6.48b 地图内 UnitAbilities/AbilityData/AbilityStrings 与对象修改表</x:v>
      </x:c>
      <x:c r="AG47" s="18" t="str">
        <x:v>S1</x:v>
      </x:c>
    </x:row>
    <x:row r="48" ht="48" customHeight="1">
      <x:c r="A48" s="19" t="str">
        <x:v>Orkn-3</x:v>
      </x:c>
      <x:c r="B48" s="19" t="str">
        <x:v>近卫军团</x:v>
      </x:c>
      <x:c r="C48" s="19" t="str">
        <x:v>光明酒馆</x:v>
      </x:c>
      <x:c r="D48" s="19" t="str">
        <x:v>暗影萨满</x:v>
      </x:c>
      <x:c r="E48" s="19" t="str">
        <x:v>Shadow Shaman</x:v>
      </x:c>
      <x:c r="F48" s="19" t="str">
        <x:v>Orkn</x:v>
      </x:c>
      <x:c r="G48" s="19" t="str">
        <x:v>Rhasta</x:v>
      </x:c>
      <x:c r="H48" s="19" t="str">
        <x:v>INT</x:v>
      </x:c>
      <x:c r="I48" s="19" t="str">
        <x:v>远程</x:v>
      </x:c>
      <x:c r="J48" s="19" t="n">
        <x:v>3</x:v>
      </x:c>
      <x:c r="K48" s="19" t="str">
        <x:v>Mass Serpent Ward</x:v>
      </x:c>
      <x:c r="L48" s="19" t="str">
        <x:v>A00H</x:v>
      </x:c>
      <x:c r="M48" s="49" t="str">
        <x:v>是</x:v>
      </x:c>
      <x:c r="N48" s="49" t="n">
        <x:v>3</x:v>
      </x:c>
      <x:c r="O48" s="49" t="n">
        <x:v>6</x:v>
      </x:c>
      <x:c r="P48" s="49" t="n">
        <x:v>5</x:v>
      </x:c>
      <x:c r="Q48" s="19" t="str">
        <x:v>主动</x:v>
      </x:c>
      <x:c r="R48" s="19" t="str">
        <x:v>无目标或脚本目标</x:v>
      </x:c>
      <x:c r="S48" s="19" t="str">
        <x:v>召唤</x:v>
      </x:c>
      <x:c r="T48" s="19" t="str">
        <x:v>伤害、召唤</x:v>
      </x:c>
      <x:c r="U48" s="48" t="str">
        <x:v>主动；无目标或脚本目标；主分类：召唤；标签：伤害、召唤</x:v>
      </x:c>
      <x:c r="V48" s="48" t="str">
        <x:v>200/350/610</x:v>
      </x:c>
      <x:c r="W48" s="48" t="str">
        <x:v>120/120/120</x:v>
      </x:c>
      <x:c r="X48" s="48" t="str">
        <x:v>350/350/350</x:v>
      </x:c>
      <x:c r="Y48" s="48" t="str">
        <x:v>—/—/—</x:v>
      </x:c>
      <x:c r="Z48" s="48" t="str">
        <x:v>40/40/40</x:v>
      </x:c>
      <x:c r="AA48" s="48" t="str">
        <x:v>40/40/40</x:v>
      </x:c>
      <x:c r="AB48" s="48" t="str">
        <x:v>—/—/—</x:v>
      </x:c>
      <x:c r="AC48" s="48" t="str">
        <x:v>主动；无目标或脚本目标；主分类：召唤；标签：伤害、召唤；等级：3；魔耗：200/350/610；冷却：120/120/120；施法距离：350/350/350；作用范围：—/—/—；持续时间：40/40/40。</x:v>
      </x:c>
      <x:c r="AD48" s="48" t="str">
        <x:v>8 / 1 / 43 / 2 / 58 / 3 / 73 / 120</x:v>
      </x:c>
      <x:c r="AE48" s="48" t="str">
        <x:v>A</x:v>
      </x:c>
      <x:c r="AF48" s="48" t="str">
        <x:v>6.48b 地图内 UnitAbilities/AbilityData/AbilityStrings 与对象修改表</x:v>
      </x:c>
      <x:c r="AG48" s="18" t="str">
        <x:v>S1</x:v>
      </x:c>
    </x:row>
    <x:row r="49" ht="48" customHeight="1">
      <x:c r="A49" s="19" t="str">
        <x:v>Orkn-4</x:v>
      </x:c>
      <x:c r="B49" s="19" t="str">
        <x:v>近卫军团</x:v>
      </x:c>
      <x:c r="C49" s="19" t="str">
        <x:v>光明酒馆</x:v>
      </x:c>
      <x:c r="D49" s="19" t="str">
        <x:v>暗影萨满</x:v>
      </x:c>
      <x:c r="E49" s="19" t="str">
        <x:v>Shadow Shaman</x:v>
      </x:c>
      <x:c r="F49" s="19" t="str">
        <x:v>Orkn</x:v>
      </x:c>
      <x:c r="G49" s="19" t="str">
        <x:v>Rhasta</x:v>
      </x:c>
      <x:c r="H49" s="19" t="str">
        <x:v>INT</x:v>
      </x:c>
      <x:c r="I49" s="19" t="str">
        <x:v>远程</x:v>
      </x:c>
      <x:c r="J49" s="19" t="n">
        <x:v>4</x:v>
      </x:c>
      <x:c r="K49" s="19" t="str">
        <x:v>Forked Lightning</x:v>
      </x:c>
      <x:c r="L49" s="19" t="str">
        <x:v>A010</x:v>
      </x:c>
      <x:c r="M49" s="49" t="str">
        <x:v>否</x:v>
      </x:c>
      <x:c r="N49" s="49" t="n">
        <x:v>4</x:v>
      </x:c>
      <x:c r="O49" s="49" t="n">
        <x:v>1</x:v>
      </x:c>
      <x:c r="P49" s="49" t="n">
        <x:v>2</x:v>
      </x:c>
      <x:c r="Q49" s="19" t="str">
        <x:v>主动</x:v>
      </x:c>
      <x:c r="R49" s="19" t="str">
        <x:v>单位目标</x:v>
      </x:c>
      <x:c r="S49" s="19" t="str">
        <x:v>伤害</x:v>
      </x:c>
      <x:c r="T49" s="19" t="str">
        <x:v>伤害</x:v>
      </x:c>
      <x:c r="U49" s="48" t="str">
        <x:v>主动；单位目标；主分类：伤害；标签：伤害</x:v>
      </x:c>
      <x:c r="V49" s="48" t="str">
        <x:v>95/105/135/160</x:v>
      </x:c>
      <x:c r="W49" s="48" t="str">
        <x:v>10/10/10/10</x:v>
      </x:c>
      <x:c r="X49" s="48" t="str">
        <x:v>600/600/600/600</x:v>
      </x:c>
      <x:c r="Y49" s="48" t="str">
        <x:v>200/200/200/200</x:v>
      </x:c>
      <x:c r="Z49" s="48" t="str">
        <x:v>0.7/0.7/0.7/0.7</x:v>
      </x:c>
      <x:c r="AA49" s="48" t="str">
        <x:v>—/—/—/—</x:v>
      </x:c>
      <x:c r="AB49" s="48" t="str">
        <x:v>air,ground,enemy,neutral,organic/air,enemies,ground,neutral,organic/air,enemies,ground,neutral,organic/air,enemies,ground,neutral,organic</x:v>
      </x:c>
      <x:c r="AC49" s="48" t="str">
        <x:v>主动；单位目标；主分类：伤害；标签：伤害；等级：4；魔耗：95/105/135/160；冷却：10/10/10/10；施法距离：600/600/600/600；作用范围：200/200/200/200；持续时间：0.7/0.7/0.7/0.7。</x:v>
      </x:c>
      <x:c r="AD49" s="48" t="str">
        <x:v>1 / 75 / 3 / 2 / 150 / 4 / 225 / 6 / 300 / 7 / 10</x:v>
      </x:c>
      <x:c r="AE49" s="48" t="str">
        <x:v>A</x:v>
      </x:c>
      <x:c r="AF49" s="48" t="str">
        <x:v>6.48b 地图内 UnitAbilities/AbilityData/AbilityStrings 与对象修改表</x:v>
      </x:c>
      <x:c r="AG49" s="18" t="str">
        <x:v>S1</x:v>
      </x:c>
    </x:row>
    <x:row r="50" ht="48" customHeight="1">
      <x:c r="A50" s="19" t="str">
        <x:v>Eevi-1</x:v>
      </x:c>
      <x:c r="B50" s="19" t="str">
        <x:v>天灾军团</x:v>
      </x:c>
      <x:c r="C50" s="19" t="str">
        <x:v>午夜酒馆</x:v>
      </x:c>
      <x:c r="D50" s="19" t="str">
        <x:v>灵魂守卫</x:v>
      </x:c>
      <x:c r="E50" s="19" t="str">
        <x:v>Soul Keeper</x:v>
      </x:c>
      <x:c r="F50" s="19" t="str">
        <x:v>Eevi</x:v>
      </x:c>
      <x:c r="G50" s="19" t="str">
        <x:v>Terrorblade</x:v>
      </x:c>
      <x:c r="H50" s="19" t="str">
        <x:v>AGI</x:v>
      </x:c>
      <x:c r="I50" s="19" t="str">
        <x:v>近战</x:v>
      </x:c>
      <x:c r="J50" s="19" t="n">
        <x:v>1</x:v>
      </x:c>
      <x:c r="K50" s="19" t="str">
        <x:v>Soul Steal</x:v>
      </x:c>
      <x:c r="L50" s="19" t="str">
        <x:v>A04L</x:v>
      </x:c>
      <x:c r="M50" s="49" t="str">
        <x:v>否</x:v>
      </x:c>
      <x:c r="N50" s="49" t="n">
        <x:v>4</x:v>
      </x:c>
      <x:c r="O50" s="49" t="n">
        <x:v>1</x:v>
      </x:c>
      <x:c r="P50" s="49" t="n">
        <x:v>2</x:v>
      </x:c>
      <x:c r="Q50" s="19" t="str">
        <x:v>主动</x:v>
      </x:c>
      <x:c r="R50" s="19" t="str">
        <x:v>单位目标</x:v>
      </x:c>
      <x:c r="S50" s="19" t="str">
        <x:v>防御/生存</x:v>
      </x:c>
      <x:c r="T50" s="19" t="str">
        <x:v>防御/生存、持续施法</x:v>
      </x:c>
      <x:c r="U50" s="48" t="str">
        <x:v>主动；单位目标；主分类：防御/生存；标签：防御/生存、持续施法</x:v>
      </x:c>
      <x:c r="V50" s="48" t="str">
        <x:v>45/45/45/45</x:v>
      </x:c>
      <x:c r="W50" s="48" t="str">
        <x:v>12/12/12/12</x:v>
      </x:c>
      <x:c r="X50" s="48" t="str">
        <x:v>500/500/500/500</x:v>
      </x:c>
      <x:c r="Y50" s="48" t="str">
        <x:v>600/600/600/600</x:v>
      </x:c>
      <x:c r="Z50" s="48" t="str">
        <x:v>8/8/8/8</x:v>
      </x:c>
      <x:c r="AA50" s="48" t="str">
        <x:v>8/8/8/8</x:v>
      </x:c>
      <x:c r="AB50" s="48" t="str">
        <x:v>air,ground,organic/air,ground,organic/air,ground,organic/air,ground,organic</x:v>
      </x:c>
      <x:c r="AC50" s="48" t="str">
        <x:v>主动；单位目标；主分类：防御/生存；标签：防御/生存、持续施法；等级：4；魔耗：45/45/45/45；冷却：12/12/12/12；施法距离：500/500/500/500；作用范围：600/600/600/600；持续时间：8/8/8/8。</x:v>
      </x:c>
      <x:c r="AD50" s="48" t="str">
        <x:v>8 / 1 / 20 / 2 / 40 / 3 / 60 / 4 / 80 / 12</x:v>
      </x:c>
      <x:c r="AE50" s="48" t="str">
        <x:v>A</x:v>
      </x:c>
      <x:c r="AF50" s="48" t="str">
        <x:v>6.48b 地图内 UnitAbilities/AbilityData/AbilityStrings 与对象修改表</x:v>
      </x:c>
      <x:c r="AG50" s="18" t="str">
        <x:v>S1</x:v>
      </x:c>
    </x:row>
    <x:row r="51" ht="48" customHeight="1">
      <x:c r="A51" s="19" t="str">
        <x:v>Eevi-2</x:v>
      </x:c>
      <x:c r="B51" s="19" t="str">
        <x:v>天灾军团</x:v>
      </x:c>
      <x:c r="C51" s="19" t="str">
        <x:v>午夜酒馆</x:v>
      </x:c>
      <x:c r="D51" s="19" t="str">
        <x:v>灵魂守卫</x:v>
      </x:c>
      <x:c r="E51" s="19" t="str">
        <x:v>Soul Keeper</x:v>
      </x:c>
      <x:c r="F51" s="19" t="str">
        <x:v>Eevi</x:v>
      </x:c>
      <x:c r="G51" s="19" t="str">
        <x:v>Terrorblade</x:v>
      </x:c>
      <x:c r="H51" s="19" t="str">
        <x:v>AGI</x:v>
      </x:c>
      <x:c r="I51" s="19" t="str">
        <x:v>近战</x:v>
      </x:c>
      <x:c r="J51" s="19" t="n">
        <x:v>2</x:v>
      </x:c>
      <x:c r="K51" s="19" t="str">
        <x:v>Conjure Image</x:v>
      </x:c>
      <x:c r="L51" s="19" t="str">
        <x:v>A0H4</x:v>
      </x:c>
      <x:c r="M51" s="49" t="str">
        <x:v>否</x:v>
      </x:c>
      <x:c r="N51" s="49" t="n">
        <x:v>4</x:v>
      </x:c>
      <x:c r="O51" s="49" t="n">
        <x:v>1</x:v>
      </x:c>
      <x:c r="P51" s="49" t="n">
        <x:v>2</x:v>
      </x:c>
      <x:c r="Q51" s="19" t="str">
        <x:v>主动</x:v>
      </x:c>
      <x:c r="R51" s="19" t="str">
        <x:v>无目标或脚本目标</x:v>
      </x:c>
      <x:c r="S51" s="19" t="str">
        <x:v>伤害</x:v>
      </x:c>
      <x:c r="T51" s="19" t="str">
        <x:v>伤害</x:v>
      </x:c>
      <x:c r="U51" s="48" t="str">
        <x:v>主动；无目标或脚本目标；主分类：伤害；标签：伤害</x:v>
      </x:c>
      <x:c r="V51" s="48" t="str">
        <x:v>70/85/100/115</x:v>
      </x:c>
      <x:c r="W51" s="48" t="str">
        <x:v>16/16/16/16</x:v>
      </x:c>
      <x:c r="X51" s="48" t="str">
        <x:v>500/500/500/500</x:v>
      </x:c>
      <x:c r="Y51" s="48" t="str">
        <x:v>—/—/—/—</x:v>
      </x:c>
      <x:c r="Z51" s="48" t="str">
        <x:v>30/30/30/30</x:v>
      </x:c>
      <x:c r="AA51" s="48" t="str">
        <x:v>30/30/30/30</x:v>
      </x:c>
      <x:c r="AB51" s="48" t="str">
        <x:v>—/—/—/—</x:v>
      </x:c>
      <x:c r="AC51" s="48" t="str">
        <x:v>主动；无目标或脚本目标；主分类：伤害；标签：伤害；等级：4；魔耗：70/85/100/115；冷却：16/16/16/16；施法距离：500/500/500/500；作用范围：—/—/—/—；持续时间：30/30/30/30。</x:v>
      </x:c>
      <x:c r="AD51" s="48" t="str">
        <x:v>30 / 1 / 25% / 2 / 35% / 3 / 45% / 4 / 55% / 16 / 300%</x:v>
      </x:c>
      <x:c r="AE51" s="48" t="str">
        <x:v>A</x:v>
      </x:c>
      <x:c r="AF51" s="48" t="str">
        <x:v>6.48b 地图内 UnitAbilities/AbilityData/AbilityStrings 与对象修改表</x:v>
      </x:c>
      <x:c r="AG51" s="18" t="str">
        <x:v>S1</x:v>
      </x:c>
    </x:row>
    <x:row r="52" ht="48" customHeight="1">
      <x:c r="A52" s="19" t="str">
        <x:v>Eevi-3</x:v>
      </x:c>
      <x:c r="B52" s="19" t="str">
        <x:v>天灾军团</x:v>
      </x:c>
      <x:c r="C52" s="19" t="str">
        <x:v>午夜酒馆</x:v>
      </x:c>
      <x:c r="D52" s="19" t="str">
        <x:v>灵魂守卫</x:v>
      </x:c>
      <x:c r="E52" s="19" t="str">
        <x:v>Soul Keeper</x:v>
      </x:c>
      <x:c r="F52" s="19" t="str">
        <x:v>Eevi</x:v>
      </x:c>
      <x:c r="G52" s="19" t="str">
        <x:v>Terrorblade</x:v>
      </x:c>
      <x:c r="H52" s="19" t="str">
        <x:v>AGI</x:v>
      </x:c>
      <x:c r="I52" s="19" t="str">
        <x:v>近战</x:v>
      </x:c>
      <x:c r="J52" s="19" t="n">
        <x:v>3</x:v>
      </x:c>
      <x:c r="K52" s="19" t="str">
        <x:v>Metamorphosis</x:v>
      </x:c>
      <x:c r="L52" s="19" t="str">
        <x:v>A0MV</x:v>
      </x:c>
      <x:c r="M52" s="49" t="str">
        <x:v>否</x:v>
      </x:c>
      <x:c r="N52" s="49" t="n">
        <x:v>4</x:v>
      </x:c>
      <x:c r="O52" s="49" t="n">
        <x:v>1</x:v>
      </x:c>
      <x:c r="P52" s="49" t="n">
        <x:v>2</x:v>
      </x:c>
      <x:c r="Q52" s="19" t="str">
        <x:v>主动</x:v>
      </x:c>
      <x:c r="R52" s="19" t="str">
        <x:v>无目标或脚本目标</x:v>
      </x:c>
      <x:c r="S52" s="19" t="str">
        <x:v>变身/形态</x:v>
      </x:c>
      <x:c r="T52" s="19" t="str">
        <x:v>强化、变身/形态</x:v>
      </x:c>
      <x:c r="U52" s="48" t="str">
        <x:v>主动；无目标或脚本目标；主分类：变身/形态；标签：强化、变身/形态</x:v>
      </x:c>
      <x:c r="V52" s="48" t="str">
        <x:v>125/115/107/100</x:v>
      </x:c>
      <x:c r="W52" s="48" t="str">
        <x:v>180/165/150/135</x:v>
      </x:c>
      <x:c r="X52" s="48" t="str">
        <x:v>—/—/—/—</x:v>
      </x:c>
      <x:c r="Y52" s="48" t="str">
        <x:v>—/—/—/—</x:v>
      </x:c>
      <x:c r="Z52" s="48" t="str">
        <x:v>—/—/—/0</x:v>
      </x:c>
      <x:c r="AA52" s="48" t="str">
        <x:v>30/40/50/60</x:v>
      </x:c>
      <x:c r="AB52" s="48" t="str">
        <x:v>—/—/—/—</x:v>
      </x:c>
      <x:c r="AC52" s="48" t="str">
        <x:v>主动；无目标或脚本目标；主分类：变身/形态；标签：强化、变身/形态；等级：4；魔耗：125/115/107/100；冷却：180/165/150/135；施法距离：—/—/—/—；作用范围：—/—/—/—；持续时间：—/—/—/0。</x:v>
      </x:c>
      <x:c r="AD52" s="48" t="str">
        <x:v>1 / 30 / 2 / 40 / 50 / 3 / 100 / 4 / 60 / 150 / 180 / 165 / 135</x:v>
      </x:c>
      <x:c r="AE52" s="48" t="str">
        <x:v>A</x:v>
      </x:c>
      <x:c r="AF52" s="48" t="str">
        <x:v>6.48b 地图内 UnitAbilities/AbilityData/AbilityStrings 与对象修改表</x:v>
      </x:c>
      <x:c r="AG52" s="18" t="str">
        <x:v>S1</x:v>
      </x:c>
    </x:row>
    <x:row r="53" ht="48" customHeight="1">
      <x:c r="A53" s="19" t="str">
        <x:v>Eevi-4</x:v>
      </x:c>
      <x:c r="B53" s="19" t="str">
        <x:v>天灾军团</x:v>
      </x:c>
      <x:c r="C53" s="19" t="str">
        <x:v>午夜酒馆</x:v>
      </x:c>
      <x:c r="D53" s="19" t="str">
        <x:v>灵魂守卫</x:v>
      </x:c>
      <x:c r="E53" s="19" t="str">
        <x:v>Soul Keeper</x:v>
      </x:c>
      <x:c r="F53" s="19" t="str">
        <x:v>Eevi</x:v>
      </x:c>
      <x:c r="G53" s="19" t="str">
        <x:v>Terrorblade</x:v>
      </x:c>
      <x:c r="H53" s="19" t="str">
        <x:v>AGI</x:v>
      </x:c>
      <x:c r="I53" s="19" t="str">
        <x:v>近战</x:v>
      </x:c>
      <x:c r="J53" s="19" t="n">
        <x:v>4</x:v>
      </x:c>
      <x:c r="K53" s="19" t="str">
        <x:v>Sunder</x:v>
      </x:c>
      <x:c r="L53" s="19" t="str">
        <x:v>A07Q</x:v>
      </x:c>
      <x:c r="M53" s="49" t="str">
        <x:v>是</x:v>
      </x:c>
      <x:c r="N53" s="49" t="n">
        <x:v>3</x:v>
      </x:c>
      <x:c r="O53" s="49" t="n">
        <x:v>6</x:v>
      </x:c>
      <x:c r="P53" s="49" t="n">
        <x:v>5</x:v>
      </x:c>
      <x:c r="Q53" s="19" t="str">
        <x:v>主动</x:v>
      </x:c>
      <x:c r="R53" s="19" t="str">
        <x:v>单位目标</x:v>
      </x:c>
      <x:c r="S53" s="19" t="str">
        <x:v>位移</x:v>
      </x:c>
      <x:c r="T53" s="19" t="str">
        <x:v>位移、资源机制</x:v>
      </x:c>
      <x:c r="U53" s="48" t="str">
        <x:v>主动；单位目标；主分类：位移；标签：位移、资源机制</x:v>
      </x:c>
      <x:c r="V53" s="48" t="str">
        <x:v>200/100/—</x:v>
      </x:c>
      <x:c r="W53" s="48" t="str">
        <x:v>200/120/60</x:v>
      </x:c>
      <x:c r="X53" s="48" t="str">
        <x:v>250/250/250</x:v>
      </x:c>
      <x:c r="Y53" s="48" t="str">
        <x:v>—/—/—</x:v>
      </x:c>
      <x:c r="Z53" s="48" t="str">
        <x:v>0.01/0.01/0.01</x:v>
      </x:c>
      <x:c r="AA53" s="48" t="str">
        <x:v>0.01/0.01/0.01</x:v>
      </x:c>
      <x:c r="AB53" s="48" t="str">
        <x:v>air,enemies,friend,ground,hero,neutral,organic/air,enemies,friend,ground,hero,neutral,organic/air,enemies,friend,ground,hero,neutral,organic</x:v>
      </x:c>
      <x:c r="AC53" s="48" t="str">
        <x:v>主动；单位目标；主分类：位移；标签：位移、资源机制；等级：3；魔耗：200/100/—；冷却：200/120/60；施法距离：250/250/250；作用范围：—/—/—；持续时间：0.01/0.01/0.01。</x:v>
      </x:c>
      <x:c r="AD53" s="48" t="str">
        <x:v>1 / 250 / 33% / 2 / 28% / 3 / 23% / 200 / 120 / 60</x:v>
      </x:c>
      <x:c r="AE53" s="48" t="str">
        <x:v>A</x:v>
      </x:c>
      <x:c r="AF53" s="48" t="str">
        <x:v>6.48b 地图内 UnitAbilities/AbilityData/AbilityStrings 与对象修改表</x:v>
      </x:c>
      <x:c r="AG53" s="18" t="str">
        <x:v>S1</x:v>
      </x:c>
    </x:row>
    <x:row r="54" ht="48" customHeight="1">
      <x:c r="A54" s="19" t="str">
        <x:v>Ekee-1</x:v>
      </x:c>
      <x:c r="B54" s="19" t="str">
        <x:v>天灾军团</x:v>
      </x:c>
      <x:c r="C54" s="19" t="str">
        <x:v>午夜酒馆</x:v>
      </x:c>
      <x:c r="D54" s="19" t="str">
        <x:v>受折磨的灵魂</x:v>
      </x:c>
      <x:c r="E54" s="19" t="str">
        <x:v>Tormented Soul</x:v>
      </x:c>
      <x:c r="F54" s="19" t="str">
        <x:v>Ekee</x:v>
      </x:c>
      <x:c r="G54" s="19" t="str">
        <x:v>Leshrac the Malicious</x:v>
      </x:c>
      <x:c r="H54" s="19" t="str">
        <x:v>INT</x:v>
      </x:c>
      <x:c r="I54" s="19" t="str">
        <x:v>远程</x:v>
      </x:c>
      <x:c r="J54" s="19" t="n">
        <x:v>1</x:v>
      </x:c>
      <x:c r="K54" s="19" t="str">
        <x:v>Split Earth</x:v>
      </x:c>
      <x:c r="L54" s="19" t="str">
        <x:v>A06W</x:v>
      </x:c>
      <x:c r="M54" s="49" t="str">
        <x:v>否</x:v>
      </x:c>
      <x:c r="N54" s="49" t="n">
        <x:v>4</x:v>
      </x:c>
      <x:c r="O54" s="49" t="n">
        <x:v>1</x:v>
      </x:c>
      <x:c r="P54" s="49" t="n">
        <x:v>2</x:v>
      </x:c>
      <x:c r="Q54" s="19" t="str">
        <x:v>主动</x:v>
      </x:c>
      <x:c r="R54" s="19" t="str">
        <x:v>无目标或脚本目标</x:v>
      </x:c>
      <x:c r="S54" s="19" t="str">
        <x:v>硬控</x:v>
      </x:c>
      <x:c r="T54" s="19" t="str">
        <x:v>伤害、硬控</x:v>
      </x:c>
      <x:c r="U54" s="48" t="str">
        <x:v>主动；无目标或脚本目标；主分类：硬控；标签：伤害、硬控</x:v>
      </x:c>
      <x:c r="V54" s="48" t="str">
        <x:v>100/125/140/160</x:v>
      </x:c>
      <x:c r="W54" s="48" t="str">
        <x:v>9/9/9/9</x:v>
      </x:c>
      <x:c r="X54" s="48" t="str">
        <x:v>650/650/650/650</x:v>
      </x:c>
      <x:c r="Y54" s="48" t="str">
        <x:v>150/175/200/225</x:v>
      </x:c>
      <x:c r="Z54" s="48" t="str">
        <x:v>0.75/1.5/2.25/3</x:v>
      </x:c>
      <x:c r="AA54" s="48" t="str">
        <x:v>1.25/1.5/1.75/2</x:v>
      </x:c>
      <x:c r="AB54" s="48" t="str">
        <x:v>enemies,ground,neutral,organic/enemies,ground,neutral,organic/enemies,ground,neutral,organic/enemies,ground,neutral,organic</x:v>
      </x:c>
      <x:c r="AC54" s="48" t="str">
        <x:v>主动；无目标或脚本目标；主分类：硬控；标签：伤害、硬控；等级：4；魔耗：100/125/140/160；冷却：9/9/9/9；施法距离：650/650/650/650；作用范围：150/175/200/225；持续时间：0.75/1.5/2.25/3。</x:v>
      </x:c>
      <x:c r="AD54" s="48" t="str">
        <x:v>1 / 70 / 1.25 / 2 / 140 / 1.5 / 3 / 210 / 1.75 / 4 / 290 / 9</x:v>
      </x:c>
      <x:c r="AE54" s="48" t="str">
        <x:v>A</x:v>
      </x:c>
      <x:c r="AF54" s="48" t="str">
        <x:v>6.48b 地图内 UnitAbilities/AbilityData/AbilityStrings 与对象修改表</x:v>
      </x:c>
      <x:c r="AG54" s="18" t="str">
        <x:v>S1</x:v>
      </x:c>
    </x:row>
    <x:row r="55" ht="48" customHeight="1">
      <x:c r="A55" s="19" t="str">
        <x:v>Ekee-2</x:v>
      </x:c>
      <x:c r="B55" s="19" t="str">
        <x:v>天灾军团</x:v>
      </x:c>
      <x:c r="C55" s="19" t="str">
        <x:v>午夜酒馆</x:v>
      </x:c>
      <x:c r="D55" s="19" t="str">
        <x:v>受折磨的灵魂</x:v>
      </x:c>
      <x:c r="E55" s="19" t="str">
        <x:v>Tormented Soul</x:v>
      </x:c>
      <x:c r="F55" s="19" t="str">
        <x:v>Ekee</x:v>
      </x:c>
      <x:c r="G55" s="19" t="str">
        <x:v>Leshrac the Malicious</x:v>
      </x:c>
      <x:c r="H55" s="19" t="str">
        <x:v>INT</x:v>
      </x:c>
      <x:c r="I55" s="19" t="str">
        <x:v>远程</x:v>
      </x:c>
      <x:c r="J55" s="19" t="n">
        <x:v>2</x:v>
      </x:c>
      <x:c r="K55" s="19" t="str">
        <x:v>Diabolic Edict</x:v>
      </x:c>
      <x:c r="L55" s="19" t="str">
        <x:v>A035</x:v>
      </x:c>
      <x:c r="M55" s="49" t="str">
        <x:v>否</x:v>
      </x:c>
      <x:c r="N55" s="49" t="n">
        <x:v>4</x:v>
      </x:c>
      <x:c r="O55" s="49" t="n">
        <x:v>1</x:v>
      </x:c>
      <x:c r="P55" s="49" t="n">
        <x:v>2</x:v>
      </x:c>
      <x:c r="Q55" s="19" t="str">
        <x:v>主动</x:v>
      </x:c>
      <x:c r="R55" s="19" t="str">
        <x:v>无目标或脚本目标</x:v>
      </x:c>
      <x:c r="S55" s="19" t="str">
        <x:v>软控</x:v>
      </x:c>
      <x:c r="T55" s="19" t="str">
        <x:v>软控、范围效果</x:v>
      </x:c>
      <x:c r="U55" s="48" t="str">
        <x:v>主动；无目标或脚本目标；主分类：软控；标签：软控、范围效果</x:v>
      </x:c>
      <x:c r="V55" s="48" t="str">
        <x:v>95/120/135/155</x:v>
      </x:c>
      <x:c r="W55" s="48" t="str">
        <x:v>30/28/26/24</x:v>
      </x:c>
      <x:c r="X55" s="48" t="str">
        <x:v>—/—/—/—</x:v>
      </x:c>
      <x:c r="Y55" s="48" t="str">
        <x:v>200/200/200/200</x:v>
      </x:c>
      <x:c r="Z55" s="48" t="str">
        <x:v>0.01/0.01/0.01/0.01</x:v>
      </x:c>
      <x:c r="AA55" s="48" t="str">
        <x:v>0.01/0.01/0.01/0.01</x:v>
      </x:c>
      <x:c r="AB55" s="48" t="str">
        <x:v>—/—/—/—</x:v>
      </x:c>
      <x:c r="AC55" s="48" t="str">
        <x:v>主动；无目标或脚本目标；主分类：软控；标签：软控、范围效果；等级：4；魔耗：95/120/135/155；冷却：30/28/26/24；施法距离：—/—/—/—；作用范围：200/200/200/200；持续时间：0.01/0.01/0.01/0.01。</x:v>
      </x:c>
      <x:c r="AD55" s="48" t="str">
        <x:v>8 / 1 / 2 / 3 / 4 / 30 / 28 / 26 / 24</x:v>
      </x:c>
      <x:c r="AE55" s="48" t="str">
        <x:v>A</x:v>
      </x:c>
      <x:c r="AF55" s="48" t="str">
        <x:v>6.48b 地图内 UnitAbilities/AbilityData/AbilityStrings 与对象修改表</x:v>
      </x:c>
      <x:c r="AG55" s="18" t="str">
        <x:v>S1</x:v>
      </x:c>
    </x:row>
    <x:row r="56" ht="48" customHeight="1">
      <x:c r="A56" s="19" t="str">
        <x:v>Ekee-3</x:v>
      </x:c>
      <x:c r="B56" s="19" t="str">
        <x:v>天灾军团</x:v>
      </x:c>
      <x:c r="C56" s="19" t="str">
        <x:v>午夜酒馆</x:v>
      </x:c>
      <x:c r="D56" s="19" t="str">
        <x:v>受折磨的灵魂</x:v>
      </x:c>
      <x:c r="E56" s="19" t="str">
        <x:v>Tormented Soul</x:v>
      </x:c>
      <x:c r="F56" s="19" t="str">
        <x:v>Ekee</x:v>
      </x:c>
      <x:c r="G56" s="19" t="str">
        <x:v>Leshrac the Malicious</x:v>
      </x:c>
      <x:c r="H56" s="19" t="str">
        <x:v>INT</x:v>
      </x:c>
      <x:c r="I56" s="19" t="str">
        <x:v>远程</x:v>
      </x:c>
      <x:c r="J56" s="19" t="n">
        <x:v>3</x:v>
      </x:c>
      <x:c r="K56" s="19" t="str">
        <x:v>Lightning Storm</x:v>
      </x:c>
      <x:c r="L56" s="19" t="str">
        <x:v>A06V</x:v>
      </x:c>
      <x:c r="M56" s="49" t="str">
        <x:v>否</x:v>
      </x:c>
      <x:c r="N56" s="49" t="n">
        <x:v>4</x:v>
      </x:c>
      <x:c r="O56" s="49" t="n">
        <x:v>1</x:v>
      </x:c>
      <x:c r="P56" s="49" t="n">
        <x:v>2</x:v>
      </x:c>
      <x:c r="Q56" s="19" t="str">
        <x:v>主动</x:v>
      </x:c>
      <x:c r="R56" s="19" t="str">
        <x:v>无目标/范围</x:v>
      </x:c>
      <x:c r="S56" s="19" t="str">
        <x:v>伤害</x:v>
      </x:c>
      <x:c r="T56" s="19" t="str">
        <x:v>伤害、范围效果</x:v>
      </x:c>
      <x:c r="U56" s="48" t="str">
        <x:v>主动；无目标/范围；主分类：伤害；标签：伤害、范围效果</x:v>
      </x:c>
      <x:c r="V56" s="48" t="str">
        <x:v>100/115/130/145</x:v>
      </x:c>
      <x:c r="W56" s="48" t="str">
        <x:v>5/5/5/5</x:v>
      </x:c>
      <x:c r="X56" s="48" t="str">
        <x:v>700/700/700/700</x:v>
      </x:c>
      <x:c r="Y56" s="48" t="str">
        <x:v>650/650/650/650</x:v>
      </x:c>
      <x:c r="Z56" s="48" t="str">
        <x:v>—/—/—/—</x:v>
      </x:c>
      <x:c r="AA56" s="48" t="str">
        <x:v>—/—/—/—</x:v>
      </x:c>
      <x:c r="AB56" s="48" t="str">
        <x:v>air,ground,enemy,neutral,organic/air,ground,enemy,neutral,organic/air,ground,enemy,neutral,organic/air,ground,enemy,neutral,organic</x:v>
      </x:c>
      <x:c r="AC56" s="48" t="str">
        <x:v>主动；无目标/范围；主分类：伤害；标签：伤害、范围效果；等级：4；魔耗：100/115/130/145；冷却：5/5/5/5；施法距离：700/700/700/700；作用范围：650/650/650/650；持续时间：—/—/—/—。</x:v>
      </x:c>
      <x:c r="AD56" s="48" t="str">
        <x:v>1 / 80 / 4 / 2 / 145 / 6 / 3 / 205 / 7 / 265 / 8 / 5</x:v>
      </x:c>
      <x:c r="AE56" s="48" t="str">
        <x:v>A</x:v>
      </x:c>
      <x:c r="AF56" s="48" t="str">
        <x:v>6.48b 地图内 UnitAbilities/AbilityData/AbilityStrings 与对象修改表</x:v>
      </x:c>
      <x:c r="AG56" s="18" t="str">
        <x:v>S1</x:v>
      </x:c>
    </x:row>
    <x:row r="57" ht="48" customHeight="1">
      <x:c r="A57" s="19" t="str">
        <x:v>Ekee-4</x:v>
      </x:c>
      <x:c r="B57" s="19" t="str">
        <x:v>天灾军团</x:v>
      </x:c>
      <x:c r="C57" s="19" t="str">
        <x:v>午夜酒馆</x:v>
      </x:c>
      <x:c r="D57" s="19" t="str">
        <x:v>受折磨的灵魂</x:v>
      </x:c>
      <x:c r="E57" s="19" t="str">
        <x:v>Tormented Soul</x:v>
      </x:c>
      <x:c r="F57" s="19" t="str">
        <x:v>Ekee</x:v>
      </x:c>
      <x:c r="G57" s="19" t="str">
        <x:v>Leshrac the Malicious</x:v>
      </x:c>
      <x:c r="H57" s="19" t="str">
        <x:v>INT</x:v>
      </x:c>
      <x:c r="I57" s="19" t="str">
        <x:v>远程</x:v>
      </x:c>
      <x:c r="J57" s="19" t="n">
        <x:v>4</x:v>
      </x:c>
      <x:c r="K57" s="19" t="str">
        <x:v>Pulse Nova</x:v>
      </x:c>
      <x:c r="L57" s="19" t="str">
        <x:v>A06X</x:v>
      </x:c>
      <x:c r="M57" s="49" t="str">
        <x:v>是</x:v>
      </x:c>
      <x:c r="N57" s="49" t="n">
        <x:v>3</x:v>
      </x:c>
      <x:c r="O57" s="49" t="n">
        <x:v>6</x:v>
      </x:c>
      <x:c r="P57" s="49" t="n">
        <x:v>5</x:v>
      </x:c>
      <x:c r="Q57" s="19" t="str">
        <x:v>主动</x:v>
      </x:c>
      <x:c r="R57" s="19" t="str">
        <x:v>无目标/范围</x:v>
      </x:c>
      <x:c r="S57" s="19" t="str">
        <x:v>召唤</x:v>
      </x:c>
      <x:c r="T57" s="19" t="str">
        <x:v>伤害、召唤、资源机制、范围效果</x:v>
      </x:c>
      <x:c r="U57" s="48" t="str">
        <x:v>主动；无目标/范围；主分类：召唤；标签：伤害、召唤、资源机制、范围效果</x:v>
      </x:c>
      <x:c r="V57" s="48" t="str">
        <x:v>110/110/110</x:v>
      </x:c>
      <x:c r="W57" s="48" t="str">
        <x:v>—/—/—</x:v>
      </x:c>
      <x:c r="X57" s="48" t="str">
        <x:v>—/—/—</x:v>
      </x:c>
      <x:c r="Y57" s="48" t="str">
        <x:v>300/350/400</x:v>
      </x:c>
      <x:c r="Z57" s="48" t="str">
        <x:v>1/1/1</x:v>
      </x:c>
      <x:c r="AA57" s="48" t="str">
        <x:v>1/1/1</x:v>
      </x:c>
      <x:c r="AB57" s="48" t="str">
        <x:v>ground,enemy,neutral,organic/ground,enemy,neutral,organic/ground,enemy,neutral,organic</x:v>
      </x:c>
      <x:c r="AC57" s="48" t="str">
        <x:v>主动；无目标/范围；主分类：召唤；标签：伤害、召唤、资源机制、范围效果；等级：3；魔耗：110/110/110；冷却：—/—/—；施法距离：—/—/—；作用范围：300/350/400；持续时间：1/1/1。</x:v>
      </x:c>
      <x:c r="AD57" s="48" t="str">
        <x:v>1 / 66 / 2 / 100 / 3 / 144 / 20 / 40 / 60</x:v>
      </x:c>
      <x:c r="AE57" s="48" t="str">
        <x:v>A</x:v>
      </x:c>
      <x:c r="AF57" s="48" t="str">
        <x:v>6.48b 地图内 UnitAbilities/AbilityData/AbilityStrings 与对象修改表</x:v>
      </x:c>
      <x:c r="AG57" s="18" t="str">
        <x:v>S1</x:v>
      </x:c>
    </x:row>
    <x:row r="58" ht="48" customHeight="1">
      <x:c r="A58" s="19" t="str">
        <x:v>Ulic-1</x:v>
      </x:c>
      <x:c r="B58" s="19" t="str">
        <x:v>天灾军团</x:v>
      </x:c>
      <x:c r="C58" s="19" t="str">
        <x:v>午夜酒馆</x:v>
      </x:c>
      <x:c r="D58" s="19" t="str">
        <x:v>巫妖</x:v>
      </x:c>
      <x:c r="E58" s="19" t="str">
        <x:v>Lich</x:v>
      </x:c>
      <x:c r="F58" s="19" t="str">
        <x:v>Ulic</x:v>
      </x:c>
      <x:c r="G58" s="19" t="str">
        <x:v>Kel'Thuzad</x:v>
      </x:c>
      <x:c r="H58" s="19" t="str">
        <x:v>INT</x:v>
      </x:c>
      <x:c r="I58" s="19" t="str">
        <x:v>远程</x:v>
      </x:c>
      <x:c r="J58" s="19" t="n">
        <x:v>1</x:v>
      </x:c>
      <x:c r="K58" s="19" t="str">
        <x:v>Frost Nova</x:v>
      </x:c>
      <x:c r="L58" s="19" t="str">
        <x:v>A07F</x:v>
      </x:c>
      <x:c r="M58" s="49" t="str">
        <x:v>否</x:v>
      </x:c>
      <x:c r="N58" s="49" t="n">
        <x:v>4</x:v>
      </x:c>
      <x:c r="O58" s="49" t="n">
        <x:v>1</x:v>
      </x:c>
      <x:c r="P58" s="49" t="n">
        <x:v>2</x:v>
      </x:c>
      <x:c r="Q58" s="19" t="str">
        <x:v>主动</x:v>
      </x:c>
      <x:c r="R58" s="19" t="str">
        <x:v>单位目标</x:v>
      </x:c>
      <x:c r="S58" s="19" t="str">
        <x:v>软控</x:v>
      </x:c>
      <x:c r="T58" s="19" t="str">
        <x:v>伤害、软控</x:v>
      </x:c>
      <x:c r="U58" s="48" t="str">
        <x:v>主动；单位目标；主分类：软控；标签：伤害、软控</x:v>
      </x:c>
      <x:c r="V58" s="48" t="str">
        <x:v>125/150/170/190</x:v>
      </x:c>
      <x:c r="W58" s="48" t="str">
        <x:v>9.25/9.25/9.25/9.25</x:v>
      </x:c>
      <x:c r="X58" s="48" t="str">
        <x:v>600/600/600/600</x:v>
      </x:c>
      <x:c r="Y58" s="48" t="str">
        <x:v>200/200/200/200</x:v>
      </x:c>
      <x:c r="Z58" s="48" t="str">
        <x:v>4/4/4/4</x:v>
      </x:c>
      <x:c r="AA58" s="48" t="str">
        <x:v>4/4/4/4</x:v>
      </x:c>
      <x:c r="AB58" s="48" t="str">
        <x:v>ground,enemy,air,neutral,organic/ground,enemy,air,neutral,organic/ground,enemy,air,neutral,organic/ground,enemy,air,neutral,organic</x:v>
      </x:c>
      <x:c r="AC58" s="48" t="str">
        <x:v>主动；单位目标；主分类：软控；标签：伤害、软控；等级：4；魔耗：125/150/170/190；冷却：9.25/9.25/9.25/9.25；施法距离：600/600/600/600；作用范围：200/200/200/200；持续时间：4/4/4/4。</x:v>
      </x:c>
      <x:c r="AD58" s="48" t="str">
        <x:v>4 / 1 / 50 / 75 / 2 / 100 / 3 / 125 / 175 / 150 / 9.25</x:v>
      </x:c>
      <x:c r="AE58" s="48" t="str">
        <x:v>A</x:v>
      </x:c>
      <x:c r="AF58" s="48" t="str">
        <x:v>6.48b 地图内 UnitAbilities/AbilityData/AbilityStrings 与对象修改表</x:v>
      </x:c>
      <x:c r="AG58" s="18" t="str">
        <x:v>S1</x:v>
      </x:c>
    </x:row>
    <x:row r="59" ht="48" customHeight="1">
      <x:c r="A59" s="19" t="str">
        <x:v>Ulic-2</x:v>
      </x:c>
      <x:c r="B59" s="19" t="str">
        <x:v>天灾军团</x:v>
      </x:c>
      <x:c r="C59" s="19" t="str">
        <x:v>午夜酒馆</x:v>
      </x:c>
      <x:c r="D59" s="19" t="str">
        <x:v>巫妖</x:v>
      </x:c>
      <x:c r="E59" s="19" t="str">
        <x:v>Lich</x:v>
      </x:c>
      <x:c r="F59" s="19" t="str">
        <x:v>Ulic</x:v>
      </x:c>
      <x:c r="G59" s="19" t="str">
        <x:v>Kel'Thuzad</x:v>
      </x:c>
      <x:c r="H59" s="19" t="str">
        <x:v>INT</x:v>
      </x:c>
      <x:c r="I59" s="19" t="str">
        <x:v>远程</x:v>
      </x:c>
      <x:c r="J59" s="19" t="n">
        <x:v>2</x:v>
      </x:c>
      <x:c r="K59" s="19" t="str">
        <x:v>Frost Armor</x:v>
      </x:c>
      <x:c r="L59" s="19" t="str">
        <x:v>A08R</x:v>
      </x:c>
      <x:c r="M59" s="49" t="str">
        <x:v>否</x:v>
      </x:c>
      <x:c r="N59" s="49" t="n">
        <x:v>4</x:v>
      </x:c>
      <x:c r="O59" s="49" t="n">
        <x:v>1</x:v>
      </x:c>
      <x:c r="P59" s="49" t="n">
        <x:v>2</x:v>
      </x:c>
      <x:c r="Q59" s="19" t="str">
        <x:v>开关/自动施放</x:v>
      </x:c>
      <x:c r="R59" s="19" t="str">
        <x:v>单位目标</x:v>
      </x:c>
      <x:c r="S59" s="19" t="str">
        <x:v>防御/生存</x:v>
      </x:c>
      <x:c r="T59" s="19" t="str">
        <x:v>软控、防御/生存、强化</x:v>
      </x:c>
      <x:c r="U59" s="48" t="str">
        <x:v>开关/自动施放；单位目标；主分类：防御/生存；标签：软控、防御/生存、强化</x:v>
      </x:c>
      <x:c r="V59" s="48" t="str">
        <x:v>25/25/25/25</x:v>
      </x:c>
      <x:c r="W59" s="48" t="str">
        <x:v>5/5/5/5</x:v>
      </x:c>
      <x:c r="X59" s="48" t="str">
        <x:v>800/800/800/800</x:v>
      </x:c>
      <x:c r="Y59" s="48" t="str">
        <x:v>—/—/—/—</x:v>
      </x:c>
      <x:c r="Z59" s="48" t="str">
        <x:v>3/3/3/3</x:v>
      </x:c>
      <x:c r="AA59" s="48" t="str">
        <x:v>2/2/2/2</x:v>
      </x:c>
      <x:c r="AB59" s="48" t="str">
        <x:v>air,ground,friend,self,neutral/air,ground,friend,self,neutral/air,ground,friend,self,neutral/air,ground,friend,self,neutral</x:v>
      </x:c>
      <x:c r="AC59" s="48" t="str">
        <x:v>开关/自动施放；单位目标；主分类：防御/生存；标签：软控、防御/生存、强化；等级：4；魔耗：25/25/25/25；冷却：5/5/5/5；施法距离：800/800/800/800；作用范围：—/—/—/—；持续时间：3/3/3/3。</x:v>
      </x:c>
      <x:c r="AD59" s="48" t="str">
        <x:v>2 / 40 / 1 / 3 / 6 / 9 / 4 / 12 / 5</x:v>
      </x:c>
      <x:c r="AE59" s="48" t="str">
        <x:v>A</x:v>
      </x:c>
      <x:c r="AF59" s="48" t="str">
        <x:v>6.48b 地图内 UnitAbilities/AbilityData/AbilityStrings 与对象修改表</x:v>
      </x:c>
      <x:c r="AG59" s="18" t="str">
        <x:v>S1</x:v>
      </x:c>
    </x:row>
    <x:row r="60" ht="48" customHeight="1">
      <x:c r="A60" s="19" t="str">
        <x:v>Ulic-3</x:v>
      </x:c>
      <x:c r="B60" s="19" t="str">
        <x:v>天灾军团</x:v>
      </x:c>
      <x:c r="C60" s="19" t="str">
        <x:v>午夜酒馆</x:v>
      </x:c>
      <x:c r="D60" s="19" t="str">
        <x:v>巫妖</x:v>
      </x:c>
      <x:c r="E60" s="19" t="str">
        <x:v>Lich</x:v>
      </x:c>
      <x:c r="F60" s="19" t="str">
        <x:v>Ulic</x:v>
      </x:c>
      <x:c r="G60" s="19" t="str">
        <x:v>Kel'Thuzad</x:v>
      </x:c>
      <x:c r="H60" s="19" t="str">
        <x:v>INT</x:v>
      </x:c>
      <x:c r="I60" s="19" t="str">
        <x:v>远程</x:v>
      </x:c>
      <x:c r="J60" s="19" t="n">
        <x:v>3</x:v>
      </x:c>
      <x:c r="K60" s="19" t="str">
        <x:v>Dark Ritual</x:v>
      </x:c>
      <x:c r="L60" s="19" t="str">
        <x:v>A053</x:v>
      </x:c>
      <x:c r="M60" s="49" t="str">
        <x:v>否</x:v>
      </x:c>
      <x:c r="N60" s="49" t="n">
        <x:v>4</x:v>
      </x:c>
      <x:c r="O60" s="49" t="n">
        <x:v>1</x:v>
      </x:c>
      <x:c r="P60" s="49" t="n">
        <x:v>2</x:v>
      </x:c>
      <x:c r="Q60" s="19" t="str">
        <x:v>开关/自动施放</x:v>
      </x:c>
      <x:c r="R60" s="19" t="str">
        <x:v>单位目标</x:v>
      </x:c>
      <x:c r="S60" s="19" t="str">
        <x:v>资源机制</x:v>
      </x:c>
      <x:c r="T60" s="19" t="str">
        <x:v>资源机制、范围效果</x:v>
      </x:c>
      <x:c r="U60" s="48" t="str">
        <x:v>开关/自动施放；单位目标；主分类：资源机制；标签：资源机制、范围效果</x:v>
      </x:c>
      <x:c r="V60" s="48" t="str">
        <x:v>25/25/25/25</x:v>
      </x:c>
      <x:c r="W60" s="48" t="str">
        <x:v>55/50/45/40</x:v>
      </x:c>
      <x:c r="X60" s="48" t="str">
        <x:v>400/400/400/400</x:v>
      </x:c>
      <x:c r="Y60" s="48" t="str">
        <x:v>—/—/—/—</x:v>
      </x:c>
      <x:c r="Z60" s="48" t="str">
        <x:v>0.01/0.01/0.01/0.01</x:v>
      </x:c>
      <x:c r="AA60" s="48" t="str">
        <x:v>0.01/0.01/0.01/0.01</x:v>
      </x:c>
      <x:c r="AB60" s="48" t="str">
        <x:v>air,friend,ground,nonancient,nonhero,organic/air,friend,ground,nonancient,nonhero,organic/air,friend,ground,nonancient,nonhero,organic/air,friend,ground,nonancient,nonhero,organic</x:v>
      </x:c>
      <x:c r="AC60" s="48" t="str">
        <x:v>开关/自动施放；单位目标；主分类：资源机制；标签：资源机制、范围效果；等级：4；魔耗：25/25/25/25；冷却：55/50/45/40；施法距离：400/400/400/400；作用范围：—/—/—/—；持续时间：0.01/0.01/0.01/0.01。</x:v>
      </x:c>
      <x:c r="AD60" s="48" t="str">
        <x:v>1 / 15% / 2 / 30% / 3 / 45% / 4 / 60% / 55 / 50 / 45 / 40</x:v>
      </x:c>
      <x:c r="AE60" s="48" t="str">
        <x:v>A</x:v>
      </x:c>
      <x:c r="AF60" s="48" t="str">
        <x:v>6.48b 地图内 UnitAbilities/AbilityData/AbilityStrings 与对象修改表</x:v>
      </x:c>
      <x:c r="AG60" s="18" t="str">
        <x:v>S1</x:v>
      </x:c>
    </x:row>
    <x:row r="61" ht="48" customHeight="1">
      <x:c r="A61" s="19" t="str">
        <x:v>Ulic-4</x:v>
      </x:c>
      <x:c r="B61" s="19" t="str">
        <x:v>天灾军团</x:v>
      </x:c>
      <x:c r="C61" s="19" t="str">
        <x:v>午夜酒馆</x:v>
      </x:c>
      <x:c r="D61" s="19" t="str">
        <x:v>巫妖</x:v>
      </x:c>
      <x:c r="E61" s="19" t="str">
        <x:v>Lich</x:v>
      </x:c>
      <x:c r="F61" s="19" t="str">
        <x:v>Ulic</x:v>
      </x:c>
      <x:c r="G61" s="19" t="str">
        <x:v>Kel'Thuzad</x:v>
      </x:c>
      <x:c r="H61" s="19" t="str">
        <x:v>INT</x:v>
      </x:c>
      <x:c r="I61" s="19" t="str">
        <x:v>远程</x:v>
      </x:c>
      <x:c r="J61" s="19" t="n">
        <x:v>4</x:v>
      </x:c>
      <x:c r="K61" s="19" t="str">
        <x:v>Chain Frost</x:v>
      </x:c>
      <x:c r="L61" s="19" t="str">
        <x:v>A05T</x:v>
      </x:c>
      <x:c r="M61" s="49" t="str">
        <x:v>是</x:v>
      </x:c>
      <x:c r="N61" s="49" t="n">
        <x:v>3</x:v>
      </x:c>
      <x:c r="O61" s="49" t="n">
        <x:v>6</x:v>
      </x:c>
      <x:c r="P61" s="49" t="n">
        <x:v>5</x:v>
      </x:c>
      <x:c r="Q61" s="19" t="str">
        <x:v>主动</x:v>
      </x:c>
      <x:c r="R61" s="19" t="str">
        <x:v>无目标或脚本目标</x:v>
      </x:c>
      <x:c r="S61" s="19" t="str">
        <x:v>召唤</x:v>
      </x:c>
      <x:c r="T61" s="19" t="str">
        <x:v>伤害、召唤、强化</x:v>
      </x:c>
      <x:c r="U61" s="48" t="str">
        <x:v>主动；无目标或脚本目标；主分类：召唤；标签：伤害、召唤、强化</x:v>
      </x:c>
      <x:c r="V61" s="48" t="str">
        <x:v>200/325/500</x:v>
      </x:c>
      <x:c r="W61" s="48" t="str">
        <x:v>145/115/60</x:v>
      </x:c>
      <x:c r="X61" s="48" t="str">
        <x:v>750/750/750</x:v>
      </x:c>
      <x:c r="Y61" s="48" t="str">
        <x:v>—/—/—</x:v>
      </x:c>
      <x:c r="Z61" s="48" t="str">
        <x:v>0.01/0.01/0.01</x:v>
      </x:c>
      <x:c r="AA61" s="48" t="str">
        <x:v>0.01/0.01/0.01</x:v>
      </x:c>
      <x:c r="AB61" s="48" t="str">
        <x:v>air,enemies,ground,neutral,organic/air,enemies,ground,neutral,organic/air,enemies,ground,neutral,organic</x:v>
      </x:c>
      <x:c r="AC61" s="48" t="str">
        <x:v>主动；无目标或脚本目标；主分类：召唤；标签：伤害、召唤、强化；等级：3；魔耗：200/325/500；冷却：145/115/60；施法距离：750/750/750；作用范围：—/—/—；持续时间：0.01/0.01/0.01。</x:v>
      </x:c>
      <x:c r="AD61" s="48" t="str">
        <x:v>6 / 1 / 280 / 2 / 370 / 3 / 460 / 145 / 115 / 60</x:v>
      </x:c>
      <x:c r="AE61" s="48" t="str">
        <x:v>A</x:v>
      </x:c>
      <x:c r="AF61" s="48" t="str">
        <x:v>6.48b 地图内 UnitAbilities/AbilityData/AbilityStrings 与对象修改表</x:v>
      </x:c>
      <x:c r="AG61" s="18" t="str">
        <x:v>S1</x:v>
      </x:c>
    </x:row>
    <x:row r="62" ht="48" customHeight="1">
      <x:c r="A62" s="19" t="str">
        <x:v>UC76-1</x:v>
      </x:c>
      <x:c r="B62" s="19" t="str">
        <x:v>天灾军团</x:v>
      </x:c>
      <x:c r="C62" s="19" t="str">
        <x:v>午夜酒馆</x:v>
      </x:c>
      <x:c r="D62" s="19" t="str">
        <x:v>死亡先知</x:v>
      </x:c>
      <x:c r="E62" s="19" t="str">
        <x:v>Death Prophet</x:v>
      </x:c>
      <x:c r="F62" s="19" t="str">
        <x:v>UC76</x:v>
      </x:c>
      <x:c r="G62" s="19" t="str">
        <x:v>Krobelus</x:v>
      </x:c>
      <x:c r="H62" s="19" t="str">
        <x:v>INT</x:v>
      </x:c>
      <x:c r="I62" s="19" t="str">
        <x:v>远程</x:v>
      </x:c>
      <x:c r="J62" s="19" t="n">
        <x:v>1</x:v>
      </x:c>
      <x:c r="K62" s="19" t="str">
        <x:v>Carrion Swarm</x:v>
      </x:c>
      <x:c r="L62" s="19" t="str">
        <x:v>A02M</x:v>
      </x:c>
      <x:c r="M62" s="49" t="str">
        <x:v>否</x:v>
      </x:c>
      <x:c r="N62" s="49" t="n">
        <x:v>4</x:v>
      </x:c>
      <x:c r="O62" s="49" t="n">
        <x:v>1</x:v>
      </x:c>
      <x:c r="P62" s="49" t="n">
        <x:v>2</x:v>
      </x:c>
      <x:c r="Q62" s="19" t="str">
        <x:v>主动</x:v>
      </x:c>
      <x:c r="R62" s="19" t="str">
        <x:v>无目标或脚本目标</x:v>
      </x:c>
      <x:c r="S62" s="19" t="str">
        <x:v>伤害</x:v>
      </x:c>
      <x:c r="T62" s="19" t="str">
        <x:v>伤害</x:v>
      </x:c>
      <x:c r="U62" s="48" t="str">
        <x:v>主动；无目标或脚本目标；主分类：伤害；标签：伤害</x:v>
      </x:c>
      <x:c r="V62" s="48" t="str">
        <x:v>105/120/140/165</x:v>
      </x:c>
      <x:c r="W62" s="48" t="str">
        <x:v>9/9/9/9</x:v>
      </x:c>
      <x:c r="X62" s="48" t="str">
        <x:v>600/600/600/600</x:v>
      </x:c>
      <x:c r="Y62" s="48" t="str">
        <x:v>110/110/110/110</x:v>
      </x:c>
      <x:c r="Z62" s="48" t="str">
        <x:v>—/—/—/—</x:v>
      </x:c>
      <x:c r="AA62" s="48" t="str">
        <x:v>—/—/—/—</x:v>
      </x:c>
      <x:c r="AB62" s="48" t="str">
        <x:v>ground,air,organic/ground,air,organic/ground,air,organic/ground,air,organic</x:v>
      </x:c>
      <x:c r="AC62" s="48" t="str">
        <x:v>主动；无目标或脚本目标；主分类：伤害；标签：伤害；等级：4；魔耗：105/120/140/165；冷却：9/9/9/9；施法距离：600/600/600/600；作用范围：110/110/110/110；持续时间：—/—/—/—。</x:v>
      </x:c>
      <x:c r="AD62" s="48" t="str">
        <x:v>1 / 100 / 2 / 175 / 3 / 250 / 4 / 300 / 9</x:v>
      </x:c>
      <x:c r="AE62" s="48" t="str">
        <x:v>A</x:v>
      </x:c>
      <x:c r="AF62" s="48" t="str">
        <x:v>6.48b 地图内 UnitAbilities/AbilityData/AbilityStrings 与对象修改表</x:v>
      </x:c>
      <x:c r="AG62" s="18" t="str">
        <x:v>S1</x:v>
      </x:c>
    </x:row>
    <x:row r="63" ht="48" customHeight="1">
      <x:c r="A63" s="19" t="str">
        <x:v>UC76-2</x:v>
      </x:c>
      <x:c r="B63" s="19" t="str">
        <x:v>天灾军团</x:v>
      </x:c>
      <x:c r="C63" s="19" t="str">
        <x:v>午夜酒馆</x:v>
      </x:c>
      <x:c r="D63" s="19" t="str">
        <x:v>死亡先知</x:v>
      </x:c>
      <x:c r="E63" s="19" t="str">
        <x:v>Death Prophet</x:v>
      </x:c>
      <x:c r="F63" s="19" t="str">
        <x:v>UC76</x:v>
      </x:c>
      <x:c r="G63" s="19" t="str">
        <x:v>Krobelus</x:v>
      </x:c>
      <x:c r="H63" s="19" t="str">
        <x:v>INT</x:v>
      </x:c>
      <x:c r="I63" s="19" t="str">
        <x:v>远程</x:v>
      </x:c>
      <x:c r="J63" s="19" t="n">
        <x:v>2</x:v>
      </x:c>
      <x:c r="K63" s="19" t="str">
        <x:v>Silence</x:v>
      </x:c>
      <x:c r="L63" s="19" t="str">
        <x:v>A0P6</x:v>
      </x:c>
      <x:c r="M63" s="49" t="str">
        <x:v>否</x:v>
      </x:c>
      <x:c r="N63" s="49" t="n">
        <x:v>4</x:v>
      </x:c>
      <x:c r="O63" s="49" t="n">
        <x:v>1</x:v>
      </x:c>
      <x:c r="P63" s="49" t="n">
        <x:v>2</x:v>
      </x:c>
      <x:c r="Q63" s="19" t="str">
        <x:v>主动</x:v>
      </x:c>
      <x:c r="R63" s="19" t="str">
        <x:v>点目标/区域</x:v>
      </x:c>
      <x:c r="S63" s="19" t="str">
        <x:v>软控</x:v>
      </x:c>
      <x:c r="T63" s="19" t="str">
        <x:v>软控、范围效果</x:v>
      </x:c>
      <x:c r="U63" s="48" t="str">
        <x:v>主动；点目标/区域；主分类：软控；标签：软控、范围效果</x:v>
      </x:c>
      <x:c r="V63" s="48" t="str">
        <x:v>80/80/80/80</x:v>
      </x:c>
      <x:c r="W63" s="48" t="str">
        <x:v>15/15/15/15</x:v>
      </x:c>
      <x:c r="X63" s="48" t="str">
        <x:v>900/900/900/900</x:v>
      </x:c>
      <x:c r="Y63" s="48" t="str">
        <x:v>200/275/350/350</x:v>
      </x:c>
      <x:c r="Z63" s="48" t="str">
        <x:v>3/4/5/6</x:v>
      </x:c>
      <x:c r="AA63" s="48" t="str">
        <x:v>3/4/5/6</x:v>
      </x:c>
      <x:c r="AB63" s="48" t="str">
        <x:v>air,ground,enemy,organic,neutral/air,ground,enemy,organic,neutral/air,ground,enemy,organic,neutral/air,ground,enemy,organic,neutral</x:v>
      </x:c>
      <x:c r="AC63" s="48" t="str">
        <x:v>主动；点目标/区域；主分类：软控；标签：软控、范围效果；等级：4；魔耗：80/80/80/80；冷却：15/15/15/15；施法距离：900/900/900/900；作用范围：200/275/350/350；持续时间：3/4/5/6。</x:v>
      </x:c>
      <x:c r="AD63" s="48" t="str">
        <x:v>1 / 3 / 2 / 4 / 5 / 6 / 14</x:v>
      </x:c>
      <x:c r="AE63" s="48" t="str">
        <x:v>A</x:v>
      </x:c>
      <x:c r="AF63" s="48" t="str">
        <x:v>6.48b 地图内 UnitAbilities/AbilityData/AbilityStrings 与对象修改表</x:v>
      </x:c>
      <x:c r="AG63" s="18" t="str">
        <x:v>S1</x:v>
      </x:c>
    </x:row>
    <x:row r="64" ht="48" customHeight="1">
      <x:c r="A64" s="19" t="str">
        <x:v>UC76-3</x:v>
      </x:c>
      <x:c r="B64" s="19" t="str">
        <x:v>天灾军团</x:v>
      </x:c>
      <x:c r="C64" s="19" t="str">
        <x:v>午夜酒馆</x:v>
      </x:c>
      <x:c r="D64" s="19" t="str">
        <x:v>死亡先知</x:v>
      </x:c>
      <x:c r="E64" s="19" t="str">
        <x:v>Death Prophet</x:v>
      </x:c>
      <x:c r="F64" s="19" t="str">
        <x:v>UC76</x:v>
      </x:c>
      <x:c r="G64" s="19" t="str">
        <x:v>Krobelus</x:v>
      </x:c>
      <x:c r="H64" s="19" t="str">
        <x:v>INT</x:v>
      </x:c>
      <x:c r="I64" s="19" t="str">
        <x:v>远程</x:v>
      </x:c>
      <x:c r="J64" s="19" t="n">
        <x:v>3</x:v>
      </x:c>
      <x:c r="K64" s="19" t="str">
        <x:v>Witchcraft</x:v>
      </x:c>
      <x:c r="L64" s="19" t="str">
        <x:v>A02C</x:v>
      </x:c>
      <x:c r="M64" s="49" t="str">
        <x:v>否</x:v>
      </x:c>
      <x:c r="N64" s="49" t="n">
        <x:v>4</x:v>
      </x:c>
      <x:c r="O64" s="49" t="n">
        <x:v>1</x:v>
      </x:c>
      <x:c r="P64" s="49" t="n">
        <x:v>2</x:v>
      </x:c>
      <x:c r="Q64" s="19" t="str">
        <x:v>被动</x:v>
      </x:c>
      <x:c r="R64" s="19" t="str">
        <x:v>被动</x:v>
      </x:c>
      <x:c r="S64" s="19" t="str">
        <x:v>召唤</x:v>
      </x:c>
      <x:c r="T64" s="19" t="str">
        <x:v>软控、召唤、强化、资源机制、被动触发</x:v>
      </x:c>
      <x:c r="U64" s="48" t="str">
        <x:v>被动；被动；主分类：召唤；标签：软控、召唤、强化、资源机制、被动触发</x:v>
      </x:c>
      <x:c r="V64" s="48" t="str">
        <x:v>—/—/—/—</x:v>
      </x:c>
      <x:c r="W64" s="48" t="str">
        <x:v>—/—/—/—</x:v>
      </x:c>
      <x:c r="X64" s="48" t="str">
        <x:v>—/—/—/—</x:v>
      </x:c>
      <x:c r="Y64" s="48" t="str">
        <x:v>—/—/—/—</x:v>
      </x:c>
      <x:c r="Z64" s="48" t="str">
        <x:v>—/—/—/—</x:v>
      </x:c>
      <x:c r="AA64" s="48" t="str">
        <x:v>—/—/—/—</x:v>
      </x:c>
      <x:c r="AB64" s="48" t="str">
        <x:v>—/—/—/—</x:v>
      </x:c>
      <x:c r="AC64" s="48" t="str">
        <x:v>被动；被动；主分类：召唤；标签：软控、召唤、强化、资源机制、被动触发；等级：4；魔耗：—/—/—/—；冷却：—/—/—/—；施法距离：—/—/—/—；作用范围：—/—/—/—；持续时间：—/—/—/—。</x:v>
      </x:c>
      <x:c r="AD64" s="48" t="str">
        <x:v>1 / 2 / 3 / 4</x:v>
      </x:c>
      <x:c r="AE64" s="48" t="str">
        <x:v>A</x:v>
      </x:c>
      <x:c r="AF64" s="48" t="str">
        <x:v>6.48b 地图内 UnitAbilities/AbilityData/AbilityStrings 与对象修改表</x:v>
      </x:c>
      <x:c r="AG64" s="18" t="str">
        <x:v>S1</x:v>
      </x:c>
    </x:row>
    <x:row r="65" ht="48" customHeight="1">
      <x:c r="A65" s="19" t="str">
        <x:v>UC76-4</x:v>
      </x:c>
      <x:c r="B65" s="19" t="str">
        <x:v>天灾军团</x:v>
      </x:c>
      <x:c r="C65" s="19" t="str">
        <x:v>午夜酒馆</x:v>
      </x:c>
      <x:c r="D65" s="19" t="str">
        <x:v>死亡先知</x:v>
      </x:c>
      <x:c r="E65" s="19" t="str">
        <x:v>Death Prophet</x:v>
      </x:c>
      <x:c r="F65" s="19" t="str">
        <x:v>UC76</x:v>
      </x:c>
      <x:c r="G65" s="19" t="str">
        <x:v>Krobelus</x:v>
      </x:c>
      <x:c r="H65" s="19" t="str">
        <x:v>INT</x:v>
      </x:c>
      <x:c r="I65" s="19" t="str">
        <x:v>远程</x:v>
      </x:c>
      <x:c r="J65" s="19" t="n">
        <x:v>4</x:v>
      </x:c>
      <x:c r="K65" s="19" t="str">
        <x:v>Exorcism</x:v>
      </x:c>
      <x:c r="L65" s="19" t="str">
        <x:v>A073</x:v>
      </x:c>
      <x:c r="M65" s="49" t="str">
        <x:v>是</x:v>
      </x:c>
      <x:c r="N65" s="49" t="n">
        <x:v>3</x:v>
      </x:c>
      <x:c r="O65" s="49" t="n">
        <x:v>6</x:v>
      </x:c>
      <x:c r="P65" s="49" t="n">
        <x:v>5</x:v>
      </x:c>
      <x:c r="Q65" s="19" t="str">
        <x:v>主动</x:v>
      </x:c>
      <x:c r="R65" s="19" t="str">
        <x:v>无目标或脚本目标</x:v>
      </x:c>
      <x:c r="S65" s="19" t="str">
        <x:v>召唤</x:v>
      </x:c>
      <x:c r="T65" s="19" t="str">
        <x:v>召唤</x:v>
      </x:c>
      <x:c r="U65" s="48" t="str">
        <x:v>主动；无目标或脚本目标；主分类：召唤；标签：召唤</x:v>
      </x:c>
      <x:c r="V65" s="48" t="str">
        <x:v>200/300/400</x:v>
      </x:c>
      <x:c r="W65" s="48" t="str">
        <x:v>120/120/120</x:v>
      </x:c>
      <x:c r="X65" s="48" t="str">
        <x:v>—/—/—</x:v>
      </x:c>
      <x:c r="Y65" s="48" t="str">
        <x:v>700/700/700</x:v>
      </x:c>
      <x:c r="Z65" s="48" t="str">
        <x:v>30/30/30</x:v>
      </x:c>
      <x:c r="AA65" s="48" t="str">
        <x:v>30/30/30</x:v>
      </x:c>
      <x:c r="AB65" s="48" t="str">
        <x:v>air,ground,structure,neutral,enemy/air,ground,structure,neutral,enemy/air,ground,structure,neutral,enemy</x:v>
      </x:c>
      <x:c r="AC65" s="48" t="str">
        <x:v>主动；无目标或脚本目标；主分类：召唤；标签：召唤；等级：3；魔耗：200/300/400；冷却：120/120/120；施法距离：—/—/—；作用范围：700/700/700；持续时间：30/30/30。</x:v>
      </x:c>
      <x:c r="AD65" s="48" t="str">
        <x:v>1 / 5 / 2 / 10 / 3 / 16 / 120 / 30</x:v>
      </x:c>
      <x:c r="AE65" s="48" t="str">
        <x:v>A</x:v>
      </x:c>
      <x:c r="AF65" s="48" t="str">
        <x:v>6.48b 地图内 UnitAbilities/AbilityData/AbilityStrings 与对象修改表</x:v>
      </x:c>
      <x:c r="AG65" s="18" t="str">
        <x:v>S1</x:v>
      </x:c>
    </x:row>
    <x:row r="66" ht="48" customHeight="1">
      <x:c r="A66" s="19" t="str">
        <x:v>U006-1</x:v>
      </x:c>
      <x:c r="B66" s="19" t="str">
        <x:v>天灾军团</x:v>
      </x:c>
      <x:c r="C66" s="19" t="str">
        <x:v>午夜酒馆</x:v>
      </x:c>
      <x:c r="D66" s="19" t="str">
        <x:v>育母蜘蛛</x:v>
      </x:c>
      <x:c r="E66" s="19" t="str">
        <x:v>Broodmother</x:v>
      </x:c>
      <x:c r="F66" s="19" t="str">
        <x:v>U006</x:v>
      </x:c>
      <x:c r="G66" s="19" t="str">
        <x:v>Black Arachnia</x:v>
      </x:c>
      <x:c r="H66" s="19" t="str">
        <x:v>AGI</x:v>
      </x:c>
      <x:c r="I66" s="19" t="str">
        <x:v>近战</x:v>
      </x:c>
      <x:c r="J66" s="19" t="n">
        <x:v>1</x:v>
      </x:c>
      <x:c r="K66" s="19" t="str">
        <x:v>Spin Web</x:v>
      </x:c>
      <x:c r="L66" s="19" t="str">
        <x:v>A0BG</x:v>
      </x:c>
      <x:c r="M66" s="49" t="str">
        <x:v>否</x:v>
      </x:c>
      <x:c r="N66" s="49" t="n">
        <x:v>4</x:v>
      </x:c>
      <x:c r="O66" s="49" t="n">
        <x:v>1</x:v>
      </x:c>
      <x:c r="P66" s="49" t="n">
        <x:v>2</x:v>
      </x:c>
      <x:c r="Q66" s="19" t="str">
        <x:v>主动</x:v>
      </x:c>
      <x:c r="R66" s="19" t="str">
        <x:v>无目标/范围</x:v>
      </x:c>
      <x:c r="S66" s="19" t="str">
        <x:v>召唤</x:v>
      </x:c>
      <x:c r="T66" s="19" t="str">
        <x:v>治疗/回复、召唤、强化、隐身、范围效果</x:v>
      </x:c>
      <x:c r="U66" s="48" t="str">
        <x:v>主动；无目标/范围；主分类：召唤；标签：治疗/回复、召唤、强化、隐身、范围效果</x:v>
      </x:c>
      <x:c r="V66" s="48" t="str">
        <x:v>140/140/140/140</x:v>
      </x:c>
      <x:c r="W66" s="48" t="str">
        <x:v>90/75/60/45</x:v>
      </x:c>
      <x:c r="X66" s="48" t="str">
        <x:v>600/600/600/600</x:v>
      </x:c>
      <x:c r="Y66" s="48" t="str">
        <x:v>550/550/550/550</x:v>
      </x:c>
      <x:c r="Z66" s="48" t="str">
        <x:v>2/2/2/2</x:v>
      </x:c>
      <x:c r="AA66" s="48" t="str">
        <x:v>1/1/1/1</x:v>
      </x:c>
      <x:c r="AB66" s="48" t="str">
        <x:v>none/none/none/none</x:v>
      </x:c>
      <x:c r="AC66" s="48" t="str">
        <x:v>主动；无目标/范围；主分类：召唤；标签：治疗/回复、召唤、强化、隐身、范围效果；等级：4；魔耗：140/140/140/140；冷却：90/75/60/45；施法距离：600/600/600/600；作用范围：550/550/550/550；持续时间：2/2/2/2。</x:v>
      </x:c>
      <x:c r="AD66" s="48" t="str">
        <x:v>1 / 2 / 4 / 3 / 6 / 8 / 90 / 75 / 60 / 45 / 20%</x:v>
      </x:c>
      <x:c r="AE66" s="48" t="str">
        <x:v>A</x:v>
      </x:c>
      <x:c r="AF66" s="48" t="str">
        <x:v>6.48b 地图内 UnitAbilities/AbilityData/AbilityStrings 与对象修改表</x:v>
      </x:c>
      <x:c r="AG66" s="18" t="str">
        <x:v>S1</x:v>
      </x:c>
    </x:row>
    <x:row r="67" ht="48" customHeight="1">
      <x:c r="A67" s="19" t="str">
        <x:v>U006-2</x:v>
      </x:c>
      <x:c r="B67" s="19" t="str">
        <x:v>天灾军团</x:v>
      </x:c>
      <x:c r="C67" s="19" t="str">
        <x:v>午夜酒馆</x:v>
      </x:c>
      <x:c r="D67" s="19" t="str">
        <x:v>育母蜘蛛</x:v>
      </x:c>
      <x:c r="E67" s="19" t="str">
        <x:v>Broodmother</x:v>
      </x:c>
      <x:c r="F67" s="19" t="str">
        <x:v>U006</x:v>
      </x:c>
      <x:c r="G67" s="19" t="str">
        <x:v>Black Arachnia</x:v>
      </x:c>
      <x:c r="H67" s="19" t="str">
        <x:v>AGI</x:v>
      </x:c>
      <x:c r="I67" s="19" t="str">
        <x:v>近战</x:v>
      </x:c>
      <x:c r="J67" s="19" t="n">
        <x:v>2</x:v>
      </x:c>
      <x:c r="K67" s="19" t="str">
        <x:v>Insatiable Hunger</x:v>
      </x:c>
      <x:c r="L67" s="19" t="str">
        <x:v>A0BP</x:v>
      </x:c>
      <x:c r="M67" s="49" t="str">
        <x:v>是</x:v>
      </x:c>
      <x:c r="N67" s="49" t="n">
        <x:v>3</x:v>
      </x:c>
      <x:c r="O67" s="49" t="n">
        <x:v>6</x:v>
      </x:c>
      <x:c r="P67" s="49" t="n">
        <x:v>5</x:v>
      </x:c>
      <x:c r="Q67" s="19" t="str">
        <x:v>主动</x:v>
      </x:c>
      <x:c r="R67" s="19" t="str">
        <x:v>无目标或脚本目标</x:v>
      </x:c>
      <x:c r="S67" s="19" t="str">
        <x:v>强化</x:v>
      </x:c>
      <x:c r="T67" s="19" t="str">
        <x:v>伤害、强化</x:v>
      </x:c>
      <x:c r="U67" s="48" t="str">
        <x:v>主动；无目标或脚本目标；主分类：强化；标签：伤害、强化</x:v>
      </x:c>
      <x:c r="V67" s="48" t="str">
        <x:v>100/100/100</x:v>
      </x:c>
      <x:c r="W67" s="48" t="str">
        <x:v>60/60/60</x:v>
      </x:c>
      <x:c r="X67" s="48" t="str">
        <x:v>—/—/—</x:v>
      </x:c>
      <x:c r="Y67" s="48" t="str">
        <x:v>—/—/—</x:v>
      </x:c>
      <x:c r="Z67" s="48" t="str">
        <x:v>20/20/20</x:v>
      </x:c>
      <x:c r="AA67" s="48" t="str">
        <x:v>20/20/20</x:v>
      </x:c>
      <x:c r="AB67" s="48" t="str">
        <x:v>air,ground,enemy,organic/air,ground,enemy,organic/air,ground,enemy,organic</x:v>
      </x:c>
      <x:c r="AC67" s="48" t="str">
        <x:v>主动；无目标或脚本目标；主分类：强化；标签：伤害、强化；等级：3；魔耗：100/100/100；冷却：60/60/60；施法距离：—/—/—；作用范围：—/—/—；持续时间：20/20/20。</x:v>
      </x:c>
      <x:c r="AD67" s="48" t="str">
        <x:v>60 / 75 / 90 / 40% / 50% / 60% / 20 / 1 / 2 / 3</x:v>
      </x:c>
      <x:c r="AE67" s="48" t="str">
        <x:v>A</x:v>
      </x:c>
      <x:c r="AF67" s="48" t="str">
        <x:v>Name restored from the hero's 6.48-era skill identity; exact values come from AbilityData.slk.</x:v>
      </x:c>
      <x:c r="AG67" s="18" t="str">
        <x:v>S1</x:v>
      </x:c>
    </x:row>
    <x:row r="68" ht="48" customHeight="1">
      <x:c r="A68" s="19" t="str">
        <x:v>U006-3</x:v>
      </x:c>
      <x:c r="B68" s="19" t="str">
        <x:v>天灾军团</x:v>
      </x:c>
      <x:c r="C68" s="19" t="str">
        <x:v>午夜酒馆</x:v>
      </x:c>
      <x:c r="D68" s="19" t="str">
        <x:v>育母蜘蛛</x:v>
      </x:c>
      <x:c r="E68" s="19" t="str">
        <x:v>Broodmother</x:v>
      </x:c>
      <x:c r="F68" s="19" t="str">
        <x:v>U006</x:v>
      </x:c>
      <x:c r="G68" s="19" t="str">
        <x:v>Black Arachnia</x:v>
      </x:c>
      <x:c r="H68" s="19" t="str">
        <x:v>AGI</x:v>
      </x:c>
      <x:c r="I68" s="19" t="str">
        <x:v>近战</x:v>
      </x:c>
      <x:c r="J68" s="19" t="n">
        <x:v>3</x:v>
      </x:c>
      <x:c r="K68" s="19" t="str">
        <x:v>Incapacitating Bite</x:v>
      </x:c>
      <x:c r="L68" s="19" t="str">
        <x:v>A0BK</x:v>
      </x:c>
      <x:c r="M68" s="49" t="str">
        <x:v>否</x:v>
      </x:c>
      <x:c r="N68" s="49" t="n">
        <x:v>4</x:v>
      </x:c>
      <x:c r="O68" s="49" t="n">
        <x:v>1</x:v>
      </x:c>
      <x:c r="P68" s="49" t="n">
        <x:v>2</x:v>
      </x:c>
      <x:c r="Q68" s="19" t="str">
        <x:v>被动</x:v>
      </x:c>
      <x:c r="R68" s="19" t="str">
        <x:v>被动</x:v>
      </x:c>
      <x:c r="S68" s="19" t="str">
        <x:v>软控</x:v>
      </x:c>
      <x:c r="T68" s="19" t="str">
        <x:v>伤害、软控、强化、被动触发</x:v>
      </x:c>
      <x:c r="U68" s="48" t="str">
        <x:v>被动；被动；主分类：软控；标签：伤害、软控、强化、被动触发</x:v>
      </x:c>
      <x:c r="V68" s="48" t="str">
        <x:v>—/—/—/—</x:v>
      </x:c>
      <x:c r="W68" s="48" t="str">
        <x:v>—/—/—/—</x:v>
      </x:c>
      <x:c r="X68" s="48" t="str">
        <x:v>—/—/—/—</x:v>
      </x:c>
      <x:c r="Y68" s="48" t="str">
        <x:v>—/—/—/—</x:v>
      </x:c>
      <x:c r="Z68" s="48" t="str">
        <x:v>—/—/—/—</x:v>
      </x:c>
      <x:c r="AA68" s="48" t="str">
        <x:v>—/—/—/—</x:v>
      </x:c>
      <x:c r="AB68" s="48" t="str">
        <x:v>air,enemies,ground,ward/air,enemies,ground,ward/air,enemies,ground,ward/air,enemies,ground,ward</x:v>
      </x:c>
      <x:c r="AC68" s="48" t="str">
        <x:v>被动；被动；主分类：软控；标签：伤害、软控、强化、被动触发；等级：4；魔耗：—/—/—/—；冷却：—/—/—/—；施法距离：—/—/—/—；作用范围：—/—/—/—；持续时间：—/—/—/—。</x:v>
      </x:c>
      <x:c r="AD68" s="48" t="str">
        <x:v>2 / 4 / 6 / 8 / 10% / 20% / 30% / 40% / 15% / 25% / 1 / 3</x:v>
      </x:c>
      <x:c r="AE68" s="48" t="str">
        <x:v>A</x:v>
      </x:c>
      <x:c r="AF68" s="48" t="str">
        <x:v>The learn container points to A0BM/A0BL/A0BN/A0BO; their map tooltips provide the four level values.</x:v>
      </x:c>
      <x:c r="AG68" s="18" t="str">
        <x:v>S1</x:v>
      </x:c>
    </x:row>
    <x:row r="69" ht="48" customHeight="1">
      <x:c r="A69" s="19" t="str">
        <x:v>U006-4</x:v>
      </x:c>
      <x:c r="B69" s="19" t="str">
        <x:v>天灾军团</x:v>
      </x:c>
      <x:c r="C69" s="19" t="str">
        <x:v>午夜酒馆</x:v>
      </x:c>
      <x:c r="D69" s="19" t="str">
        <x:v>育母蜘蛛</x:v>
      </x:c>
      <x:c r="E69" s="19" t="str">
        <x:v>Broodmother</x:v>
      </x:c>
      <x:c r="F69" s="19" t="str">
        <x:v>U006</x:v>
      </x:c>
      <x:c r="G69" s="19" t="str">
        <x:v>Black Arachnia</x:v>
      </x:c>
      <x:c r="H69" s="19" t="str">
        <x:v>AGI</x:v>
      </x:c>
      <x:c r="I69" s="19" t="str">
        <x:v>近战</x:v>
      </x:c>
      <x:c r="J69" s="19" t="n">
        <x:v>4</x:v>
      </x:c>
      <x:c r="K69" s="19" t="str">
        <x:v>Spawn Spiderlings</x:v>
      </x:c>
      <x:c r="L69" s="19" t="str">
        <x:v>A0BH</x:v>
      </x:c>
      <x:c r="M69" s="49" t="str">
        <x:v>否</x:v>
      </x:c>
      <x:c r="N69" s="49" t="n">
        <x:v>4</x:v>
      </x:c>
      <x:c r="O69" s="49" t="n">
        <x:v>1</x:v>
      </x:c>
      <x:c r="P69" s="49" t="n">
        <x:v>2</x:v>
      </x:c>
      <x:c r="Q69" s="19" t="str">
        <x:v>开关/自动施放</x:v>
      </x:c>
      <x:c r="R69" s="19" t="str">
        <x:v>单位目标</x:v>
      </x:c>
      <x:c r="S69" s="19" t="str">
        <x:v>召唤</x:v>
      </x:c>
      <x:c r="T69" s="19" t="str">
        <x:v>伤害、召唤</x:v>
      </x:c>
      <x:c r="U69" s="48" t="str">
        <x:v>开关/自动施放；单位目标；主分类：召唤；标签：伤害、召唤</x:v>
      </x:c>
      <x:c r="V69" s="48" t="str">
        <x:v>75/90/105/120</x:v>
      </x:c>
      <x:c r="W69" s="48" t="str">
        <x:v>10/10/10/10</x:v>
      </x:c>
      <x:c r="X69" s="48" t="str">
        <x:v>700/700/700/700</x:v>
      </x:c>
      <x:c r="Y69" s="48" t="str">
        <x:v>—/—/—/—</x:v>
      </x:c>
      <x:c r="Z69" s="48" t="str">
        <x:v>0.9/0.9/0.9/0.9</x:v>
      </x:c>
      <x:c r="AA69" s="48" t="str">
        <x:v>0.9/0.9/0.9/0.9</x:v>
      </x:c>
      <x:c r="AB69" s="48" t="str">
        <x:v>air,enemies,ground,neutral,organic/air,enemies,ground,neutral,organic/air,enemies,ground,neutral,organic/air,enemies,ground,neutral,organic</x:v>
      </x:c>
      <x:c r="AC69" s="48" t="str">
        <x:v>开关/自动施放；单位目标；主分类：召唤；标签：伤害、召唤；等级：4；魔耗：75/90/105/120；冷却：10/10/10/10；施法距离：700/700/700/700；作用范围：—/—/—/—；持续时间：0.9/0.9/0.9/0.9。</x:v>
      </x:c>
      <x:c r="AD69" s="48" t="str">
        <x:v>1 / 75 / 2 / 150 / 3 / 225 / 4 / 300 / 10</x:v>
      </x:c>
      <x:c r="AE69" s="48" t="str">
        <x:v>A</x:v>
      </x:c>
      <x:c r="AF69" s="48" t="str">
        <x:v>6.48b 地图内 UnitAbilities/AbilityData/AbilityStrings 与对象修改表</x:v>
      </x:c>
      <x:c r="AG69" s="18" t="str">
        <x:v>S1</x:v>
      </x:c>
    </x:row>
    <x:row r="70" ht="48" customHeight="1">
      <x:c r="A70" s="19" t="str">
        <x:v>UC18-1</x:v>
      </x:c>
      <x:c r="B70" s="19" t="str">
        <x:v>天灾军团</x:v>
      </x:c>
      <x:c r="C70" s="19" t="str">
        <x:v>午夜酒馆</x:v>
      </x:c>
      <x:c r="D70" s="19" t="str">
        <x:v>恶魔巫师</x:v>
      </x:c>
      <x:c r="E70" s="19" t="str">
        <x:v>Demon Witch</x:v>
      </x:c>
      <x:c r="F70" s="19" t="str">
        <x:v>UC18</x:v>
      </x:c>
      <x:c r="G70" s="19" t="str">
        <x:v>Lion</x:v>
      </x:c>
      <x:c r="H70" s="19" t="str">
        <x:v>INT</x:v>
      </x:c>
      <x:c r="I70" s="19" t="str">
        <x:v>远程</x:v>
      </x:c>
      <x:c r="J70" s="19" t="n">
        <x:v>1</x:v>
      </x:c>
      <x:c r="K70" s="19" t="str">
        <x:v>Impale</x:v>
      </x:c>
      <x:c r="L70" s="19" t="str">
        <x:v>A02J</x:v>
      </x:c>
      <x:c r="M70" s="49" t="str">
        <x:v>否</x:v>
      </x:c>
      <x:c r="N70" s="49" t="n">
        <x:v>4</x:v>
      </x:c>
      <x:c r="O70" s="49" t="n">
        <x:v>1</x:v>
      </x:c>
      <x:c r="P70" s="49" t="n">
        <x:v>2</x:v>
      </x:c>
      <x:c r="Q70" s="19" t="str">
        <x:v>主动</x:v>
      </x:c>
      <x:c r="R70" s="19" t="str">
        <x:v>无目标或脚本目标</x:v>
      </x:c>
      <x:c r="S70" s="19" t="str">
        <x:v>硬控</x:v>
      </x:c>
      <x:c r="T70" s="19" t="str">
        <x:v>伤害、硬控</x:v>
      </x:c>
      <x:c r="U70" s="48" t="str">
        <x:v>主动；无目标或脚本目标；主分类：硬控；标签：伤害、硬控</x:v>
      </x:c>
      <x:c r="V70" s="48" t="str">
        <x:v>100/120/145/170</x:v>
      </x:c>
      <x:c r="W70" s="48" t="str">
        <x:v>12/12/12/12</x:v>
      </x:c>
      <x:c r="X70" s="48" t="str">
        <x:v>400/400/400/400</x:v>
      </x:c>
      <x:c r="Y70" s="48" t="str">
        <x:v>200/200/200/200</x:v>
      </x:c>
      <x:c r="Z70" s="48" t="str">
        <x:v>0.5/1/1.5/2</x:v>
      </x:c>
      <x:c r="AA70" s="48" t="str">
        <x:v>0.5/1/1.5/2</x:v>
      </x:c>
      <x:c r="AB70" s="48" t="str">
        <x:v>ground,enemy,neutral,organic/ground,enemy,neutral,organic/ground,enemy,neutral,organic/ground,enemy,neutral,organic</x:v>
      </x:c>
      <x:c r="AC70" s="48" t="str">
        <x:v>主动；无目标或脚本目标；主分类：硬控；标签：伤害、硬控；等级：4；魔耗：100/120/145/170；冷却：12/12/12/12；施法距离：400/400/400/400；作用范围：200/200/200/200；持续时间：0.5/1/1.5/2。</x:v>
      </x:c>
      <x:c r="AD70" s="48" t="str">
        <x:v>1 / 60 / 5 / 2 / 130 / 3 / 200 / 1.5 / 4 / 260 / 12 / 0.5</x:v>
      </x:c>
      <x:c r="AE70" s="48" t="str">
        <x:v>A</x:v>
      </x:c>
      <x:c r="AF70" s="48" t="str">
        <x:v>6.48b 地图内 UnitAbilities/AbilityData/AbilityStrings 与对象修改表</x:v>
      </x:c>
      <x:c r="AG70" s="18" t="str">
        <x:v>S1</x:v>
      </x:c>
    </x:row>
    <x:row r="71" ht="48" customHeight="1">
      <x:c r="A71" s="19" t="str">
        <x:v>UC18-2</x:v>
      </x:c>
      <x:c r="B71" s="19" t="str">
        <x:v>天灾军团</x:v>
      </x:c>
      <x:c r="C71" s="19" t="str">
        <x:v>午夜酒馆</x:v>
      </x:c>
      <x:c r="D71" s="19" t="str">
        <x:v>恶魔巫师</x:v>
      </x:c>
      <x:c r="E71" s="19" t="str">
        <x:v>Demon Witch</x:v>
      </x:c>
      <x:c r="F71" s="19" t="str">
        <x:v>UC18</x:v>
      </x:c>
      <x:c r="G71" s="19" t="str">
        <x:v>Lion</x:v>
      </x:c>
      <x:c r="H71" s="19" t="str">
        <x:v>INT</x:v>
      </x:c>
      <x:c r="I71" s="19" t="str">
        <x:v>远程</x:v>
      </x:c>
      <x:c r="J71" s="19" t="n">
        <x:v>2</x:v>
      </x:c>
      <x:c r="K71" s="19" t="str">
        <x:v>Voodoo</x:v>
      </x:c>
      <x:c r="L71" s="19" t="str">
        <x:v>A0MN</x:v>
      </x:c>
      <x:c r="M71" s="49" t="str">
        <x:v>否</x:v>
      </x:c>
      <x:c r="N71" s="49" t="n">
        <x:v>4</x:v>
      </x:c>
      <x:c r="O71" s="49" t="n">
        <x:v>1</x:v>
      </x:c>
      <x:c r="P71" s="49" t="n">
        <x:v>2</x:v>
      </x:c>
      <x:c r="Q71" s="19" t="str">
        <x:v>主动</x:v>
      </x:c>
      <x:c r="R71" s="19" t="str">
        <x:v>无目标或脚本目标</x:v>
      </x:c>
      <x:c r="S71" s="19" t="str">
        <x:v>变身/形态</x:v>
      </x:c>
      <x:c r="T71" s="19" t="str">
        <x:v>变身/形态</x:v>
      </x:c>
      <x:c r="U71" s="48" t="str">
        <x:v>主动；无目标或脚本目标；主分类：变身/形态；标签：变身/形态</x:v>
      </x:c>
      <x:c r="V71" s="48" t="str">
        <x:v>110/140/170/200</x:v>
      </x:c>
      <x:c r="W71" s="48" t="str">
        <x:v>13/13/13/13</x:v>
      </x:c>
      <x:c r="X71" s="48" t="str">
        <x:v>500/500/500/500</x:v>
      </x:c>
      <x:c r="Y71" s="48" t="str">
        <x:v>—/—/—/—</x:v>
      </x:c>
      <x:c r="Z71" s="48" t="str">
        <x:v>1/2/3/4</x:v>
      </x:c>
      <x:c r="AA71" s="48" t="str">
        <x:v>1/2/3/4</x:v>
      </x:c>
      <x:c r="AB71" s="48" t="str">
        <x:v>air,ground,enemy,organic,neutral/air,ground,enemy,organic,neutral/air,ground,enemy,organic,neutral/air,ground,enemy,organic,neutral</x:v>
      </x:c>
      <x:c r="AC71" s="48" t="str">
        <x:v>主动；无目标或脚本目标；主分类：变身/形态；标签：变身/形态；等级：4；魔耗：110/140/170/200；冷却：13/13/13/13；施法距离：500/500/500/500；作用范围：—/—/—/—；持续时间：1/2/3/4。</x:v>
      </x:c>
      <x:c r="AD71" s="48" t="str">
        <x:v>1 / 2 / 3 / 4 / 13</x:v>
      </x:c>
      <x:c r="AE71" s="48" t="str">
        <x:v>A</x:v>
      </x:c>
      <x:c r="AF71" s="48" t="str">
        <x:v>6.48b 地图内 UnitAbilities/AbilityData/AbilityStrings 与对象修改表</x:v>
      </x:c>
      <x:c r="AG71" s="18" t="str">
        <x:v>S1</x:v>
      </x:c>
    </x:row>
    <x:row r="72" ht="48" customHeight="1">
      <x:c r="A72" s="19" t="str">
        <x:v>UC18-3</x:v>
      </x:c>
      <x:c r="B72" s="19" t="str">
        <x:v>天灾军团</x:v>
      </x:c>
      <x:c r="C72" s="19" t="str">
        <x:v>午夜酒馆</x:v>
      </x:c>
      <x:c r="D72" s="19" t="str">
        <x:v>恶魔巫师</x:v>
      </x:c>
      <x:c r="E72" s="19" t="str">
        <x:v>Demon Witch</x:v>
      </x:c>
      <x:c r="F72" s="19" t="str">
        <x:v>UC18</x:v>
      </x:c>
      <x:c r="G72" s="19" t="str">
        <x:v>Lion</x:v>
      </x:c>
      <x:c r="H72" s="19" t="str">
        <x:v>INT</x:v>
      </x:c>
      <x:c r="I72" s="19" t="str">
        <x:v>远程</x:v>
      </x:c>
      <x:c r="J72" s="19" t="n">
        <x:v>3</x:v>
      </x:c>
      <x:c r="K72" s="19" t="str">
        <x:v>Mana Drain</x:v>
      </x:c>
      <x:c r="L72" s="19" t="str">
        <x:v>A02N</x:v>
      </x:c>
      <x:c r="M72" s="49" t="str">
        <x:v>否</x:v>
      </x:c>
      <x:c r="N72" s="49" t="n">
        <x:v>4</x:v>
      </x:c>
      <x:c r="O72" s="49" t="n">
        <x:v>1</x:v>
      </x:c>
      <x:c r="P72" s="49" t="n">
        <x:v>2</x:v>
      </x:c>
      <x:c r="Q72" s="19" t="str">
        <x:v>主动</x:v>
      </x:c>
      <x:c r="R72" s="19" t="str">
        <x:v>单位目标</x:v>
      </x:c>
      <x:c r="S72" s="19" t="str">
        <x:v>防御/生存</x:v>
      </x:c>
      <x:c r="T72" s="19" t="str">
        <x:v>防御/生存、削弱、资源机制</x:v>
      </x:c>
      <x:c r="U72" s="48" t="str">
        <x:v>主动；单位目标；主分类：防御/生存；标签：防御/生存、削弱、资源机制</x:v>
      </x:c>
      <x:c r="V72" s="48" t="str">
        <x:v>10/10/10/10</x:v>
      </x:c>
      <x:c r="W72" s="48" t="str">
        <x:v>25/20/15/10</x:v>
      </x:c>
      <x:c r="X72" s="48" t="str">
        <x:v>600/650/700/750</x:v>
      </x:c>
      <x:c r="Y72" s="48" t="str">
        <x:v>800/800/800/800</x:v>
      </x:c>
      <x:c r="Z72" s="48" t="str">
        <x:v>5/5/5/5</x:v>
      </x:c>
      <x:c r="AA72" s="48" t="str">
        <x:v>5/5/5/5</x:v>
      </x:c>
      <x:c r="AB72" s="48" t="str">
        <x:v>air,enemies,ground,notself,organic/air,enemies,ground,notself,organic/air,enemies,ground,notself,organic/air,enemies,ground,notself,organic</x:v>
      </x:c>
      <x:c r="AC72" s="48" t="str">
        <x:v>主动；单位目标；主分类：防御/生存；标签：防御/生存、削弱、资源机制；等级：4；魔耗：10/10/10/10；冷却：25/20/15/10；施法距离：600/650/700/750；作用范围：800/800/800/800；持续时间：5/5/5/5。</x:v>
      </x:c>
      <x:c r="AD72" s="48" t="str">
        <x:v>5 / 1 / 15 / 2 / 30 / 3 / 50 / 4 / 80 / 25 / 20 / 10</x:v>
      </x:c>
      <x:c r="AE72" s="48" t="str">
        <x:v>A</x:v>
      </x:c>
      <x:c r="AF72" s="48" t="str">
        <x:v>6.48b 地图内 UnitAbilities/AbilityData/AbilityStrings 与对象修改表</x:v>
      </x:c>
      <x:c r="AG72" s="18" t="str">
        <x:v>S1</x:v>
      </x:c>
    </x:row>
    <x:row r="73" ht="48" customHeight="1">
      <x:c r="A73" s="19" t="str">
        <x:v>UC18-4</x:v>
      </x:c>
      <x:c r="B73" s="19" t="str">
        <x:v>天灾军团</x:v>
      </x:c>
      <x:c r="C73" s="19" t="str">
        <x:v>午夜酒馆</x:v>
      </x:c>
      <x:c r="D73" s="19" t="str">
        <x:v>恶魔巫师</x:v>
      </x:c>
      <x:c r="E73" s="19" t="str">
        <x:v>Demon Witch</x:v>
      </x:c>
      <x:c r="F73" s="19" t="str">
        <x:v>UC18</x:v>
      </x:c>
      <x:c r="G73" s="19" t="str">
        <x:v>Lion</x:v>
      </x:c>
      <x:c r="H73" s="19" t="str">
        <x:v>INT</x:v>
      </x:c>
      <x:c r="I73" s="19" t="str">
        <x:v>远程</x:v>
      </x:c>
      <x:c r="J73" s="19" t="n">
        <x:v>4</x:v>
      </x:c>
      <x:c r="K73" s="19" t="str">
        <x:v>Finger of Death</x:v>
      </x:c>
      <x:c r="L73" s="19" t="str">
        <x:v>A095</x:v>
      </x:c>
      <x:c r="M73" s="49" t="str">
        <x:v>是</x:v>
      </x:c>
      <x:c r="N73" s="49" t="n">
        <x:v>3</x:v>
      </x:c>
      <x:c r="O73" s="49" t="n">
        <x:v>6</x:v>
      </x:c>
      <x:c r="P73" s="49" t="n">
        <x:v>5</x:v>
      </x:c>
      <x:c r="Q73" s="19" t="str">
        <x:v>主动</x:v>
      </x:c>
      <x:c r="R73" s="19" t="str">
        <x:v>单位目标</x:v>
      </x:c>
      <x:c r="S73" s="19" t="str">
        <x:v>伤害</x:v>
      </x:c>
      <x:c r="T73" s="19" t="str">
        <x:v>伤害</x:v>
      </x:c>
      <x:c r="U73" s="48" t="str">
        <x:v>主动；单位目标；主分类：伤害；标签：伤害</x:v>
      </x:c>
      <x:c r="V73" s="48" t="str">
        <x:v>200/420/650</x:v>
      </x:c>
      <x:c r="W73" s="48" t="str">
        <x:v>150/90/55</x:v>
      </x:c>
      <x:c r="X73" s="48" t="str">
        <x:v>700/700/700</x:v>
      </x:c>
      <x:c r="Y73" s="48" t="str">
        <x:v>500/500/500</x:v>
      </x:c>
      <x:c r="Z73" s="48" t="str">
        <x:v>—/—/—</x:v>
      </x:c>
      <x:c r="AA73" s="48" t="str">
        <x:v>—/—/—</x:v>
      </x:c>
      <x:c r="AB73" s="48" t="str">
        <x:v>air,ground,enemy,neutral,organic/air,ground,enemy,neutral,organic/air,ground,enemy,neutral,organic</x:v>
      </x:c>
      <x:c r="AC73" s="48" t="str">
        <x:v>主动；单位目标；主分类：伤害；标签：伤害；等级：3；魔耗：200/420/650；冷却：150/90/55；施法距离：700/700/700；作用范围：500/500/500；持续时间：—/—/—。</x:v>
      </x:c>
      <x:c r="AD73" s="48" t="str">
        <x:v>1 / 500 / 2 / 650 / 3 / 850 / 150 / 90 / 55</x:v>
      </x:c>
      <x:c r="AE73" s="48" t="str">
        <x:v>A</x:v>
      </x:c>
      <x:c r="AF73" s="48" t="str">
        <x:v>6.48b 地图内 UnitAbilities/AbilityData/AbilityStrings 与对象修改表</x:v>
      </x:c>
      <x:c r="AG73" s="18" t="str">
        <x:v>S1</x:v>
      </x:c>
    </x:row>
    <x:row r="74" ht="48" customHeight="1">
      <x:c r="A74" s="19" t="str">
        <x:v>EC57-1</x:v>
      </x:c>
      <x:c r="B74" s="19" t="str">
        <x:v>天灾军团</x:v>
      </x:c>
      <x:c r="C74" s="19" t="str">
        <x:v>午夜酒馆</x:v>
      </x:c>
      <x:c r="D74" s="19" t="str">
        <x:v>剧毒术士</x:v>
      </x:c>
      <x:c r="E74" s="19" t="str">
        <x:v>Venomancer</x:v>
      </x:c>
      <x:c r="F74" s="19" t="str">
        <x:v>EC57</x:v>
      </x:c>
      <x:c r="G74" s="19" t="str">
        <x:v>Lesale Deathbringer</x:v>
      </x:c>
      <x:c r="H74" s="19" t="str">
        <x:v>AGI</x:v>
      </x:c>
      <x:c r="I74" s="19" t="str">
        <x:v>远程</x:v>
      </x:c>
      <x:c r="J74" s="19" t="n">
        <x:v>1</x:v>
      </x:c>
      <x:c r="K74" s="19" t="str">
        <x:v>Shadow Strike</x:v>
      </x:c>
      <x:c r="L74" s="19" t="str">
        <x:v>AEsh</x:v>
      </x:c>
      <x:c r="M74" s="49" t="str">
        <x:v>否</x:v>
      </x:c>
      <x:c r="N74" s="49" t="n">
        <x:v>4</x:v>
      </x:c>
      <x:c r="O74" s="49" t="n">
        <x:v>1</x:v>
      </x:c>
      <x:c r="P74" s="49" t="n">
        <x:v>2</x:v>
      </x:c>
      <x:c r="Q74" s="19" t="str">
        <x:v>主动</x:v>
      </x:c>
      <x:c r="R74" s="19" t="str">
        <x:v>单位目标</x:v>
      </x:c>
      <x:c r="S74" s="19" t="str">
        <x:v>软控</x:v>
      </x:c>
      <x:c r="T74" s="19" t="str">
        <x:v>伤害、软控、强化、削弱</x:v>
      </x:c>
      <x:c r="U74" s="48" t="str">
        <x:v>主动；单位目标；主分类：软控；标签：伤害、软控、强化、削弱</x:v>
      </x:c>
      <x:c r="V74" s="48" t="str">
        <x:v>90/105/120/135</x:v>
      </x:c>
      <x:c r="W74" s="48" t="str">
        <x:v>22/22/22/22</x:v>
      </x:c>
      <x:c r="X74" s="48" t="str">
        <x:v>400/400/400/400</x:v>
      </x:c>
      <x:c r="Y74" s="48" t="str">
        <x:v>—/—/—/—</x:v>
      </x:c>
      <x:c r="Z74" s="48" t="str">
        <x:v>15.1/15.1/15.1/15.1</x:v>
      </x:c>
      <x:c r="AA74" s="48" t="str">
        <x:v>15.1/15.1/15.1/15.1</x:v>
      </x:c>
      <x:c r="AB74" s="48" t="str">
        <x:v>ground,air,enemy,neutral,organic/ground,air,enemy,neutral,organic/ground,air,enemy,neutral,organic/ground,air,enemy,neutral,organic</x:v>
      </x:c>
      <x:c r="AC74" s="48" t="str">
        <x:v>主动；单位目标；主分类：软控；标签：伤害、软控、强化、削弱；等级：4；魔耗：90/105/120/135；冷却：22/22/22/22；施法距离：400/400/400/400；作用范围：—/—/—/—；持续时间：15.1/15.1/15.1/15.1。</x:v>
      </x:c>
      <x:c r="AD74" s="48" t="str">
        <x:v>1 / 50 / 10 / 2 / 70 / 20 / 3 / 40 / 4 / 100 / 22 / 15</x:v>
      </x:c>
      <x:c r="AE74" s="48" t="str">
        <x:v>A</x:v>
      </x:c>
      <x:c r="AF74" s="48" t="str">
        <x:v>6.48b 地图内 UnitAbilities/AbilityData/AbilityStrings 与对象修改表</x:v>
      </x:c>
      <x:c r="AG74" s="18" t="str">
        <x:v>S1</x:v>
      </x:c>
    </x:row>
    <x:row r="75" ht="48" customHeight="1">
      <x:c r="A75" s="19" t="str">
        <x:v>EC57-2</x:v>
      </x:c>
      <x:c r="B75" s="19" t="str">
        <x:v>天灾军团</x:v>
      </x:c>
      <x:c r="C75" s="19" t="str">
        <x:v>午夜酒馆</x:v>
      </x:c>
      <x:c r="D75" s="19" t="str">
        <x:v>剧毒术士</x:v>
      </x:c>
      <x:c r="E75" s="19" t="str">
        <x:v>Venomancer</x:v>
      </x:c>
      <x:c r="F75" s="19" t="str">
        <x:v>EC57</x:v>
      </x:c>
      <x:c r="G75" s="19" t="str">
        <x:v>Lesale Deathbringer</x:v>
      </x:c>
      <x:c r="H75" s="19" t="str">
        <x:v>AGI</x:v>
      </x:c>
      <x:c r="I75" s="19" t="str">
        <x:v>远程</x:v>
      </x:c>
      <x:c r="J75" s="19" t="n">
        <x:v>2</x:v>
      </x:c>
      <x:c r="K75" s="19" t="str">
        <x:v>Poison Sting</x:v>
      </x:c>
      <x:c r="L75" s="19" t="str">
        <x:v>A0MY</x:v>
      </x:c>
      <x:c r="M75" s="49" t="str">
        <x:v>否</x:v>
      </x:c>
      <x:c r="N75" s="49" t="n">
        <x:v>4</x:v>
      </x:c>
      <x:c r="O75" s="49" t="n">
        <x:v>1</x:v>
      </x:c>
      <x:c r="P75" s="49" t="n">
        <x:v>2</x:v>
      </x:c>
      <x:c r="Q75" s="19" t="str">
        <x:v>被动/脚本触发</x:v>
      </x:c>
      <x:c r="R75" s="19" t="str">
        <x:v>被动</x:v>
      </x:c>
      <x:c r="S75" s="19" t="str">
        <x:v>软控</x:v>
      </x:c>
      <x:c r="T75" s="19" t="str">
        <x:v>伤害、软控、强化、削弱、被动触发</x:v>
      </x:c>
      <x:c r="U75" s="48" t="str">
        <x:v>被动/脚本触发；被动；主分类：软控；标签：伤害、软控、强化、削弱、被动触发</x:v>
      </x:c>
      <x:c r="V75" s="48" t="str">
        <x:v>—/—/—/—</x:v>
      </x:c>
      <x:c r="W75" s="48" t="str">
        <x:v>—/—/—/—</x:v>
      </x:c>
      <x:c r="X75" s="48" t="str">
        <x:v>—/—/—/—</x:v>
      </x:c>
      <x:c r="Y75" s="48" t="str">
        <x:v>—/—/—/—</x:v>
      </x:c>
      <x:c r="Z75" s="48" t="str">
        <x:v>7/7/7/7</x:v>
      </x:c>
      <x:c r="AA75" s="48" t="str">
        <x:v>7/7/7/7</x:v>
      </x:c>
      <x:c r="AB75" s="48" t="str">
        <x:v>air,enemies,ground,hero,nonhero,organic/air,enemies,ground,hero,nonhero,organic/air,enemies,ground,hero,nonhero,organic/air,enemies,ground,hero,nonhero,organic</x:v>
      </x:c>
      <x:c r="AC75" s="48" t="str">
        <x:v>被动/脚本触发；被动；主分类：软控；标签：伤害、软控、强化、削弱、被动触发；等级：4；魔耗：—/—/—/—；冷却：—/—/—/—；施法距离：—/—/—/—；作用范围：—/—/—/—；持续时间：7/7/7/7。</x:v>
      </x:c>
      <x:c r="AD75" s="48" t="str">
        <x:v>10% / 7 / 1 / 5 / 2 / 10 / 3 / 15 / 4 / 20</x:v>
      </x:c>
      <x:c r="AE75" s="48" t="str">
        <x:v>A</x:v>
      </x:c>
      <x:c r="AF75" s="48" t="str">
        <x:v>6.48b 地图内 UnitAbilities/AbilityData/AbilityStrings 与对象修改表</x:v>
      </x:c>
      <x:c r="AG75" s="18" t="str">
        <x:v>S1</x:v>
      </x:c>
    </x:row>
    <x:row r="76" ht="48" customHeight="1">
      <x:c r="A76" s="19" t="str">
        <x:v>EC57-3</x:v>
      </x:c>
      <x:c r="B76" s="19" t="str">
        <x:v>天灾军团</x:v>
      </x:c>
      <x:c r="C76" s="19" t="str">
        <x:v>午夜酒馆</x:v>
      </x:c>
      <x:c r="D76" s="19" t="str">
        <x:v>剧毒术士</x:v>
      </x:c>
      <x:c r="E76" s="19" t="str">
        <x:v>Venomancer</x:v>
      </x:c>
      <x:c r="F76" s="19" t="str">
        <x:v>EC57</x:v>
      </x:c>
      <x:c r="G76" s="19" t="str">
        <x:v>Lesale Deathbringer</x:v>
      </x:c>
      <x:c r="H76" s="19" t="str">
        <x:v>AGI</x:v>
      </x:c>
      <x:c r="I76" s="19" t="str">
        <x:v>远程</x:v>
      </x:c>
      <x:c r="J76" s="19" t="n">
        <x:v>3</x:v>
      </x:c>
      <x:c r="K76" s="19" t="str">
        <x:v>Plague Ward</x:v>
      </x:c>
      <x:c r="L76" s="19" t="str">
        <x:v>A0MS</x:v>
      </x:c>
      <x:c r="M76" s="49" t="str">
        <x:v>否</x:v>
      </x:c>
      <x:c r="N76" s="49" t="n">
        <x:v>4</x:v>
      </x:c>
      <x:c r="O76" s="49" t="n">
        <x:v>1</x:v>
      </x:c>
      <x:c r="P76" s="49" t="n">
        <x:v>2</x:v>
      </x:c>
      <x:c r="Q76" s="19" t="str">
        <x:v>主动</x:v>
      </x:c>
      <x:c r="R76" s="19" t="str">
        <x:v>无目标或脚本目标</x:v>
      </x:c>
      <x:c r="S76" s="19" t="str">
        <x:v>召唤</x:v>
      </x:c>
      <x:c r="T76" s="19" t="str">
        <x:v>伤害、召唤</x:v>
      </x:c>
      <x:c r="U76" s="48" t="str">
        <x:v>主动；无目标或脚本目标；主分类：召唤；标签：伤害、召唤</x:v>
      </x:c>
      <x:c r="V76" s="48" t="str">
        <x:v>20/20/20/20</x:v>
      </x:c>
      <x:c r="W76" s="48" t="str">
        <x:v>5/5/5/5</x:v>
      </x:c>
      <x:c r="X76" s="48" t="str">
        <x:v>650/650/650/650</x:v>
      </x:c>
      <x:c r="Y76" s="48" t="str">
        <x:v>—/—/—/—</x:v>
      </x:c>
      <x:c r="Z76" s="48" t="str">
        <x:v>40/40/40/40</x:v>
      </x:c>
      <x:c r="AA76" s="48" t="str">
        <x:v>40/40/40/40</x:v>
      </x:c>
      <x:c r="AB76" s="48" t="str">
        <x:v>—/—/—/—</x:v>
      </x:c>
      <x:c r="AC76" s="48" t="str">
        <x:v>主动；无目标或脚本目标；主分类：召唤；标签：伤害、召唤；等级：4；魔耗：20/20/20/20；冷却：5/5/5/5；施法距离：650/650/650/650；作用范围：—/—/—/—；持续时间：40/40/40/40。</x:v>
      </x:c>
      <x:c r="AD76" s="48" t="str">
        <x:v>40 / 1 / 75 / 11 / 2 / 200 / 21 / 3 / 325 / 32 / 4 / 450 / 42 / 5</x:v>
      </x:c>
      <x:c r="AE76" s="48" t="str">
        <x:v>A</x:v>
      </x:c>
      <x:c r="AF76" s="48" t="str">
        <x:v>6.48b 地图内 UnitAbilities/AbilityData/AbilityStrings 与对象修改表</x:v>
      </x:c>
      <x:c r="AG76" s="18" t="str">
        <x:v>S1</x:v>
      </x:c>
    </x:row>
    <x:row r="77" ht="48" customHeight="1">
      <x:c r="A77" s="19" t="str">
        <x:v>EC57-4</x:v>
      </x:c>
      <x:c r="B77" s="19" t="str">
        <x:v>天灾军团</x:v>
      </x:c>
      <x:c r="C77" s="19" t="str">
        <x:v>午夜酒馆</x:v>
      </x:c>
      <x:c r="D77" s="19" t="str">
        <x:v>剧毒术士</x:v>
      </x:c>
      <x:c r="E77" s="19" t="str">
        <x:v>Venomancer</x:v>
      </x:c>
      <x:c r="F77" s="19" t="str">
        <x:v>EC57</x:v>
      </x:c>
      <x:c r="G77" s="19" t="str">
        <x:v>Lesale Deathbringer</x:v>
      </x:c>
      <x:c r="H77" s="19" t="str">
        <x:v>AGI</x:v>
      </x:c>
      <x:c r="I77" s="19" t="str">
        <x:v>远程</x:v>
      </x:c>
      <x:c r="J77" s="19" t="n">
        <x:v>4</x:v>
      </x:c>
      <x:c r="K77" s="19" t="str">
        <x:v>Poison Nova</x:v>
      </x:c>
      <x:c r="L77" s="19" t="str">
        <x:v>A013</x:v>
      </x:c>
      <x:c r="M77" s="49" t="str">
        <x:v>是</x:v>
      </x:c>
      <x:c r="N77" s="49" t="n">
        <x:v>3</x:v>
      </x:c>
      <x:c r="O77" s="49" t="n">
        <x:v>6</x:v>
      </x:c>
      <x:c r="P77" s="49" t="n">
        <x:v>5</x:v>
      </x:c>
      <x:c r="Q77" s="19" t="str">
        <x:v>主动</x:v>
      </x:c>
      <x:c r="R77" s="19" t="str">
        <x:v>无目标/范围</x:v>
      </x:c>
      <x:c r="S77" s="19" t="str">
        <x:v>削弱</x:v>
      </x:c>
      <x:c r="T77" s="19" t="str">
        <x:v>伤害、削弱、范围效果</x:v>
      </x:c>
      <x:c r="U77" s="48" t="str">
        <x:v>主动；无目标/范围；主分类：削弱；标签：伤害、削弱、范围效果</x:v>
      </x:c>
      <x:c r="V77" s="48" t="str">
        <x:v>200/300/400</x:v>
      </x:c>
      <x:c r="W77" s="48" t="str">
        <x:v>140/120/100</x:v>
      </x:c>
      <x:c r="X77" s="48" t="str">
        <x:v>—/—/—</x:v>
      </x:c>
      <x:c r="Y77" s="48" t="str">
        <x:v>200/200/200</x:v>
      </x:c>
      <x:c r="Z77" s="48" t="str">
        <x:v>—/—/—</x:v>
      </x:c>
      <x:c r="AA77" s="48" t="str">
        <x:v>—/—/—</x:v>
      </x:c>
      <x:c r="AB77" s="48" t="str">
        <x:v>—/—/—</x:v>
      </x:c>
      <x:c r="AC77" s="48" t="str">
        <x:v>主动；无目标/范围；主分类：削弱；标签：伤害、削弱、范围效果；等级：3；魔耗：200/300/400；冷却：140/120/100；施法距离：—/—/—；作用范围：200/200/200；持续时间：—/—/—。</x:v>
      </x:c>
      <x:c r="AD77" s="48" t="str">
        <x:v>12 / 1 / 36 / 2 / 58 / 3 / 81 / 140 / 120 / 100</x:v>
      </x:c>
      <x:c r="AE77" s="48" t="str">
        <x:v>A</x:v>
      </x:c>
      <x:c r="AF77" s="48" t="str">
        <x:v>6.48b 地图内 UnitAbilities/AbilityData/AbilityStrings 与对象修改表</x:v>
      </x:c>
      <x:c r="AG77" s="18" t="str">
        <x:v>S1</x:v>
      </x:c>
    </x:row>
    <x:row r="78" ht="48" customHeight="1">
      <x:c r="A78" s="19" t="str">
        <x:v>UC11-1</x:v>
      </x:c>
      <x:c r="B78" s="19" t="str">
        <x:v>天灾军团</x:v>
      </x:c>
      <x:c r="C78" s="19" t="str">
        <x:v>午夜酒馆</x:v>
      </x:c>
      <x:c r="D78" s="19" t="str">
        <x:v>半人猛犸</x:v>
      </x:c>
      <x:c r="E78" s="19" t="str">
        <x:v>Magnataur</x:v>
      </x:c>
      <x:c r="F78" s="19" t="str">
        <x:v>UC11</x:v>
      </x:c>
      <x:c r="G78" s="19" t="str">
        <x:v>Magnus</x:v>
      </x:c>
      <x:c r="H78" s="19" t="str">
        <x:v>STR</x:v>
      </x:c>
      <x:c r="I78" s="19" t="str">
        <x:v>近战</x:v>
      </x:c>
      <x:c r="J78" s="19" t="n">
        <x:v>1</x:v>
      </x:c>
      <x:c r="K78" s="19" t="str">
        <x:v>Shockwave</x:v>
      </x:c>
      <x:c r="L78" s="19" t="str">
        <x:v>A02S</x:v>
      </x:c>
      <x:c r="M78" s="49" t="str">
        <x:v>否</x:v>
      </x:c>
      <x:c r="N78" s="49" t="n">
        <x:v>4</x:v>
      </x:c>
      <x:c r="O78" s="49" t="n">
        <x:v>1</x:v>
      </x:c>
      <x:c r="P78" s="49" t="n">
        <x:v>2</x:v>
      </x:c>
      <x:c r="Q78" s="19" t="str">
        <x:v>主动</x:v>
      </x:c>
      <x:c r="R78" s="19" t="str">
        <x:v>无目标或脚本目标</x:v>
      </x:c>
      <x:c r="S78" s="19" t="str">
        <x:v>召唤</x:v>
      </x:c>
      <x:c r="T78" s="19" t="str">
        <x:v>伤害、召唤</x:v>
      </x:c>
      <x:c r="U78" s="48" t="str">
        <x:v>主动；无目标或脚本目标；主分类：召唤；标签：伤害、召唤</x:v>
      </x:c>
      <x:c r="V78" s="48" t="str">
        <x:v>90/90/90/90</x:v>
      </x:c>
      <x:c r="W78" s="48" t="str">
        <x:v>11/10/9/8</x:v>
      </x:c>
      <x:c r="X78" s="48" t="str">
        <x:v>500/500/500/500</x:v>
      </x:c>
      <x:c r="Y78" s="48" t="str">
        <x:v>150/150/150/150</x:v>
      </x:c>
      <x:c r="Z78" s="48" t="str">
        <x:v>—/—/—/—</x:v>
      </x:c>
      <x:c r="AA78" s="48" t="str">
        <x:v>—/—/—/—</x:v>
      </x:c>
      <x:c r="AB78" s="48" t="str">
        <x:v>ground,organic/ground,organic/ground,organic/ground,organic</x:v>
      </x:c>
      <x:c r="AC78" s="48" t="str">
        <x:v>主动；无目标或脚本目标；主分类：召唤；标签：伤害、召唤；等级：4；魔耗：90/90/90/90；冷却：11/10/9/8；施法距离：500/500/500/500；作用范围：150/150/150/150；持续时间：—/—/—/—。</x:v>
      </x:c>
      <x:c r="AD78" s="48" t="str">
        <x:v>1 / 75 / 2 / 150 / 3 / 225 / 4 / 300 / 11 / 10 / 9 / 8</x:v>
      </x:c>
      <x:c r="AE78" s="48" t="str">
        <x:v>A</x:v>
      </x:c>
      <x:c r="AF78" s="48" t="str">
        <x:v>6.48b 地图内 UnitAbilities/AbilityData/AbilityStrings 与对象修改表</x:v>
      </x:c>
      <x:c r="AG78" s="18" t="str">
        <x:v>S1</x:v>
      </x:c>
    </x:row>
    <x:row r="79" ht="48" customHeight="1">
      <x:c r="A79" s="19" t="str">
        <x:v>UC11-2</x:v>
      </x:c>
      <x:c r="B79" s="19" t="str">
        <x:v>天灾军团</x:v>
      </x:c>
      <x:c r="C79" s="19" t="str">
        <x:v>午夜酒馆</x:v>
      </x:c>
      <x:c r="D79" s="19" t="str">
        <x:v>半人猛犸</x:v>
      </x:c>
      <x:c r="E79" s="19" t="str">
        <x:v>Magnataur</x:v>
      </x:c>
      <x:c r="F79" s="19" t="str">
        <x:v>UC11</x:v>
      </x:c>
      <x:c r="G79" s="19" t="str">
        <x:v>Magnus</x:v>
      </x:c>
      <x:c r="H79" s="19" t="str">
        <x:v>STR</x:v>
      </x:c>
      <x:c r="I79" s="19" t="str">
        <x:v>近战</x:v>
      </x:c>
      <x:c r="J79" s="19" t="n">
        <x:v>2</x:v>
      </x:c>
      <x:c r="K79" s="19" t="str">
        <x:v>Empower</x:v>
      </x:c>
      <x:c r="L79" s="19" t="str">
        <x:v>A037</x:v>
      </x:c>
      <x:c r="M79" s="49" t="str">
        <x:v>否</x:v>
      </x:c>
      <x:c r="N79" s="49" t="n">
        <x:v>4</x:v>
      </x:c>
      <x:c r="O79" s="49" t="n">
        <x:v>1</x:v>
      </x:c>
      <x:c r="P79" s="49" t="n">
        <x:v>2</x:v>
      </x:c>
      <x:c r="Q79" s="19" t="str">
        <x:v>主动</x:v>
      </x:c>
      <x:c r="R79" s="19" t="str">
        <x:v>无目标或脚本目标</x:v>
      </x:c>
      <x:c r="S79" s="19" t="str">
        <x:v>强化</x:v>
      </x:c>
      <x:c r="T79" s="19" t="str">
        <x:v>伤害、强化</x:v>
      </x:c>
      <x:c r="U79" s="48" t="str">
        <x:v>主动；无目标或脚本目标；主分类：强化；标签：伤害、强化</x:v>
      </x:c>
      <x:c r="V79" s="48" t="str">
        <x:v>30/30/30/30</x:v>
      </x:c>
      <x:c r="W79" s="48" t="str">
        <x:v>12/12/12/12</x:v>
      </x:c>
      <x:c r="X79" s="48" t="str">
        <x:v>500/500/500/500</x:v>
      </x:c>
      <x:c r="Y79" s="48" t="str">
        <x:v>—/—/—/—</x:v>
      </x:c>
      <x:c r="Z79" s="48" t="str">
        <x:v>30/30/30/30</x:v>
      </x:c>
      <x:c r="AA79" s="48" t="str">
        <x:v>30/30/30/30</x:v>
      </x:c>
      <x:c r="AB79" s="48" t="str">
        <x:v>air,friend,ground,neutral,self/air,friend,ground,neutral,self/air,friend,ground,neutral,self/air,friend,ground,neutral,self</x:v>
      </x:c>
      <x:c r="AC79" s="48" t="str">
        <x:v>主动；无目标或脚本目标；主分类：强化；标签：伤害、强化；等级：4；魔耗：30/30/30/30；冷却：12/12/12/12；施法距离：500/500/500/500；作用范围：—/—/—/—；持续时间：30/30/30/30。</x:v>
      </x:c>
      <x:c r="AD79" s="48" t="str">
        <x:v>1 / 15% / 2 / 30% / 3 / 45% / 4 / 60% / 12</x:v>
      </x:c>
      <x:c r="AE79" s="48" t="str">
        <x:v>A</x:v>
      </x:c>
      <x:c r="AF79" s="48" t="str">
        <x:v>6.48b 地图内 UnitAbilities/AbilityData/AbilityStrings 与对象修改表</x:v>
      </x:c>
      <x:c r="AG79" s="18" t="str">
        <x:v>S1</x:v>
      </x:c>
    </x:row>
    <x:row r="80" ht="48" customHeight="1">
      <x:c r="A80" s="19" t="str">
        <x:v>UC11-3</x:v>
      </x:c>
      <x:c r="B80" s="19" t="str">
        <x:v>天灾军团</x:v>
      </x:c>
      <x:c r="C80" s="19" t="str">
        <x:v>午夜酒馆</x:v>
      </x:c>
      <x:c r="D80" s="19" t="str">
        <x:v>半人猛犸</x:v>
      </x:c>
      <x:c r="E80" s="19" t="str">
        <x:v>Magnataur</x:v>
      </x:c>
      <x:c r="F80" s="19" t="str">
        <x:v>UC11</x:v>
      </x:c>
      <x:c r="G80" s="19" t="str">
        <x:v>Magnus</x:v>
      </x:c>
      <x:c r="H80" s="19" t="str">
        <x:v>STR</x:v>
      </x:c>
      <x:c r="I80" s="19" t="str">
        <x:v>近战</x:v>
      </x:c>
      <x:c r="J80" s="19" t="n">
        <x:v>3</x:v>
      </x:c>
      <x:c r="K80" s="19" t="str">
        <x:v>Mighty Swing</x:v>
      </x:c>
      <x:c r="L80" s="19" t="str">
        <x:v>A024</x:v>
      </x:c>
      <x:c r="M80" s="49" t="str">
        <x:v>否</x:v>
      </x:c>
      <x:c r="N80" s="49" t="n">
        <x:v>4</x:v>
      </x:c>
      <x:c r="O80" s="49" t="n">
        <x:v>1</x:v>
      </x:c>
      <x:c r="P80" s="49" t="n">
        <x:v>2</x:v>
      </x:c>
      <x:c r="Q80" s="19" t="str">
        <x:v>被动/脚本触发</x:v>
      </x:c>
      <x:c r="R80" s="19" t="str">
        <x:v>被动</x:v>
      </x:c>
      <x:c r="S80" s="19" t="str">
        <x:v>伤害</x:v>
      </x:c>
      <x:c r="T80" s="19" t="str">
        <x:v>伤害、范围效果、被动触发</x:v>
      </x:c>
      <x:c r="U80" s="48" t="str">
        <x:v>被动/脚本触发；被动；主分类：伤害；标签：伤害、范围效果、被动触发</x:v>
      </x:c>
      <x:c r="V80" s="48" t="str">
        <x:v>—/—/—/—</x:v>
      </x:c>
      <x:c r="W80" s="48" t="str">
        <x:v>—/—/—/—</x:v>
      </x:c>
      <x:c r="X80" s="48" t="str">
        <x:v>—/—/—/—</x:v>
      </x:c>
      <x:c r="Y80" s="48" t="str">
        <x:v>250/250/250/250</x:v>
      </x:c>
      <x:c r="Z80" s="48" t="str">
        <x:v>—/—/—/—</x:v>
      </x:c>
      <x:c r="AA80" s="48" t="str">
        <x:v>—/—/—/—</x:v>
      </x:c>
      <x:c r="AB80" s="48" t="str">
        <x:v>ground,enemy,neutral/ground,enemy,neutral/ground,enemy,neutral/ground,enemy,neutral</x:v>
      </x:c>
      <x:c r="AC80" s="48" t="str">
        <x:v>被动/脚本触发；被动；主分类：伤害；标签：伤害、范围效果、被动触发；等级：4；魔耗：—/—/—/—；冷却：—/—/—/—；施法距离：—/—/—/—；作用范围：250/250/250/250；持续时间：—/—/—/—。</x:v>
      </x:c>
      <x:c r="AD80" s="48" t="str">
        <x:v>1 / 12% / 2 / 25% / 3 / 37% / 4 / 50%</x:v>
      </x:c>
      <x:c r="AE80" s="48" t="str">
        <x:v>A</x:v>
      </x:c>
      <x:c r="AF80" s="48" t="str">
        <x:v>6.48b 地图内 UnitAbilities/AbilityData/AbilityStrings 与对象修改表</x:v>
      </x:c>
      <x:c r="AG80" s="18" t="str">
        <x:v>S1</x:v>
      </x:c>
    </x:row>
    <x:row r="81" ht="48" customHeight="1">
      <x:c r="A81" s="19" t="str">
        <x:v>UC11-4</x:v>
      </x:c>
      <x:c r="B81" s="19" t="str">
        <x:v>天灾军团</x:v>
      </x:c>
      <x:c r="C81" s="19" t="str">
        <x:v>午夜酒馆</x:v>
      </x:c>
      <x:c r="D81" s="19" t="str">
        <x:v>半人猛犸</x:v>
      </x:c>
      <x:c r="E81" s="19" t="str">
        <x:v>Magnataur</x:v>
      </x:c>
      <x:c r="F81" s="19" t="str">
        <x:v>UC11</x:v>
      </x:c>
      <x:c r="G81" s="19" t="str">
        <x:v>Magnus</x:v>
      </x:c>
      <x:c r="H81" s="19" t="str">
        <x:v>STR</x:v>
      </x:c>
      <x:c r="I81" s="19" t="str">
        <x:v>近战</x:v>
      </x:c>
      <x:c r="J81" s="19" t="n">
        <x:v>4</x:v>
      </x:c>
      <x:c r="K81" s="19" t="str">
        <x:v>Reverse Polarity</x:v>
      </x:c>
      <x:c r="L81" s="19" t="str">
        <x:v>A06F</x:v>
      </x:c>
      <x:c r="M81" s="49" t="str">
        <x:v>是</x:v>
      </x:c>
      <x:c r="N81" s="49" t="n">
        <x:v>3</x:v>
      </x:c>
      <x:c r="O81" s="49" t="n">
        <x:v>6</x:v>
      </x:c>
      <x:c r="P81" s="49" t="n">
        <x:v>5</x:v>
      </x:c>
      <x:c r="Q81" s="19" t="str">
        <x:v>主动</x:v>
      </x:c>
      <x:c r="R81" s="19" t="str">
        <x:v>无目标/范围</x:v>
      </x:c>
      <x:c r="S81" s="19" t="str">
        <x:v>硬控</x:v>
      </x:c>
      <x:c r="T81" s="19" t="str">
        <x:v>伤害、硬控、范围效果</x:v>
      </x:c>
      <x:c r="U81" s="48" t="str">
        <x:v>主动；无目标/范围；主分类：硬控；标签：伤害、硬控、范围效果</x:v>
      </x:c>
      <x:c r="V81" s="48" t="str">
        <x:v>200/250/300</x:v>
      </x:c>
      <x:c r="W81" s="48" t="str">
        <x:v>120/110/100</x:v>
      </x:c>
      <x:c r="X81" s="48" t="str">
        <x:v>—/—/—</x:v>
      </x:c>
      <x:c r="Y81" s="48" t="str">
        <x:v>460/460/460</x:v>
      </x:c>
      <x:c r="Z81" s="48" t="str">
        <x:v>3/4/5</x:v>
      </x:c>
      <x:c r="AA81" s="48" t="str">
        <x:v>2/3/4</x:v>
      </x:c>
      <x:c r="AB81" s="48" t="str">
        <x:v>ground,organic/ground,organic/ground,organic</x:v>
      </x:c>
      <x:c r="AC81" s="48" t="str">
        <x:v>主动；无目标/范围；主分类：硬控；标签：伤害、硬控、范围效果；等级：3；魔耗：200/250/300；冷却：120/110/100；施法距离：—/—/—；作用范围：460/460/460；持续时间：3/4/5。</x:v>
      </x:c>
      <x:c r="AD81" s="48" t="str">
        <x:v>1 / 2 / 150 / 3 / 225 / 4 / 300 / 120 / 110 / 100</x:v>
      </x:c>
      <x:c r="AE81" s="48" t="str">
        <x:v>A</x:v>
      </x:c>
      <x:c r="AF81" s="48" t="str">
        <x:v>6.48b 地图内 UnitAbilities/AbilityData/AbilityStrings 与对象修改表</x:v>
      </x:c>
      <x:c r="AG81" s="18" t="str">
        <x:v>S1</x:v>
      </x:c>
    </x:row>
    <x:row r="82" ht="48" customHeight="1">
      <x:c r="A82" s="19" t="str">
        <x:v>UC60-1</x:v>
      </x:c>
      <x:c r="B82" s="19" t="str">
        <x:v>天灾军团</x:v>
      </x:c>
      <x:c r="C82" s="19" t="str">
        <x:v>午夜酒馆</x:v>
      </x:c>
      <x:c r="D82" s="19" t="str">
        <x:v>死灵飞龙</x:v>
      </x:c>
      <x:c r="E82" s="19" t="str">
        <x:v>Necro'lic</x:v>
      </x:c>
      <x:c r="F82" s="19" t="str">
        <x:v>UC60</x:v>
      </x:c>
      <x:c r="G82" s="19" t="str">
        <x:v>Visage</x:v>
      </x:c>
      <x:c r="H82" s="19" t="str">
        <x:v>INT</x:v>
      </x:c>
      <x:c r="I82" s="19" t="str">
        <x:v>远程</x:v>
      </x:c>
      <x:c r="J82" s="19" t="n">
        <x:v>1</x:v>
      </x:c>
      <x:c r="K82" s="19" t="str">
        <x:v>Soul Assumption</x:v>
      </x:c>
      <x:c r="L82" s="19" t="str">
        <x:v>A0C4</x:v>
      </x:c>
      <x:c r="M82" s="49" t="str">
        <x:v>否</x:v>
      </x:c>
      <x:c r="N82" s="49" t="n">
        <x:v>4</x:v>
      </x:c>
      <x:c r="O82" s="49" t="n">
        <x:v>1</x:v>
      </x:c>
      <x:c r="P82" s="49" t="n">
        <x:v>2</x:v>
      </x:c>
      <x:c r="Q82" s="19" t="str">
        <x:v>开关/自动施放</x:v>
      </x:c>
      <x:c r="R82" s="19" t="str">
        <x:v>—</x:v>
      </x:c>
      <x:c r="S82" s="19" t="str">
        <x:v>强化</x:v>
      </x:c>
      <x:c r="T82" s="19" t="str">
        <x:v>伤害、强化</x:v>
      </x:c>
      <x:c r="U82" s="48" t="str">
        <x:v>开关/自动施放；—；主分类：强化；标签：伤害、强化</x:v>
      </x:c>
      <x:c r="V82" s="48" t="str">
        <x:v>5/10/15/20</x:v>
      </x:c>
      <x:c r="W82" s="48" t="str">
        <x:v>3/—/—/—</x:v>
      </x:c>
      <x:c r="X82" s="48" t="str">
        <x:v>600/600/600/600</x:v>
      </x:c>
      <x:c r="Y82" s="48" t="str">
        <x:v>—/—/—/—</x:v>
      </x:c>
      <x:c r="Z82" s="48" t="str">
        <x:v>2/2/2/2</x:v>
      </x:c>
      <x:c r="AA82" s="48" t="str">
        <x:v>2/2/2/2</x:v>
      </x:c>
      <x:c r="AB82" s="48" t="str">
        <x:v>air,ground,enemy,organic,neutral/air,ground,enemy,organic,neutral/air,ground,enemy,organic,neutral/air,ground,enemy,organic,neutral</x:v>
      </x:c>
      <x:c r="AC82" s="48" t="str">
        <x:v>开关/自动施放；—；主分类：强化；标签：伤害、强化；等级：4；魔耗：5/10/15/20；冷却：3/—/—/—；施法距离：600/600/600/600；作用范围：—/—/—/—；持续时间：2/2/2/2。</x:v>
      </x:c>
      <x:c r="AD82" s="48" t="str">
        <x:v>1 / 10 / 2 / 20 / 3 / 30 / 4 / 40 / 0</x:v>
      </x:c>
      <x:c r="AE82" s="48" t="str">
        <x:v>A</x:v>
      </x:c>
      <x:c r="AF82" s="48" t="str">
        <x:v>6.48b 地图内 UnitAbilities/AbilityData/AbilityStrings 与对象修改表</x:v>
      </x:c>
      <x:c r="AG82" s="18" t="str">
        <x:v>S1</x:v>
      </x:c>
    </x:row>
    <x:row r="83" ht="48" customHeight="1">
      <x:c r="A83" s="19" t="str">
        <x:v>UC60-2</x:v>
      </x:c>
      <x:c r="B83" s="19" t="str">
        <x:v>天灾军团</x:v>
      </x:c>
      <x:c r="C83" s="19" t="str">
        <x:v>午夜酒馆</x:v>
      </x:c>
      <x:c r="D83" s="19" t="str">
        <x:v>死灵飞龙</x:v>
      </x:c>
      <x:c r="E83" s="19" t="str">
        <x:v>Necro'lic</x:v>
      </x:c>
      <x:c r="F83" s="19" t="str">
        <x:v>UC60</x:v>
      </x:c>
      <x:c r="G83" s="19" t="str">
        <x:v>Visage</x:v>
      </x:c>
      <x:c r="H83" s="19" t="str">
        <x:v>INT</x:v>
      </x:c>
      <x:c r="I83" s="19" t="str">
        <x:v>远程</x:v>
      </x:c>
      <x:c r="J83" s="19" t="n">
        <x:v>2</x:v>
      </x:c>
      <x:c r="K83" s="19" t="str">
        <x:v>Gravekeeper's Cloak</x:v>
      </x:c>
      <x:c r="L83" s="19" t="str">
        <x:v>A0MD</x:v>
      </x:c>
      <x:c r="M83" s="49" t="str">
        <x:v>否</x:v>
      </x:c>
      <x:c r="N83" s="49" t="n">
        <x:v>4</x:v>
      </x:c>
      <x:c r="O83" s="49" t="n">
        <x:v>1</x:v>
      </x:c>
      <x:c r="P83" s="49" t="n">
        <x:v>2</x:v>
      </x:c>
      <x:c r="Q83" s="19" t="str">
        <x:v>被动/脚本触发</x:v>
      </x:c>
      <x:c r="R83" s="19" t="str">
        <x:v>被动</x:v>
      </x:c>
      <x:c r="S83" s="19" t="str">
        <x:v>伤害</x:v>
      </x:c>
      <x:c r="T83" s="19" t="str">
        <x:v>伤害、被动触发</x:v>
      </x:c>
      <x:c r="U83" s="48" t="str">
        <x:v>被动/脚本触发；被动；主分类：伤害；标签：伤害、被动触发</x:v>
      </x:c>
      <x:c r="V83" s="48" t="str">
        <x:v>—/—/—/—</x:v>
      </x:c>
      <x:c r="W83" s="48" t="str">
        <x:v>—/—/—/—</x:v>
      </x:c>
      <x:c r="X83" s="48" t="str">
        <x:v>—/—/—/—</x:v>
      </x:c>
      <x:c r="Y83" s="48" t="str">
        <x:v>600/600/600/600</x:v>
      </x:c>
      <x:c r="Z83" s="48" t="str">
        <x:v>—/—/—/—</x:v>
      </x:c>
      <x:c r="AA83" s="48" t="str">
        <x:v>—/—/—/—</x:v>
      </x:c>
      <x:c r="AB83" s="48" t="str">
        <x:v>air,enemies,ground,invulnerable,vulnerable/air,enemies,ground,invulnerable,vulnerable/air,enemies,ground,invulnerable,vulnerable/air,enemies,ground,invulnerable,vulnerable</x:v>
      </x:c>
      <x:c r="AC83" s="48" t="str">
        <x:v>被动/脚本触发；被动；主分类：伤害；标签：伤害、被动触发；等级：4；魔耗：—/—/—/—；冷却：—/—/—/—；施法距离：—/—/—/—；作用范围：600/600/600/600；持续时间：—/—/—/—。</x:v>
      </x:c>
      <x:c r="AD83" s="48" t="str">
        <x:v>600 / 1 / 5% / 2 / 10% / 3 / 15% / 4 / 20%</x:v>
      </x:c>
      <x:c r="AE83" s="48" t="str">
        <x:v>A</x:v>
      </x:c>
      <x:c r="AF83" s="48" t="str">
        <x:v>6.48b 地图内 UnitAbilities/AbilityData/AbilityStrings 与对象修改表</x:v>
      </x:c>
      <x:c r="AG83" s="18" t="str">
        <x:v>S1</x:v>
      </x:c>
    </x:row>
    <x:row r="84" ht="48" customHeight="1">
      <x:c r="A84" s="19" t="str">
        <x:v>UC60-3</x:v>
      </x:c>
      <x:c r="B84" s="19" t="str">
        <x:v>天灾军团</x:v>
      </x:c>
      <x:c r="C84" s="19" t="str">
        <x:v>午夜酒馆</x:v>
      </x:c>
      <x:c r="D84" s="19" t="str">
        <x:v>死灵飞龙</x:v>
      </x:c>
      <x:c r="E84" s="19" t="str">
        <x:v>Necro'lic</x:v>
      </x:c>
      <x:c r="F84" s="19" t="str">
        <x:v>UC60</x:v>
      </x:c>
      <x:c r="G84" s="19" t="str">
        <x:v>Visage</x:v>
      </x:c>
      <x:c r="H84" s="19" t="str">
        <x:v>INT</x:v>
      </x:c>
      <x:c r="I84" s="19" t="str">
        <x:v>远程</x:v>
      </x:c>
      <x:c r="J84" s="19" t="n">
        <x:v>3</x:v>
      </x:c>
      <x:c r="K84" s="19" t="str">
        <x:v>Raise Revenants</x:v>
      </x:c>
      <x:c r="L84" s="19" t="str">
        <x:v>A07K</x:v>
      </x:c>
      <x:c r="M84" s="49" t="str">
        <x:v>是</x:v>
      </x:c>
      <x:c r="N84" s="49" t="n">
        <x:v>3</x:v>
      </x:c>
      <x:c r="O84" s="49" t="n">
        <x:v>6</x:v>
      </x:c>
      <x:c r="P84" s="49" t="n">
        <x:v>5</x:v>
      </x:c>
      <x:c r="Q84" s="19" t="str">
        <x:v>开关/自动施放</x:v>
      </x:c>
      <x:c r="R84" s="19" t="str">
        <x:v>—</x:v>
      </x:c>
      <x:c r="S84" s="19" t="str">
        <x:v>召唤</x:v>
      </x:c>
      <x:c r="T84" s="19" t="str">
        <x:v>伤害、防御/生存、召唤</x:v>
      </x:c>
      <x:c r="U84" s="48" t="str">
        <x:v>开关/自动施放；—；主分类：召唤；标签：伤害、防御/生存、召唤</x:v>
      </x:c>
      <x:c r="V84" s="48" t="str">
        <x:v>50/50/50</x:v>
      </x:c>
      <x:c r="W84" s="48" t="str">
        <x:v>6/6/6</x:v>
      </x:c>
      <x:c r="X84" s="48" t="str">
        <x:v>900/900/900</x:v>
      </x:c>
      <x:c r="Y84" s="48" t="str">
        <x:v>900/900/900</x:v>
      </x:c>
      <x:c r="Z84" s="48" t="str">
        <x:v>—/—/—</x:v>
      </x:c>
      <x:c r="AA84" s="48" t="str">
        <x:v>—/—/—</x:v>
      </x:c>
      <x:c r="AB84" s="48" t="str">
        <x:v>dead/dead/dead</x:v>
      </x:c>
      <x:c r="AC84" s="48" t="str">
        <x:v>开关/自动施放；—；主分类：召唤；标签：伤害、防御/生存、召唤；等级：3；魔耗：50/50/50；冷却：6/6/6；施法距离：900/900/900；作用范围：900/900/900；持续时间：—/—/—。</x:v>
      </x:c>
      <x:c r="AD84" s="48" t="str">
        <x:v>33% / 1 / 350 / 29 / 5 / 2 / 550 / 39 / 6 / 3 / 800 / 49 / 7</x:v>
      </x:c>
      <x:c r="AE84" s="48" t="str">
        <x:v>A</x:v>
      </x:c>
      <x:c r="AF84" s="48" t="str">
        <x:v>6.48b 地图内 UnitAbilities/AbilityData/AbilityStrings 与对象修改表</x:v>
      </x:c>
      <x:c r="AG84" s="18" t="str">
        <x:v>S1</x:v>
      </x:c>
    </x:row>
    <x:row r="85" ht="48" customHeight="1">
      <x:c r="A85" s="19" t="str">
        <x:v>UC60-4</x:v>
      </x:c>
      <x:c r="B85" s="19" t="str">
        <x:v>天灾军团</x:v>
      </x:c>
      <x:c r="C85" s="19" t="str">
        <x:v>午夜酒馆</x:v>
      </x:c>
      <x:c r="D85" s="19" t="str">
        <x:v>死灵飞龙</x:v>
      </x:c>
      <x:c r="E85" s="19" t="str">
        <x:v>Necro'lic</x:v>
      </x:c>
      <x:c r="F85" s="19" t="str">
        <x:v>UC60</x:v>
      </x:c>
      <x:c r="G85" s="19" t="str">
        <x:v>Visage</x:v>
      </x:c>
      <x:c r="H85" s="19" t="str">
        <x:v>INT</x:v>
      </x:c>
      <x:c r="I85" s="19" t="str">
        <x:v>远程</x:v>
      </x:c>
      <x:c r="J85" s="19" t="n">
        <x:v>4</x:v>
      </x:c>
      <x:c r="K85" s="19" t="str">
        <x:v>Grave Chill</x:v>
      </x:c>
      <x:c r="L85" s="19" t="str">
        <x:v>A08X</x:v>
      </x:c>
      <x:c r="M85" s="49" t="str">
        <x:v>否</x:v>
      </x:c>
      <x:c r="N85" s="49" t="n">
        <x:v>4</x:v>
      </x:c>
      <x:c r="O85" s="49" t="n">
        <x:v>1</x:v>
      </x:c>
      <x:c r="P85" s="49" t="n">
        <x:v>2</x:v>
      </x:c>
      <x:c r="Q85" s="19" t="str">
        <x:v>主动</x:v>
      </x:c>
      <x:c r="R85" s="19" t="str">
        <x:v>单位目标</x:v>
      </x:c>
      <x:c r="S85" s="19" t="str">
        <x:v>软控</x:v>
      </x:c>
      <x:c r="T85" s="19" t="str">
        <x:v>软控、强化、削弱</x:v>
      </x:c>
      <x:c r="U85" s="48" t="str">
        <x:v>主动；单位目标；主分类：软控；标签：软控、强化、削弱</x:v>
      </x:c>
      <x:c r="V85" s="48" t="str">
        <x:v>110/120/130/140</x:v>
      </x:c>
      <x:c r="W85" s="48" t="str">
        <x:v>25/25/25/25</x:v>
      </x:c>
      <x:c r="X85" s="48" t="str">
        <x:v>600/600/600/600</x:v>
      </x:c>
      <x:c r="Y85" s="48" t="str">
        <x:v>—/—/—/—</x:v>
      </x:c>
      <x:c r="Z85" s="48" t="str">
        <x:v>10/10/10/10</x:v>
      </x:c>
      <x:c r="AA85" s="48" t="str">
        <x:v>10/10/10/10</x:v>
      </x:c>
      <x:c r="AB85" s="48" t="str">
        <x:v>air,ground,enemy,organic,neutral/air,ground,enemy,organic,neutral/air,ground,enemy,organic,neutral/air,ground,enemy,organic,neutral</x:v>
      </x:c>
      <x:c r="AC85" s="48" t="str">
        <x:v>主动；单位目标；主分类：软控；标签：软控、强化、削弱；等级：4；魔耗：110/120/130/140；冷却：25/25/25/25；施法距离：600/600/600/600；作用范围：—/—/—/—；持续时间：10/10/10/10。</x:v>
      </x:c>
      <x:c r="AD85" s="48" t="str">
        <x:v>10 / 1 / 8% / 2 / 16% / 3 / 24% / 4 / 32% / 25</x:v>
      </x:c>
      <x:c r="AE85" s="48" t="str">
        <x:v>A</x:v>
      </x:c>
      <x:c r="AF85" s="48" t="str">
        <x:v>6.48b 地图内 UnitAbilities/AbilityData/AbilityStrings 与对象修改表</x:v>
      </x:c>
      <x:c r="AG85" s="18" t="str">
        <x:v>S1</x:v>
      </x:c>
    </x:row>
    <x:row r="86" ht="48" customHeight="1">
      <x:c r="A86" s="19" t="str">
        <x:v>U008-1</x:v>
      </x:c>
      <x:c r="B86" s="19" t="str">
        <x:v>天灾军团</x:v>
      </x:c>
      <x:c r="C86" s="19" t="str">
        <x:v>午夜酒馆</x:v>
      </x:c>
      <x:c r="D86" s="19" t="str">
        <x:v>狼人</x:v>
      </x:c>
      <x:c r="E86" s="19" t="str">
        <x:v>Lycanthrope</x:v>
      </x:c>
      <x:c r="F86" s="19" t="str">
        <x:v>U008</x:v>
      </x:c>
      <x:c r="G86" s="19" t="str">
        <x:v>Banehallow</x:v>
      </x:c>
      <x:c r="H86" s="19" t="str">
        <x:v>STR</x:v>
      </x:c>
      <x:c r="I86" s="19" t="str">
        <x:v>近战</x:v>
      </x:c>
      <x:c r="J86" s="19" t="n">
        <x:v>1</x:v>
      </x:c>
      <x:c r="K86" s="19" t="str">
        <x:v>Summon Wolves</x:v>
      </x:c>
      <x:c r="L86" s="19" t="str">
        <x:v>A03D</x:v>
      </x:c>
      <x:c r="M86" s="49" t="str">
        <x:v>否</x:v>
      </x:c>
      <x:c r="N86" s="49" t="n">
        <x:v>4</x:v>
      </x:c>
      <x:c r="O86" s="49" t="n">
        <x:v>1</x:v>
      </x:c>
      <x:c r="P86" s="49" t="n">
        <x:v>2</x:v>
      </x:c>
      <x:c r="Q86" s="19" t="str">
        <x:v>主动</x:v>
      </x:c>
      <x:c r="R86" s="19" t="str">
        <x:v>无目标或脚本目标</x:v>
      </x:c>
      <x:c r="S86" s="19" t="str">
        <x:v>召唤</x:v>
      </x:c>
      <x:c r="T86" s="19" t="str">
        <x:v>召唤、隐身、资源机制</x:v>
      </x:c>
      <x:c r="U86" s="48" t="str">
        <x:v>主动；无目标或脚本目标；主分类：召唤；标签：召唤、隐身、资源机制</x:v>
      </x:c>
      <x:c r="V86" s="48" t="str">
        <x:v>125/125/125/125</x:v>
      </x:c>
      <x:c r="W86" s="48" t="str">
        <x:v>30/30/30/30</x:v>
      </x:c>
      <x:c r="X86" s="48" t="str">
        <x:v>800/800/800/800</x:v>
      </x:c>
      <x:c r="Y86" s="48" t="str">
        <x:v>200/200/200/200</x:v>
      </x:c>
      <x:c r="Z86" s="48" t="str">
        <x:v>45/45/45/45</x:v>
      </x:c>
      <x:c r="AA86" s="48" t="str">
        <x:v>45/45/45/45</x:v>
      </x:c>
      <x:c r="AB86" s="48" t="str">
        <x:v>—/—/—/—</x:v>
      </x:c>
      <x:c r="AC86" s="48" t="str">
        <x:v>主动；无目标或脚本目标；主分类：召唤；标签：召唤、隐身、资源机制；等级：4；魔耗：125/125/125/125；冷却：30/30/30/30；施法距离：800/800/800/800；作用范围：200/200/200/200；持续时间：45/45/45/45。</x:v>
      </x:c>
      <x:c r="AD86" s="48" t="str">
        <x:v>2 / 45 / 1 / 3 / 4 / 30 / 400 / 500 / 600 / 700</x:v>
      </x:c>
      <x:c r="AE86" s="48" t="str">
        <x:v>A</x:v>
      </x:c>
      <x:c r="AF86" s="48" t="str">
        <x:v>6.48b 地图内 UnitAbilities/AbilityData/AbilityStrings 与对象修改表</x:v>
      </x:c>
      <x:c r="AG86" s="18" t="str">
        <x:v>S1</x:v>
      </x:c>
    </x:row>
    <x:row r="87" ht="48" customHeight="1">
      <x:c r="A87" s="19" t="str">
        <x:v>U008-2</x:v>
      </x:c>
      <x:c r="B87" s="19" t="str">
        <x:v>天灾军团</x:v>
      </x:c>
      <x:c r="C87" s="19" t="str">
        <x:v>午夜酒馆</x:v>
      </x:c>
      <x:c r="D87" s="19" t="str">
        <x:v>狼人</x:v>
      </x:c>
      <x:c r="E87" s="19" t="str">
        <x:v>Lycanthrope</x:v>
      </x:c>
      <x:c r="F87" s="19" t="str">
        <x:v>U008</x:v>
      </x:c>
      <x:c r="G87" s="19" t="str">
        <x:v>Banehallow</x:v>
      </x:c>
      <x:c r="H87" s="19" t="str">
        <x:v>STR</x:v>
      </x:c>
      <x:c r="I87" s="19" t="str">
        <x:v>近战</x:v>
      </x:c>
      <x:c r="J87" s="19" t="n">
        <x:v>2</x:v>
      </x:c>
      <x:c r="K87" s="19" t="str">
        <x:v>Howl</x:v>
      </x:c>
      <x:c r="L87" s="19" t="str">
        <x:v>A02G</x:v>
      </x:c>
      <x:c r="M87" s="49" t="str">
        <x:v>否</x:v>
      </x:c>
      <x:c r="N87" s="49" t="n">
        <x:v>4</x:v>
      </x:c>
      <x:c r="O87" s="49" t="n">
        <x:v>1</x:v>
      </x:c>
      <x:c r="P87" s="49" t="n">
        <x:v>2</x:v>
      </x:c>
      <x:c r="Q87" s="19" t="str">
        <x:v>主动</x:v>
      </x:c>
      <x:c r="R87" s="19" t="str">
        <x:v>无目标/范围</x:v>
      </x:c>
      <x:c r="S87" s="19" t="str">
        <x:v>强化</x:v>
      </x:c>
      <x:c r="T87" s="19" t="str">
        <x:v>伤害、强化、范围效果</x:v>
      </x:c>
      <x:c r="U87" s="48" t="str">
        <x:v>主动；无目标/范围；主分类：强化；标签：伤害、强化、范围效果</x:v>
      </x:c>
      <x:c r="V87" s="48" t="str">
        <x:v>20/27/34/41</x:v>
      </x:c>
      <x:c r="W87" s="48" t="str">
        <x:v>10/10/10/10</x:v>
      </x:c>
      <x:c r="X87" s="48" t="str">
        <x:v>—/—/—/—</x:v>
      </x:c>
      <x:c r="Y87" s="48" t="str">
        <x:v>500/500/500/500</x:v>
      </x:c>
      <x:c r="Z87" s="48" t="str">
        <x:v>20/20/20/20</x:v>
      </x:c>
      <x:c r="AA87" s="48" t="str">
        <x:v>20/20/20/20</x:v>
      </x:c>
      <x:c r="AB87" s="48" t="str">
        <x:v>air,ground,friend,self/air,ground,friend,self/air,ground,friend,self/air,ground,friend,self</x:v>
      </x:c>
      <x:c r="AC87" s="48" t="str">
        <x:v>主动；无目标/范围；主分类：强化；标签：伤害、强化、范围效果；等级：4；魔耗：20/27/34/41；冷却：10/10/10/10；施法距离：—/—/—/—；作用范围：500/500/500/500；持续时间：20/20/20/20。</x:v>
      </x:c>
      <x:c r="AD87" s="48" t="str">
        <x:v>20 / 1 / 8% / 2 / 16% / 3 / 24% / 4 / 32% / 10</x:v>
      </x:c>
      <x:c r="AE87" s="48" t="str">
        <x:v>A</x:v>
      </x:c>
      <x:c r="AF87" s="48" t="str">
        <x:v>6.48b 地图内 UnitAbilities/AbilityData/AbilityStrings 与对象修改表</x:v>
      </x:c>
      <x:c r="AG87" s="18" t="str">
        <x:v>S1</x:v>
      </x:c>
    </x:row>
    <x:row r="88" ht="48" customHeight="1">
      <x:c r="A88" s="19" t="str">
        <x:v>U008-3</x:v>
      </x:c>
      <x:c r="B88" s="19" t="str">
        <x:v>天灾军团</x:v>
      </x:c>
      <x:c r="C88" s="19" t="str">
        <x:v>午夜酒馆</x:v>
      </x:c>
      <x:c r="D88" s="19" t="str">
        <x:v>狼人</x:v>
      </x:c>
      <x:c r="E88" s="19" t="str">
        <x:v>Lycanthrope</x:v>
      </x:c>
      <x:c r="F88" s="19" t="str">
        <x:v>U008</x:v>
      </x:c>
      <x:c r="G88" s="19" t="str">
        <x:v>Banehallow</x:v>
      </x:c>
      <x:c r="H88" s="19" t="str">
        <x:v>STR</x:v>
      </x:c>
      <x:c r="I88" s="19" t="str">
        <x:v>近战</x:v>
      </x:c>
      <x:c r="J88" s="19" t="n">
        <x:v>3</x:v>
      </x:c>
      <x:c r="K88" s="19" t="str">
        <x:v>Feral Heart</x:v>
      </x:c>
      <x:c r="L88" s="19" t="str">
        <x:v>A03E</x:v>
      </x:c>
      <x:c r="M88" s="49" t="str">
        <x:v>否</x:v>
      </x:c>
      <x:c r="N88" s="49" t="n">
        <x:v>4</x:v>
      </x:c>
      <x:c r="O88" s="49" t="n">
        <x:v>1</x:v>
      </x:c>
      <x:c r="P88" s="49" t="n">
        <x:v>2</x:v>
      </x:c>
      <x:c r="Q88" s="19" t="str">
        <x:v>被动/脚本触发</x:v>
      </x:c>
      <x:c r="R88" s="19" t="str">
        <x:v>被动</x:v>
      </x:c>
      <x:c r="S88" s="19" t="str">
        <x:v>软控</x:v>
      </x:c>
      <x:c r="T88" s="19" t="str">
        <x:v>软控、强化、被动触发</x:v>
      </x:c>
      <x:c r="U88" s="48" t="str">
        <x:v>被动/脚本触发；被动；主分类：软控；标签：软控、强化、被动触发</x:v>
      </x:c>
      <x:c r="V88" s="48" t="str">
        <x:v>—/—/—/—</x:v>
      </x:c>
      <x:c r="W88" s="48" t="str">
        <x:v>—/—/—/—</x:v>
      </x:c>
      <x:c r="X88" s="48" t="str">
        <x:v>—/—/—/—</x:v>
      </x:c>
      <x:c r="Y88" s="48" t="str">
        <x:v>900/900/900/900</x:v>
      </x:c>
      <x:c r="Z88" s="48" t="str">
        <x:v>—/—/—/—</x:v>
      </x:c>
      <x:c r="AA88" s="48" t="str">
        <x:v>—/—/—/—</x:v>
      </x:c>
      <x:c r="AB88" s="48" t="str">
        <x:v>self/self/self/self</x:v>
      </x:c>
      <x:c r="AC88" s="48" t="str">
        <x:v>被动/脚本触发；被动；主分类：软控；标签：软控、强化、被动触发；等级：4；魔耗：—/—/—/—；冷却：—/—/—/—；施法距离：—/—/—/—；作用范围：900/900/900/900；持续时间：—/—/—/—。</x:v>
      </x:c>
      <x:c r="AD88" s="48" t="str">
        <x:v>1 / 3% / 15% / 2 / 6% / 19% / 3 / 9% / 23% / 4 / 12% / 27%</x:v>
      </x:c>
      <x:c r="AE88" s="48" t="str">
        <x:v>A</x:v>
      </x:c>
      <x:c r="AF88" s="48" t="str">
        <x:v>6.48b 地图内 UnitAbilities/AbilityData/AbilityStrings 与对象修改表</x:v>
      </x:c>
      <x:c r="AG88" s="18" t="str">
        <x:v>S1</x:v>
      </x:c>
    </x:row>
    <x:row r="89" ht="48" customHeight="1">
      <x:c r="A89" s="19" t="str">
        <x:v>U008-4</x:v>
      </x:c>
      <x:c r="B89" s="19" t="str">
        <x:v>天灾军团</x:v>
      </x:c>
      <x:c r="C89" s="19" t="str">
        <x:v>午夜酒馆</x:v>
      </x:c>
      <x:c r="D89" s="19" t="str">
        <x:v>狼人</x:v>
      </x:c>
      <x:c r="E89" s="19" t="str">
        <x:v>Lycanthrope</x:v>
      </x:c>
      <x:c r="F89" s="19" t="str">
        <x:v>U008</x:v>
      </x:c>
      <x:c r="G89" s="19" t="str">
        <x:v>Banehallow</x:v>
      </x:c>
      <x:c r="H89" s="19" t="str">
        <x:v>STR</x:v>
      </x:c>
      <x:c r="I89" s="19" t="str">
        <x:v>近战</x:v>
      </x:c>
      <x:c r="J89" s="19" t="n">
        <x:v>4</x:v>
      </x:c>
      <x:c r="K89" s="19" t="str">
        <x:v>Shapeshift</x:v>
      </x:c>
      <x:c r="L89" s="19" t="str">
        <x:v>A093</x:v>
      </x:c>
      <x:c r="M89" s="49" t="str">
        <x:v>是</x:v>
      </x:c>
      <x:c r="N89" s="49" t="n">
        <x:v>3</x:v>
      </x:c>
      <x:c r="O89" s="49" t="n">
        <x:v>6</x:v>
      </x:c>
      <x:c r="P89" s="49" t="n">
        <x:v>5</x:v>
      </x:c>
      <x:c r="Q89" s="19" t="str">
        <x:v>主动</x:v>
      </x:c>
      <x:c r="R89" s="19" t="str">
        <x:v>无目标或脚本目标</x:v>
      </x:c>
      <x:c r="S89" s="19" t="str">
        <x:v>软控</x:v>
      </x:c>
      <x:c r="T89" s="19" t="str">
        <x:v>伤害、软控、强化、变身/形态</x:v>
      </x:c>
      <x:c r="U89" s="48" t="str">
        <x:v>主动；无目标或脚本目标；主分类：软控；标签：伤害、软控、强化、变身/形态</x:v>
      </x:c>
      <x:c r="V89" s="48" t="str">
        <x:v>150/175/200</x:v>
      </x:c>
      <x:c r="W89" s="48" t="str">
        <x:v>160/150/140</x:v>
      </x:c>
      <x:c r="X89" s="48" t="str">
        <x:v>—/—/—</x:v>
      </x:c>
      <x:c r="Y89" s="48" t="str">
        <x:v>—/—/—</x:v>
      </x:c>
      <x:c r="Z89" s="48" t="str">
        <x:v>—/—/—</x:v>
      </x:c>
      <x:c r="AA89" s="48" t="str">
        <x:v>40/50/60</x:v>
      </x:c>
      <x:c r="AB89" s="48" t="str">
        <x:v>—/—/—</x:v>
      </x:c>
      <x:c r="AC89" s="48" t="str">
        <x:v>主动；无目标或脚本目标；主分类：软控；标签：伤害、软控、强化、变身/形态；等级：3；魔耗：150/175/200；冷却：160/150/140；施法距离：—/—/—；作用范围：—/—/—；持续时间：—/—/—。</x:v>
      </x:c>
      <x:c r="AD89" s="48" t="str">
        <x:v>1 / 100 / 40 / 2 / 200 / 50 / 3 / 300 / 60 / 160 / 150 / 140</x:v>
      </x:c>
      <x:c r="AE89" s="48" t="str">
        <x:v>A</x:v>
      </x:c>
      <x:c r="AF89" s="48" t="str">
        <x:v>6.48b 地图内 UnitAbilities/AbilityData/AbilityStrings 与对象修改表</x:v>
      </x:c>
      <x:c r="AG89" s="18" t="str">
        <x:v>S1</x:v>
      </x:c>
    </x:row>
    <x:row r="90" ht="48" customHeight="1">
      <x:c r="A90" s="19" t="str">
        <x:v>U00A-1</x:v>
      </x:c>
      <x:c r="B90" s="19" t="str">
        <x:v>天灾军团</x:v>
      </x:c>
      <x:c r="C90" s="19" t="str">
        <x:v>午夜酒馆</x:v>
      </x:c>
      <x:c r="D90" s="19" t="str">
        <x:v>混沌骑士</x:v>
      </x:c>
      <x:c r="E90" s="19" t="str">
        <x:v>Chaos Knight</x:v>
      </x:c>
      <x:c r="F90" s="19" t="str">
        <x:v>U00A</x:v>
      </x:c>
      <x:c r="G90" s="19" t="str">
        <x:v>Nessaj</x:v>
      </x:c>
      <x:c r="H90" s="19" t="str">
        <x:v>STR</x:v>
      </x:c>
      <x:c r="I90" s="19" t="str">
        <x:v>近战</x:v>
      </x:c>
      <x:c r="J90" s="19" t="n">
        <x:v>1</x:v>
      </x:c>
      <x:c r="K90" s="19" t="str">
        <x:v>Blink Strike</x:v>
      </x:c>
      <x:c r="L90" s="19" t="str">
        <x:v>A0RW</x:v>
      </x:c>
      <x:c r="M90" s="49" t="str">
        <x:v>否</x:v>
      </x:c>
      <x:c r="N90" s="49" t="n">
        <x:v>4</x:v>
      </x:c>
      <x:c r="O90" s="49" t="n">
        <x:v>1</x:v>
      </x:c>
      <x:c r="P90" s="49" t="n">
        <x:v>2</x:v>
      </x:c>
      <x:c r="Q90" s="19" t="str">
        <x:v>主动</x:v>
      </x:c>
      <x:c r="R90" s="19" t="str">
        <x:v>单位目标</x:v>
      </x:c>
      <x:c r="S90" s="19" t="str">
        <x:v>位移</x:v>
      </x:c>
      <x:c r="T90" s="19" t="str">
        <x:v>伤害、位移、强化、资源机制</x:v>
      </x:c>
      <x:c r="U90" s="48" t="str">
        <x:v>主动；单位目标；主分类：位移；标签：伤害、位移、强化、资源机制</x:v>
      </x:c>
      <x:c r="V90" s="48" t="str">
        <x:v>50/50/50/50</x:v>
      </x:c>
      <x:c r="W90" s="48" t="str">
        <x:v>30/20/10/5</x:v>
      </x:c>
      <x:c r="X90" s="48" t="str">
        <x:v>700/700/700/700</x:v>
      </x:c>
      <x:c r="Y90" s="48" t="str">
        <x:v>—/—/—/—</x:v>
      </x:c>
      <x:c r="Z90" s="48" t="str">
        <x:v>—/—/—/—</x:v>
      </x:c>
      <x:c r="AA90" s="48" t="str">
        <x:v>—/—/—/—</x:v>
      </x:c>
      <x:c r="AB90" s="48" t="str">
        <x:v>air,ground,notself,organic/air,ground,notself,organic/air,ground,notself,organic/air,ground,notself,organic</x:v>
      </x:c>
      <x:c r="AC90" s="48" t="str">
        <x:v>主动；单位目标；主分类：位移；标签：伤害、位移、强化、资源机制；等级：4；魔耗：50/50/50/50；冷却：30/20/10/5；施法距离：700/700/700/700；作用范围：—/—/—/—；持续时间：—/—/—/—。</x:v>
      </x:c>
      <x:c r="AD90" s="48" t="str">
        <x:v>50 / 1 / 30 / 2 / 60 / 3 / 90 / 4 / 120 / 20 / 10 / 5</x:v>
      </x:c>
      <x:c r="AE90" s="48" t="str">
        <x:v>A</x:v>
      </x:c>
      <x:c r="AF90" s="48" t="str">
        <x:v>6.48b 地图内 UnitAbilities/AbilityData/AbilityStrings 与对象修改表</x:v>
      </x:c>
      <x:c r="AG90" s="18" t="str">
        <x:v>S1</x:v>
      </x:c>
    </x:row>
    <x:row r="91" ht="48" customHeight="1">
      <x:c r="A91" s="19" t="str">
        <x:v>U00A-2</x:v>
      </x:c>
      <x:c r="B91" s="19" t="str">
        <x:v>天灾军团</x:v>
      </x:c>
      <x:c r="C91" s="19" t="str">
        <x:v>午夜酒馆</x:v>
      </x:c>
      <x:c r="D91" s="19" t="str">
        <x:v>混沌骑士</x:v>
      </x:c>
      <x:c r="E91" s="19" t="str">
        <x:v>Chaos Knight</x:v>
      </x:c>
      <x:c r="F91" s="19" t="str">
        <x:v>U00A</x:v>
      </x:c>
      <x:c r="G91" s="19" t="str">
        <x:v>Nessaj</x:v>
      </x:c>
      <x:c r="H91" s="19" t="str">
        <x:v>STR</x:v>
      </x:c>
      <x:c r="I91" s="19" t="str">
        <x:v>近战</x:v>
      </x:c>
      <x:c r="J91" s="19" t="n">
        <x:v>2</x:v>
      </x:c>
      <x:c r="K91" s="19" t="str">
        <x:v>Critical Strike</x:v>
      </x:c>
      <x:c r="L91" s="19" t="str">
        <x:v>A03N</x:v>
      </x:c>
      <x:c r="M91" s="49" t="str">
        <x:v>否</x:v>
      </x:c>
      <x:c r="N91" s="49" t="n">
        <x:v>4</x:v>
      </x:c>
      <x:c r="O91" s="49" t="n">
        <x:v>1</x:v>
      </x:c>
      <x:c r="P91" s="49" t="n">
        <x:v>2</x:v>
      </x:c>
      <x:c r="Q91" s="19" t="str">
        <x:v>被动</x:v>
      </x:c>
      <x:c r="R91" s="19" t="str">
        <x:v>被动</x:v>
      </x:c>
      <x:c r="S91" s="19" t="str">
        <x:v>强化</x:v>
      </x:c>
      <x:c r="T91" s="19" t="str">
        <x:v>伤害、强化、被动触发</x:v>
      </x:c>
      <x:c r="U91" s="48" t="str">
        <x:v>被动；被动；主分类：强化；标签：伤害、强化、被动触发</x:v>
      </x:c>
      <x:c r="V91" s="48" t="str">
        <x:v>—/—/—/—</x:v>
      </x:c>
      <x:c r="W91" s="48" t="str">
        <x:v>—/—/—/—</x:v>
      </x:c>
      <x:c r="X91" s="48" t="str">
        <x:v>—/—/—/—</x:v>
      </x:c>
      <x:c r="Y91" s="48" t="str">
        <x:v>—/—/—/—</x:v>
      </x:c>
      <x:c r="Z91" s="48" t="str">
        <x:v>—/—/—/—</x:v>
      </x:c>
      <x:c r="AA91" s="48" t="str">
        <x:v>—/—/—/—</x:v>
      </x:c>
      <x:c r="AB91" s="48" t="str">
        <x:v>air,ground/air,ground/air,ground/air,ground</x:v>
      </x:c>
      <x:c r="AC91" s="48" t="str">
        <x:v>被动；被动；主分类：强化；标签：伤害、强化、被动触发；等级：4；魔耗：—/—/—/—；冷却：—/—/—/—；施法距离：—/—/—/—；作用范围：—/—/—/—；持续时间：—/—/—/—。</x:v>
      </x:c>
      <x:c r="AD91" s="48" t="str">
        <x:v>1 / 11% / 1.5 / 2 / 3 / 2.5 / 4</x:v>
      </x:c>
      <x:c r="AE91" s="48" t="str">
        <x:v>A</x:v>
      </x:c>
      <x:c r="AF91" s="48" t="str">
        <x:v>6.48b 地图内 UnitAbilities/AbilityData/AbilityStrings 与对象修改表</x:v>
      </x:c>
      <x:c r="AG91" s="18" t="str">
        <x:v>S1</x:v>
      </x:c>
    </x:row>
    <x:row r="92" ht="48" customHeight="1">
      <x:c r="A92" s="19" t="str">
        <x:v>U00A-3</x:v>
      </x:c>
      <x:c r="B92" s="19" t="str">
        <x:v>天灾军团</x:v>
      </x:c>
      <x:c r="C92" s="19" t="str">
        <x:v>午夜酒馆</x:v>
      </x:c>
      <x:c r="D92" s="19" t="str">
        <x:v>混沌骑士</x:v>
      </x:c>
      <x:c r="E92" s="19" t="str">
        <x:v>Chaos Knight</x:v>
      </x:c>
      <x:c r="F92" s="19" t="str">
        <x:v>U00A</x:v>
      </x:c>
      <x:c r="G92" s="19" t="str">
        <x:v>Nessaj</x:v>
      </x:c>
      <x:c r="H92" s="19" t="str">
        <x:v>STR</x:v>
      </x:c>
      <x:c r="I92" s="19" t="str">
        <x:v>近战</x:v>
      </x:c>
      <x:c r="J92" s="19" t="n">
        <x:v>3</x:v>
      </x:c>
      <x:c r="K92" s="19" t="str">
        <x:v>Phantasm</x:v>
      </x:c>
      <x:c r="L92" s="19" t="str">
        <x:v>A03O</x:v>
      </x:c>
      <x:c r="M92" s="49" t="str">
        <x:v>是</x:v>
      </x:c>
      <x:c r="N92" s="49" t="n">
        <x:v>3</x:v>
      </x:c>
      <x:c r="O92" s="49" t="n">
        <x:v>6</x:v>
      </x:c>
      <x:c r="P92" s="49" t="n">
        <x:v>5</x:v>
      </x:c>
      <x:c r="Q92" s="19" t="str">
        <x:v>主动</x:v>
      </x:c>
      <x:c r="R92" s="19" t="str">
        <x:v>无目标或脚本目标</x:v>
      </x:c>
      <x:c r="S92" s="19" t="str">
        <x:v>召唤</x:v>
      </x:c>
      <x:c r="T92" s="19" t="str">
        <x:v>伤害、召唤</x:v>
      </x:c>
      <x:c r="U92" s="48" t="str">
        <x:v>主动；无目标或脚本目标；主分类：召唤；标签：伤害、召唤</x:v>
      </x:c>
      <x:c r="V92" s="48" t="str">
        <x:v>175/225/275</x:v>
      </x:c>
      <x:c r="W92" s="48" t="str">
        <x:v>180/180/180</x:v>
      </x:c>
      <x:c r="X92" s="48" t="str">
        <x:v>128/128/128</x:v>
      </x:c>
      <x:c r="Y92" s="48" t="str">
        <x:v>1000/1000/1000</x:v>
      </x:c>
      <x:c r="Z92" s="48" t="str">
        <x:v>20/20/20</x:v>
      </x:c>
      <x:c r="AA92" s="48" t="str">
        <x:v>20/20/20</x:v>
      </x:c>
      <x:c r="AB92" s="48" t="str">
        <x:v>—/—/—</x:v>
      </x:c>
      <x:c r="AC92" s="48" t="str">
        <x:v>主动；无目标或脚本目标；主分类：召唤；标签：伤害、召唤；等级：3；魔耗：175/225/275；冷却：180/180/180；施法距离：128/128/128；作用范围：1000/1000/1000；持续时间：20/20/20。</x:v>
      </x:c>
      <x:c r="AD92" s="48" t="str">
        <x:v>20 / 1 / 200% / 2 / 3 / 180</x:v>
      </x:c>
      <x:c r="AE92" s="48" t="str">
        <x:v>A</x:v>
      </x:c>
      <x:c r="AF92" s="48" t="str">
        <x:v>6.48b 地图内 UnitAbilities/AbilityData/AbilityStrings 与对象修改表</x:v>
      </x:c>
      <x:c r="AG92" s="18" t="str">
        <x:v>S1</x:v>
      </x:c>
    </x:row>
    <x:row r="93" ht="48" customHeight="1">
      <x:c r="A93" s="19" t="str">
        <x:v>U00A-4</x:v>
      </x:c>
      <x:c r="B93" s="19" t="str">
        <x:v>天灾军团</x:v>
      </x:c>
      <x:c r="C93" s="19" t="str">
        <x:v>午夜酒馆</x:v>
      </x:c>
      <x:c r="D93" s="19" t="str">
        <x:v>混沌骑士</x:v>
      </x:c>
      <x:c r="E93" s="19" t="str">
        <x:v>Chaos Knight</x:v>
      </x:c>
      <x:c r="F93" s="19" t="str">
        <x:v>U00A</x:v>
      </x:c>
      <x:c r="G93" s="19" t="str">
        <x:v>Nessaj</x:v>
      </x:c>
      <x:c r="H93" s="19" t="str">
        <x:v>STR</x:v>
      </x:c>
      <x:c r="I93" s="19" t="str">
        <x:v>近战</x:v>
      </x:c>
      <x:c r="J93" s="19" t="n">
        <x:v>4</x:v>
      </x:c>
      <x:c r="K93" s="19" t="str">
        <x:v>Chaos Bolt</x:v>
      </x:c>
      <x:c r="L93" s="19" t="str">
        <x:v>A055</x:v>
      </x:c>
      <x:c r="M93" s="49" t="str">
        <x:v>否</x:v>
      </x:c>
      <x:c r="N93" s="49" t="n">
        <x:v>4</x:v>
      </x:c>
      <x:c r="O93" s="49" t="n">
        <x:v>1</x:v>
      </x:c>
      <x:c r="P93" s="49" t="n">
        <x:v>2</x:v>
      </x:c>
      <x:c r="Q93" s="19" t="str">
        <x:v>主动</x:v>
      </x:c>
      <x:c r="R93" s="19" t="str">
        <x:v>无目标或脚本目标</x:v>
      </x:c>
      <x:c r="S93" s="19" t="str">
        <x:v>硬控</x:v>
      </x:c>
      <x:c r="T93" s="19" t="str">
        <x:v>伤害、硬控</x:v>
      </x:c>
      <x:c r="U93" s="48" t="str">
        <x:v>主动；无目标或脚本目标；主分类：硬控；标签：伤害、硬控</x:v>
      </x:c>
      <x:c r="V93" s="48" t="str">
        <x:v>140/140/140/140</x:v>
      </x:c>
      <x:c r="W93" s="48" t="str">
        <x:v>10/10/10/10</x:v>
      </x:c>
      <x:c r="X93" s="48" t="str">
        <x:v>500/500/500/500</x:v>
      </x:c>
      <x:c r="Y93" s="48" t="str">
        <x:v>—/—/—/—</x:v>
      </x:c>
      <x:c r="Z93" s="48" t="str">
        <x:v>0.01/0.01/0.01/0.01</x:v>
      </x:c>
      <x:c r="AA93" s="48" t="str">
        <x:v>0.01/0.01/0.01/0.01</x:v>
      </x:c>
      <x:c r="AB93" s="48" t="str">
        <x:v>air,ground,organic,enemy,neutral/air,ground,organic,enemy,neutral/air,ground,organic,enemy,neutral/air,ground,organic,enemy,neutral</x:v>
      </x:c>
      <x:c r="AC93" s="48" t="str">
        <x:v>主动；无目标或脚本目标；主分类：硬控；标签：伤害、硬控；等级：4；魔耗：140/140/140/140；冷却：10/10/10/10；施法距离：500/500/500/500；作用范围：—/—/—/—；持续时间：0.01/0.01/0.01/0.01。</x:v>
      </x:c>
      <x:c r="AD93" s="48" t="str">
        <x:v>1 / -200 / -2 / 2 / -3 / 3 / -4 / 4 / 10 / 200</x:v>
      </x:c>
      <x:c r="AE93" s="48" t="str">
        <x:v>A</x:v>
      </x:c>
      <x:c r="AF93" s="48" t="str">
        <x:v>6.48b 地图内 UnitAbilities/AbilityData/AbilityStrings 与对象修改表</x:v>
      </x:c>
      <x:c r="AG93" s="18" t="str">
        <x:v>S1</x:v>
      </x:c>
    </x:row>
    <x:row r="94" ht="48" customHeight="1">
      <x:c r="A94" s="19" t="str">
        <x:v>Ewar-1</x:v>
      </x:c>
      <x:c r="B94" s="19" t="str">
        <x:v>天灾军团</x:v>
      </x:c>
      <x:c r="C94" s="19" t="str">
        <x:v>午夜酒馆</x:v>
      </x:c>
      <x:c r="D94" s="19" t="str">
        <x:v>幻影刺客</x:v>
      </x:c>
      <x:c r="E94" s="19" t="str">
        <x:v>Phantom Assassin</x:v>
      </x:c>
      <x:c r="F94" s="19" t="str">
        <x:v>Ewar</x:v>
      </x:c>
      <x:c r="G94" s="19" t="str">
        <x:v>Mortred</x:v>
      </x:c>
      <x:c r="H94" s="19" t="str">
        <x:v>AGI</x:v>
      </x:c>
      <x:c r="I94" s="19" t="str">
        <x:v>近战</x:v>
      </x:c>
      <x:c r="J94" s="19" t="n">
        <x:v>1</x:v>
      </x:c>
      <x:c r="K94" s="19" t="str">
        <x:v>Shadow Strike</x:v>
      </x:c>
      <x:c r="L94" s="19" t="str">
        <x:v>AEsh</x:v>
      </x:c>
      <x:c r="M94" s="49" t="str">
        <x:v>否</x:v>
      </x:c>
      <x:c r="N94" s="49" t="n">
        <x:v>4</x:v>
      </x:c>
      <x:c r="O94" s="49" t="n">
        <x:v>1</x:v>
      </x:c>
      <x:c r="P94" s="49" t="n">
        <x:v>2</x:v>
      </x:c>
      <x:c r="Q94" s="19" t="str">
        <x:v>主动</x:v>
      </x:c>
      <x:c r="R94" s="19" t="str">
        <x:v>单位目标</x:v>
      </x:c>
      <x:c r="S94" s="19" t="str">
        <x:v>软控</x:v>
      </x:c>
      <x:c r="T94" s="19" t="str">
        <x:v>伤害、软控、强化、削弱</x:v>
      </x:c>
      <x:c r="U94" s="48" t="str">
        <x:v>主动；单位目标；主分类：软控；标签：伤害、软控、强化、削弱</x:v>
      </x:c>
      <x:c r="V94" s="48" t="str">
        <x:v>90/105/120/135</x:v>
      </x:c>
      <x:c r="W94" s="48" t="str">
        <x:v>22/22/22/22</x:v>
      </x:c>
      <x:c r="X94" s="48" t="str">
        <x:v>400/400/400/400</x:v>
      </x:c>
      <x:c r="Y94" s="48" t="str">
        <x:v>—/—/—/—</x:v>
      </x:c>
      <x:c r="Z94" s="48" t="str">
        <x:v>15.1/15.1/15.1/15.1</x:v>
      </x:c>
      <x:c r="AA94" s="48" t="str">
        <x:v>15.1/15.1/15.1/15.1</x:v>
      </x:c>
      <x:c r="AB94" s="48" t="str">
        <x:v>ground,air,enemy,neutral,organic/ground,air,enemy,neutral,organic/ground,air,enemy,neutral,organic/ground,air,enemy,neutral,organic</x:v>
      </x:c>
      <x:c r="AC94" s="48" t="str">
        <x:v>主动；单位目标；主分类：软控；标签：伤害、软控、强化、削弱；等级：4；魔耗：90/105/120/135；冷却：22/22/22/22；施法距离：400/400/400/400；作用范围：—/—/—/—；持续时间：15.1/15.1/15.1/15.1。</x:v>
      </x:c>
      <x:c r="AD94" s="48" t="str">
        <x:v>1 / 50 / 10 / 2 / 70 / 20 / 3 / 40 / 4 / 100 / 22 / 15</x:v>
      </x:c>
      <x:c r="AE94" s="48" t="str">
        <x:v>A</x:v>
      </x:c>
      <x:c r="AF94" s="48" t="str">
        <x:v>6.48b 地图内 UnitAbilities/AbilityData/AbilityStrings 与对象修改表</x:v>
      </x:c>
      <x:c r="AG94" s="18" t="str">
        <x:v>S1</x:v>
      </x:c>
    </x:row>
    <x:row r="95" ht="48" customHeight="1">
      <x:c r="A95" s="19" t="str">
        <x:v>Ewar-2</x:v>
      </x:c>
      <x:c r="B95" s="19" t="str">
        <x:v>天灾军团</x:v>
      </x:c>
      <x:c r="C95" s="19" t="str">
        <x:v>午夜酒馆</x:v>
      </x:c>
      <x:c r="D95" s="19" t="str">
        <x:v>幻影刺客</x:v>
      </x:c>
      <x:c r="E95" s="19" t="str">
        <x:v>Phantom Assassin</x:v>
      </x:c>
      <x:c r="F95" s="19" t="str">
        <x:v>Ewar</x:v>
      </x:c>
      <x:c r="G95" s="19" t="str">
        <x:v>Mortred</x:v>
      </x:c>
      <x:c r="H95" s="19" t="str">
        <x:v>AGI</x:v>
      </x:c>
      <x:c r="I95" s="19" t="str">
        <x:v>近战</x:v>
      </x:c>
      <x:c r="J95" s="19" t="n">
        <x:v>2</x:v>
      </x:c>
      <x:c r="K95" s="19" t="str">
        <x:v>Blink Strike</x:v>
      </x:c>
      <x:c r="L95" s="19" t="str">
        <x:v>A0PL</x:v>
      </x:c>
      <x:c r="M95" s="49" t="str">
        <x:v>否</x:v>
      </x:c>
      <x:c r="N95" s="49" t="n">
        <x:v>4</x:v>
      </x:c>
      <x:c r="O95" s="49" t="n">
        <x:v>1</x:v>
      </x:c>
      <x:c r="P95" s="49" t="n">
        <x:v>2</x:v>
      </x:c>
      <x:c r="Q95" s="19" t="str">
        <x:v>主动</x:v>
      </x:c>
      <x:c r="R95" s="19" t="str">
        <x:v>单位目标</x:v>
      </x:c>
      <x:c r="S95" s="19" t="str">
        <x:v>位移</x:v>
      </x:c>
      <x:c r="T95" s="19" t="str">
        <x:v>伤害、位移、强化、资源机制</x:v>
      </x:c>
      <x:c r="U95" s="48" t="str">
        <x:v>主动；单位目标；主分类：位移；标签：伤害、位移、强化、资源机制</x:v>
      </x:c>
      <x:c r="V95" s="48" t="str">
        <x:v>50/50/50/50</x:v>
      </x:c>
      <x:c r="W95" s="48" t="str">
        <x:v>30/20/10/5</x:v>
      </x:c>
      <x:c r="X95" s="48" t="str">
        <x:v>700/800/900/1000</x:v>
      </x:c>
      <x:c r="Y95" s="48" t="str">
        <x:v>—/—/—/—</x:v>
      </x:c>
      <x:c r="Z95" s="48" t="str">
        <x:v>—/—/—/—</x:v>
      </x:c>
      <x:c r="AA95" s="48" t="str">
        <x:v>—/—/—/—</x:v>
      </x:c>
      <x:c r="AB95" s="48" t="str">
        <x:v>air,ground,notself,organic/air,ground,notself,organic/air,ground,notself,organic/air,ground,notself,organic</x:v>
      </x:c>
      <x:c r="AC95" s="48" t="str">
        <x:v>主动；单位目标；主分类：位移；标签：伤害、位移、强化、资源机制；等级：4；魔耗：50/50/50/50；冷却：30/20/10/5；施法距离：700/800/900/1000；作用范围：—/—/—/—；持续时间：—/—/—/—。</x:v>
      </x:c>
      <x:c r="AD95" s="48" t="str">
        <x:v>50 / 1 / 30 / 2 / 60 / 3 / 90 / 4 / 120 / 20 / 10 / 5</x:v>
      </x:c>
      <x:c r="AE95" s="48" t="str">
        <x:v>A</x:v>
      </x:c>
      <x:c r="AF95" s="48" t="str">
        <x:v>6.48b 地图内 UnitAbilities/AbilityData/AbilityStrings 与对象修改表</x:v>
      </x:c>
      <x:c r="AG95" s="18" t="str">
        <x:v>S1</x:v>
      </x:c>
    </x:row>
    <x:row r="96" ht="48" customHeight="1">
      <x:c r="A96" s="19" t="str">
        <x:v>Ewar-3</x:v>
      </x:c>
      <x:c r="B96" s="19" t="str">
        <x:v>天灾军团</x:v>
      </x:c>
      <x:c r="C96" s="19" t="str">
        <x:v>午夜酒馆</x:v>
      </x:c>
      <x:c r="D96" s="19" t="str">
        <x:v>幻影刺客</x:v>
      </x:c>
      <x:c r="E96" s="19" t="str">
        <x:v>Phantom Assassin</x:v>
      </x:c>
      <x:c r="F96" s="19" t="str">
        <x:v>Ewar</x:v>
      </x:c>
      <x:c r="G96" s="19" t="str">
        <x:v>Mortred</x:v>
      </x:c>
      <x:c r="H96" s="19" t="str">
        <x:v>AGI</x:v>
      </x:c>
      <x:c r="I96" s="19" t="str">
        <x:v>近战</x:v>
      </x:c>
      <x:c r="J96" s="19" t="n">
        <x:v>3</x:v>
      </x:c>
      <x:c r="K96" s="19" t="str">
        <x:v>Blur</x:v>
      </x:c>
      <x:c r="L96" s="19" t="str">
        <x:v>A03P</x:v>
      </x:c>
      <x:c r="M96" s="49" t="str">
        <x:v>否</x:v>
      </x:c>
      <x:c r="N96" s="49" t="n">
        <x:v>4</x:v>
      </x:c>
      <x:c r="O96" s="49" t="n">
        <x:v>1</x:v>
      </x:c>
      <x:c r="P96" s="49" t="n">
        <x:v>2</x:v>
      </x:c>
      <x:c r="Q96" s="19" t="str">
        <x:v>被动/脚本触发</x:v>
      </x:c>
      <x:c r="R96" s="19" t="str">
        <x:v>被动</x:v>
      </x:c>
      <x:c r="S96" s="19" t="str">
        <x:v>防御/生存</x:v>
      </x:c>
      <x:c r="T96" s="19" t="str">
        <x:v>防御/生存、强化、被动触发</x:v>
      </x:c>
      <x:c r="U96" s="48" t="str">
        <x:v>被动/脚本触发；被动；主分类：防御/生存；标签：防御/生存、强化、被动触发</x:v>
      </x:c>
      <x:c r="V96" s="48" t="str">
        <x:v>—/—/—/—</x:v>
      </x:c>
      <x:c r="W96" s="48" t="str">
        <x:v>—/—/—/—</x:v>
      </x:c>
      <x:c r="X96" s="48" t="str">
        <x:v>—/—/—/—</x:v>
      </x:c>
      <x:c r="Y96" s="48" t="str">
        <x:v>—/—/—/—</x:v>
      </x:c>
      <x:c r="Z96" s="48" t="str">
        <x:v>—/—/—/—</x:v>
      </x:c>
      <x:c r="AA96" s="48" t="str">
        <x:v>—/—/—/—</x:v>
      </x:c>
      <x:c r="AB96" s="48" t="str">
        <x:v>—/—/—/—</x:v>
      </x:c>
      <x:c r="AC96" s="48" t="str">
        <x:v>被动/脚本触发；被动；主分类：防御/生存；标签：防御/生存、强化、被动触发；等级：4；魔耗：—/—/—/—；冷却：—/—/—/—；施法距离：—/—/—/—；作用范围：—/—/—/—；持续时间：—/—/—/—。</x:v>
      </x:c>
      <x:c r="AD96" s="48" t="str">
        <x:v>1 / 7% / 2 / 14% / 3 / 21% / 4 / 28%</x:v>
      </x:c>
      <x:c r="AE96" s="48" t="str">
        <x:v>A</x:v>
      </x:c>
      <x:c r="AF96" s="48" t="str">
        <x:v>6.48b 地图内 UnitAbilities/AbilityData/AbilityStrings 与对象修改表</x:v>
      </x:c>
      <x:c r="AG96" s="18" t="str">
        <x:v>S1</x:v>
      </x:c>
    </x:row>
    <x:row r="97" ht="48" customHeight="1">
      <x:c r="A97" s="19" t="str">
        <x:v>Ewar-4</x:v>
      </x:c>
      <x:c r="B97" s="19" t="str">
        <x:v>天灾军团</x:v>
      </x:c>
      <x:c r="C97" s="19" t="str">
        <x:v>午夜酒馆</x:v>
      </x:c>
      <x:c r="D97" s="19" t="str">
        <x:v>幻影刺客</x:v>
      </x:c>
      <x:c r="E97" s="19" t="str">
        <x:v>Phantom Assassin</x:v>
      </x:c>
      <x:c r="F97" s="19" t="str">
        <x:v>Ewar</x:v>
      </x:c>
      <x:c r="G97" s="19" t="str">
        <x:v>Mortred</x:v>
      </x:c>
      <x:c r="H97" s="19" t="str">
        <x:v>AGI</x:v>
      </x:c>
      <x:c r="I97" s="19" t="str">
        <x:v>近战</x:v>
      </x:c>
      <x:c r="J97" s="19" t="n">
        <x:v>4</x:v>
      </x:c>
      <x:c r="K97" s="19" t="str">
        <x:v>Coup de grâce</x:v>
      </x:c>
      <x:c r="L97" s="19" t="str">
        <x:v>A03Q</x:v>
      </x:c>
      <x:c r="M97" s="49" t="str">
        <x:v>是</x:v>
      </x:c>
      <x:c r="N97" s="49" t="n">
        <x:v>3</x:v>
      </x:c>
      <x:c r="O97" s="49" t="n">
        <x:v>6</x:v>
      </x:c>
      <x:c r="P97" s="49" t="n">
        <x:v>5</x:v>
      </x:c>
      <x:c r="Q97" s="19" t="str">
        <x:v>被动</x:v>
      </x:c>
      <x:c r="R97" s="19" t="str">
        <x:v>被动</x:v>
      </x:c>
      <x:c r="S97" s="19" t="str">
        <x:v>伤害</x:v>
      </x:c>
      <x:c r="T97" s="19" t="str">
        <x:v>伤害、被动触发</x:v>
      </x:c>
      <x:c r="U97" s="48" t="str">
        <x:v>被动；被动；主分类：伤害；标签：伤害、被动触发</x:v>
      </x:c>
      <x:c r="V97" s="48" t="str">
        <x:v>—/—/—</x:v>
      </x:c>
      <x:c r="W97" s="48" t="str">
        <x:v>—/—/—</x:v>
      </x:c>
      <x:c r="X97" s="48" t="str">
        <x:v>—/—/—</x:v>
      </x:c>
      <x:c r="Y97" s="48" t="str">
        <x:v>—/—/—</x:v>
      </x:c>
      <x:c r="Z97" s="48" t="str">
        <x:v>—/—/—</x:v>
      </x:c>
      <x:c r="AA97" s="48" t="str">
        <x:v>—/—/—</x:v>
      </x:c>
      <x:c r="AB97" s="48" t="str">
        <x:v>air,ground,enemy,neutral/air,ground,enemy,neutral/air,ground,enemy,neutral</x:v>
      </x:c>
      <x:c r="AC97" s="48" t="str">
        <x:v>被动；被动；主分类：伤害；标签：伤害、被动触发；等级：3；魔耗：—/—/—；冷却：—/—/—；施法距离：—/—/—；作用范围：—/—/—；持续时间：—/—/—。</x:v>
      </x:c>
      <x:c r="AD97" s="48" t="str">
        <x:v>1 / 15% / 2.0 / 2 / 3.0 / 3 / 4.0 / 4</x:v>
      </x:c>
      <x:c r="AE97" s="48" t="str">
        <x:v>A</x:v>
      </x:c>
      <x:c r="AF97" s="48" t="str">
        <x:v>6.48b 地图内 UnitAbilities/AbilityData/AbilityStrings 与对象修改表</x:v>
      </x:c>
      <x:c r="AG97" s="18" t="str">
        <x:v>S1</x:v>
      </x:c>
    </x:row>
    <x:row r="98" ht="48" customHeight="1">
      <x:c r="A98" s="19" t="str">
        <x:v>Hvwd-1</x:v>
      </x:c>
      <x:c r="B98" s="19" t="str">
        <x:v>近卫军团</x:v>
      </x:c>
      <x:c r="C98" s="19" t="str">
        <x:v>清晨酒馆</x:v>
      </x:c>
      <x:c r="D98" s="19" t="str">
        <x:v>复仇之魂</x:v>
      </x:c>
      <x:c r="E98" s="19" t="str">
        <x:v>Vengeful Spirit</x:v>
      </x:c>
      <x:c r="F98" s="19" t="str">
        <x:v>Hvwd</x:v>
      </x:c>
      <x:c r="G98" s="19" t="str">
        <x:v>Shendelzare Silkwood</x:v>
      </x:c>
      <x:c r="H98" s="19" t="str">
        <x:v>AGI</x:v>
      </x:c>
      <x:c r="I98" s="19" t="str">
        <x:v>远程</x:v>
      </x:c>
      <x:c r="J98" s="19" t="n">
        <x:v>1</x:v>
      </x:c>
      <x:c r="K98" s="19" t="str">
        <x:v>Magic Missile</x:v>
      </x:c>
      <x:c r="L98" s="19" t="str">
        <x:v>A02A</x:v>
      </x:c>
      <x:c r="M98" s="49" t="str">
        <x:v>否</x:v>
      </x:c>
      <x:c r="N98" s="49" t="n">
        <x:v>4</x:v>
      </x:c>
      <x:c r="O98" s="49" t="n">
        <x:v>1</x:v>
      </x:c>
      <x:c r="P98" s="49" t="n">
        <x:v>2</x:v>
      </x:c>
      <x:c r="Q98" s="19" t="str">
        <x:v>主动</x:v>
      </x:c>
      <x:c r="R98" s="19" t="str">
        <x:v>无目标或脚本目标</x:v>
      </x:c>
      <x:c r="S98" s="19" t="str">
        <x:v>硬控</x:v>
      </x:c>
      <x:c r="T98" s="19" t="str">
        <x:v>伤害、硬控</x:v>
      </x:c>
      <x:c r="U98" s="48" t="str">
        <x:v>主动；无目标或脚本目标；主分类：硬控；标签：伤害、硬控</x:v>
      </x:c>
      <x:c r="V98" s="48" t="str">
        <x:v>95/110/125/140</x:v>
      </x:c>
      <x:c r="W98" s="48" t="str">
        <x:v>10/10/10/10</x:v>
      </x:c>
      <x:c r="X98" s="48" t="str">
        <x:v>500/500/500/500</x:v>
      </x:c>
      <x:c r="Y98" s="48" t="str">
        <x:v>—/—/—/—</x:v>
      </x:c>
      <x:c r="Z98" s="48" t="str">
        <x:v>1.75/1.75/1.75/1.75</x:v>
      </x:c>
      <x:c r="AA98" s="48" t="str">
        <x:v>1.75/1.75/1.75/1.75</x:v>
      </x:c>
      <x:c r="AB98" s="48" t="str">
        <x:v>air,ground,debris,enemy,neutral,organic/air,ground,debris,enemy,neutral,organic/air,ground,debris,enemy,neutral,organic/air,ground,debris,enemy,neutral,organic</x:v>
      </x:c>
      <x:c r="AC98" s="48" t="str">
        <x:v>主动；无目标或脚本目标；主分类：硬控；标签：伤害、硬控；等级：4；魔耗：95/110/125/140；冷却：10/10/10/10；施法距离：500/500/500/500；作用范围：—/—/—/—；持续时间：1.75/1.75/1.75/1.75。</x:v>
      </x:c>
      <x:c r="AD98" s="48" t="str">
        <x:v>1.75 / 1 / 100 / 2 / 175 / 3 / 250 / 4 / 325 / 10</x:v>
      </x:c>
      <x:c r="AE98" s="48" t="str">
        <x:v>A</x:v>
      </x:c>
      <x:c r="AF98" s="48" t="str">
        <x:v>6.48b 地图内 UnitAbilities/AbilityData/AbilityStrings 与对象修改表</x:v>
      </x:c>
      <x:c r="AG98" s="18" t="str">
        <x:v>S1</x:v>
      </x:c>
    </x:row>
    <x:row r="99" ht="48" customHeight="1">
      <x:c r="A99" s="19" t="str">
        <x:v>Hvwd-2</x:v>
      </x:c>
      <x:c r="B99" s="19" t="str">
        <x:v>近卫军团</x:v>
      </x:c>
      <x:c r="C99" s="19" t="str">
        <x:v>清晨酒馆</x:v>
      </x:c>
      <x:c r="D99" s="19" t="str">
        <x:v>复仇之魂</x:v>
      </x:c>
      <x:c r="E99" s="19" t="str">
        <x:v>Vengeful Spirit</x:v>
      </x:c>
      <x:c r="F99" s="19" t="str">
        <x:v>Hvwd</x:v>
      </x:c>
      <x:c r="G99" s="19" t="str">
        <x:v>Shendelzare Silkwood</x:v>
      </x:c>
      <x:c r="H99" s="19" t="str">
        <x:v>AGI</x:v>
      </x:c>
      <x:c r="I99" s="19" t="str">
        <x:v>远程</x:v>
      </x:c>
      <x:c r="J99" s="19" t="n">
        <x:v>2</x:v>
      </x:c>
      <x:c r="K99" s="19" t="str">
        <x:v>Terror</x:v>
      </x:c>
      <x:c r="L99" s="19" t="str">
        <x:v>A0AP</x:v>
      </x:c>
      <x:c r="M99" s="49" t="str">
        <x:v>否</x:v>
      </x:c>
      <x:c r="N99" s="49" t="n">
        <x:v>4</x:v>
      </x:c>
      <x:c r="O99" s="49" t="n">
        <x:v>1</x:v>
      </x:c>
      <x:c r="P99" s="49" t="n">
        <x:v>2</x:v>
      </x:c>
      <x:c r="Q99" s="19" t="str">
        <x:v>主动</x:v>
      </x:c>
      <x:c r="R99" s="19" t="str">
        <x:v>无目标/范围</x:v>
      </x:c>
      <x:c r="S99" s="19" t="str">
        <x:v>防御/生存</x:v>
      </x:c>
      <x:c r="T99" s="19" t="str">
        <x:v>伤害、防御/生存、削弱、光环、范围效果</x:v>
      </x:c>
      <x:c r="U99" s="48" t="str">
        <x:v>主动；无目标/范围；主分类：防御/生存；标签：伤害、防御/生存、削弱、光环、范围效果</x:v>
      </x:c>
      <x:c r="V99" s="48" t="str">
        <x:v>40/40/40/40</x:v>
      </x:c>
      <x:c r="W99" s="48" t="str">
        <x:v>15/15/15/15</x:v>
      </x:c>
      <x:c r="X99" s="48" t="str">
        <x:v>—/—/—/—</x:v>
      </x:c>
      <x:c r="Y99" s="48" t="str">
        <x:v>700/700/700/700</x:v>
      </x:c>
      <x:c r="Z99" s="48" t="str">
        <x:v>20/20/20/20</x:v>
      </x:c>
      <x:c r="AA99" s="48" t="str">
        <x:v>20/20/20/20</x:v>
      </x:c>
      <x:c r="AB99" s="48" t="str">
        <x:v>air,ground,enemy,neutral/air,ground,enemy,neutral/air,ground,enemy,neutral/air,ground,enemy,neutral</x:v>
      </x:c>
      <x:c r="AC99" s="48" t="str">
        <x:v>主动；无目标/范围；主分类：防御/生存；标签：伤害、防御/生存、削弱、光环、范围效果；等级：4；魔耗：40/40/40/40；冷却：15/15/15/15；施法距离：—/—/—/—；作用范围：700/700/700/700；持续时间：20/20/20/20。</x:v>
      </x:c>
      <x:c r="AD99" s="48" t="str">
        <x:v>1 / 2 / 5% / 3 / 10% / 4 / 15% / 5 / 20% / 15 / 20</x:v>
      </x:c>
      <x:c r="AE99" s="48" t="str">
        <x:v>A</x:v>
      </x:c>
      <x:c r="AF99" s="48" t="str">
        <x:v>6.48b 地图内 UnitAbilities/AbilityData/AbilityStrings 与对象修改表</x:v>
      </x:c>
      <x:c r="AG99" s="18" t="str">
        <x:v>S1</x:v>
      </x:c>
    </x:row>
    <x:row r="100" ht="48" customHeight="1">
      <x:c r="A100" s="19" t="str">
        <x:v>Hvwd-3</x:v>
      </x:c>
      <x:c r="B100" s="19" t="str">
        <x:v>近卫军团</x:v>
      </x:c>
      <x:c r="C100" s="19" t="str">
        <x:v>清晨酒馆</x:v>
      </x:c>
      <x:c r="D100" s="19" t="str">
        <x:v>复仇之魂</x:v>
      </x:c>
      <x:c r="E100" s="19" t="str">
        <x:v>Vengeful Spirit</x:v>
      </x:c>
      <x:c r="F100" s="19" t="str">
        <x:v>Hvwd</x:v>
      </x:c>
      <x:c r="G100" s="19" t="str">
        <x:v>Shendelzare Silkwood</x:v>
      </x:c>
      <x:c r="H100" s="19" t="str">
        <x:v>AGI</x:v>
      </x:c>
      <x:c r="I100" s="19" t="str">
        <x:v>远程</x:v>
      </x:c>
      <x:c r="J100" s="19" t="n">
        <x:v>3</x:v>
      </x:c>
      <x:c r="K100" s="19" t="str">
        <x:v>Command Aura</x:v>
      </x:c>
      <x:c r="L100" s="19" t="str">
        <x:v>A045</x:v>
      </x:c>
      <x:c r="M100" s="49" t="str">
        <x:v>否</x:v>
      </x:c>
      <x:c r="N100" s="49" t="n">
        <x:v>4</x:v>
      </x:c>
      <x:c r="O100" s="49" t="n">
        <x:v>1</x:v>
      </x:c>
      <x:c r="P100" s="49" t="n">
        <x:v>2</x:v>
      </x:c>
      <x:c r="Q100" s="19" t="str">
        <x:v>被动</x:v>
      </x:c>
      <x:c r="R100" s="19" t="str">
        <x:v>被动</x:v>
      </x:c>
      <x:c r="S100" s="19" t="str">
        <x:v>强化</x:v>
      </x:c>
      <x:c r="T100" s="19" t="str">
        <x:v>伤害、强化、光环、范围效果、被动触发</x:v>
      </x:c>
      <x:c r="U100" s="48" t="str">
        <x:v>被动；被动；主分类：强化；标签：伤害、强化、光环、范围效果、被动触发</x:v>
      </x:c>
      <x:c r="V100" s="48" t="str">
        <x:v>—/—/—/—</x:v>
      </x:c>
      <x:c r="W100" s="48" t="str">
        <x:v>—/—/—/—</x:v>
      </x:c>
      <x:c r="X100" s="48" t="str">
        <x:v>—/—/—/—</x:v>
      </x:c>
      <x:c r="Y100" s="48" t="str">
        <x:v>300/300/300/300</x:v>
      </x:c>
      <x:c r="Z100" s="48" t="str">
        <x:v>—/—/—/—</x:v>
      </x:c>
      <x:c r="AA100" s="48" t="str">
        <x:v>—/—/—/—</x:v>
      </x:c>
      <x:c r="AB100" s="48" t="str">
        <x:v>—/air,ground,friend,self,vuln,invu/air,ground,friend,self,vuln,invu/air,ground,friend,self,vuln,invu</x:v>
      </x:c>
      <x:c r="AC100" s="48" t="str">
        <x:v>被动；被动；主分类：强化；标签：伤害、强化、光环、范围效果、被动触发；等级：4；魔耗：—/—/—/—；冷却：—/—/—/—；施法距离：—/—/—/—；作用范围：300/300/300/300；持续时间：—/—/—/—。</x:v>
      </x:c>
      <x:c r="AD100" s="48" t="str">
        <x:v>12% / 20% / 28% / 36% / 1 / 2 / 3 / 4</x:v>
      </x:c>
      <x:c r="AE100" s="48" t="str">
        <x:v>A</x:v>
      </x:c>
      <x:c r="AF100" s="48" t="str">
        <x:v>Name and values restored from the custom ability modifications in war3map.w3a.</x:v>
      </x:c>
      <x:c r="AG100" s="18" t="str">
        <x:v>S1</x:v>
      </x:c>
    </x:row>
    <x:row r="101" ht="48" customHeight="1">
      <x:c r="A101" s="19" t="str">
        <x:v>Hvwd-4</x:v>
      </x:c>
      <x:c r="B101" s="19" t="str">
        <x:v>近卫军团</x:v>
      </x:c>
      <x:c r="C101" s="19" t="str">
        <x:v>清晨酒馆</x:v>
      </x:c>
      <x:c r="D101" s="19" t="str">
        <x:v>复仇之魂</x:v>
      </x:c>
      <x:c r="E101" s="19" t="str">
        <x:v>Vengeful Spirit</x:v>
      </x:c>
      <x:c r="F101" s="19" t="str">
        <x:v>Hvwd</x:v>
      </x:c>
      <x:c r="G101" s="19" t="str">
        <x:v>Shendelzare Silkwood</x:v>
      </x:c>
      <x:c r="H101" s="19" t="str">
        <x:v>AGI</x:v>
      </x:c>
      <x:c r="I101" s="19" t="str">
        <x:v>远程</x:v>
      </x:c>
      <x:c r="J101" s="19" t="n">
        <x:v>4</x:v>
      </x:c>
      <x:c r="K101" s="19" t="str">
        <x:v>Nether Swap</x:v>
      </x:c>
      <x:c r="L101" s="19" t="str">
        <x:v>A00G</x:v>
      </x:c>
      <x:c r="M101" s="49" t="str">
        <x:v>是</x:v>
      </x:c>
      <x:c r="N101" s="49" t="n">
        <x:v>3</x:v>
      </x:c>
      <x:c r="O101" s="49" t="n">
        <x:v>6</x:v>
      </x:c>
      <x:c r="P101" s="49" t="n">
        <x:v>5</x:v>
      </x:c>
      <x:c r="Q101" s="19" t="str">
        <x:v>主动</x:v>
      </x:c>
      <x:c r="R101" s="19" t="str">
        <x:v>单位目标</x:v>
      </x:c>
      <x:c r="S101" s="19" t="str">
        <x:v>位移</x:v>
      </x:c>
      <x:c r="T101" s="19" t="str">
        <x:v>位移</x:v>
      </x:c>
      <x:c r="U101" s="48" t="str">
        <x:v>主动；单位目标；主分类：位移；标签：位移</x:v>
      </x:c>
      <x:c r="V101" s="48" t="str">
        <x:v>100/150/200</x:v>
      </x:c>
      <x:c r="W101" s="48" t="str">
        <x:v>45/45/45</x:v>
      </x:c>
      <x:c r="X101" s="48" t="str">
        <x:v>600/900/1200</x:v>
      </x:c>
      <x:c r="Y101" s="48" t="str">
        <x:v>—/—/—</x:v>
      </x:c>
      <x:c r="Z101" s="48" t="str">
        <x:v>0.01/0.01/0.01</x:v>
      </x:c>
      <x:c r="AA101" s="48" t="str">
        <x:v>0.01/0.01/0.01</x:v>
      </x:c>
      <x:c r="AB101" s="48" t="str">
        <x:v>air,enemies,friend,ground,hero,neutral,nonancient,organic/air,enemies,friend,ground,hero,neutral,nonancient,organic/air,enemies,friend,ground,hero,neutral,nonancient,organic</x:v>
      </x:c>
      <x:c r="AC101" s="48" t="str">
        <x:v>主动；单位目标；主分类：位移；标签：位移；等级：3；魔耗：100/150/200；冷却：45/45/45；施法距离：600/900/1200；作用范围：—/—/—；持续时间：0.01/0.01/0.01。</x:v>
      </x:c>
      <x:c r="AD101" s="48" t="str">
        <x:v>1 / 600 / 2 / 900 / 3 / 1200 / 45</x:v>
      </x:c>
      <x:c r="AE101" s="48" t="str">
        <x:v>A</x:v>
      </x:c>
      <x:c r="AF101" s="48" t="str">
        <x:v>6.48b 地图内 UnitAbilities/AbilityData/AbilityStrings 与对象修改表</x:v>
      </x:c>
      <x:c r="AG101" s="18" t="str">
        <x:v>S1</x:v>
      </x:c>
    </x:row>
    <x:row r="102" ht="48" customHeight="1">
      <x:c r="A102" s="19" t="str">
        <x:v>Hmbr-1</x:v>
      </x:c>
      <x:c r="B102" s="19" t="str">
        <x:v>近卫军团</x:v>
      </x:c>
      <x:c r="C102" s="19" t="str">
        <x:v>清晨酒馆</x:v>
      </x:c>
      <x:c r="D102" s="19" t="str">
        <x:v>众神之王</x:v>
      </x:c>
      <x:c r="E102" s="19" t="str">
        <x:v>Lord of Olympia</x:v>
      </x:c>
      <x:c r="F102" s="19" t="str">
        <x:v>Hmbr</x:v>
      </x:c>
      <x:c r="G102" s="19" t="str">
        <x:v>Zeus</x:v>
      </x:c>
      <x:c r="H102" s="19" t="str">
        <x:v>INT</x:v>
      </x:c>
      <x:c r="I102" s="19" t="str">
        <x:v>远程</x:v>
      </x:c>
      <x:c r="J102" s="19" t="n">
        <x:v>1</x:v>
      </x:c>
      <x:c r="K102" s="19" t="str">
        <x:v>Arc Lightning</x:v>
      </x:c>
      <x:c r="L102" s="19" t="str">
        <x:v>A020</x:v>
      </x:c>
      <x:c r="M102" s="49" t="str">
        <x:v>否</x:v>
      </x:c>
      <x:c r="N102" s="49" t="n">
        <x:v>4</x:v>
      </x:c>
      <x:c r="O102" s="49" t="n">
        <x:v>1</x:v>
      </x:c>
      <x:c r="P102" s="49" t="n">
        <x:v>2</x:v>
      </x:c>
      <x:c r="Q102" s="19" t="str">
        <x:v>主动</x:v>
      </x:c>
      <x:c r="R102" s="19" t="str">
        <x:v>无目标/范围</x:v>
      </x:c>
      <x:c r="S102" s="19" t="str">
        <x:v>伤害</x:v>
      </x:c>
      <x:c r="T102" s="19" t="str">
        <x:v>伤害、范围效果</x:v>
      </x:c>
      <x:c r="U102" s="48" t="str">
        <x:v>主动；无目标/范围；主分类：伤害；标签：伤害、范围效果</x:v>
      </x:c>
      <x:c r="V102" s="48" t="str">
        <x:v>65/72/79/86</x:v>
      </x:c>
      <x:c r="W102" s="48" t="str">
        <x:v>2/2/2/2</x:v>
      </x:c>
      <x:c r="X102" s="48" t="str">
        <x:v>700/700/700/700</x:v>
      </x:c>
      <x:c r="Y102" s="48" t="str">
        <x:v>500/500/500/500</x:v>
      </x:c>
      <x:c r="Z102" s="48" t="str">
        <x:v>—/—/—/—</x:v>
      </x:c>
      <x:c r="AA102" s="48" t="str">
        <x:v>—/—/—/—</x:v>
      </x:c>
      <x:c r="AB102" s="48" t="str">
        <x:v>air,ground,enemy,neutral,organic/air,ground,enemy,neutral,organic/air,ground,enemy,neutral,organic/air,ground,enemy,neutral,organic</x:v>
      </x:c>
      <x:c r="AC102" s="48" t="str">
        <x:v>主动；无目标/范围；主分类：伤害；标签：伤害、范围效果；等级：4；魔耗：65/72/79/86；冷却：2/2/2/2；施法距离：700/700/700/700；作用范围：500/500/500/500；持续时间：—/—/—/—。</x:v>
      </x:c>
      <x:c r="AD102" s="48" t="str">
        <x:v>1 / 5 / 85 / 2 / 7 / 100 / 3 / 9 / 115 / 4 / 15 / 130</x:v>
      </x:c>
      <x:c r="AE102" s="48" t="str">
        <x:v>A</x:v>
      </x:c>
      <x:c r="AF102" s="48" t="str">
        <x:v>6.48b 地图内 UnitAbilities/AbilityData/AbilityStrings 与对象修改表</x:v>
      </x:c>
      <x:c r="AG102" s="18" t="str">
        <x:v>S1</x:v>
      </x:c>
    </x:row>
    <x:row r="103" ht="48" customHeight="1">
      <x:c r="A103" s="19" t="str">
        <x:v>Hmbr-2</x:v>
      </x:c>
      <x:c r="B103" s="19" t="str">
        <x:v>近卫军团</x:v>
      </x:c>
      <x:c r="C103" s="19" t="str">
        <x:v>清晨酒馆</x:v>
      </x:c>
      <x:c r="D103" s="19" t="str">
        <x:v>众神之王</x:v>
      </x:c>
      <x:c r="E103" s="19" t="str">
        <x:v>Lord of Olympia</x:v>
      </x:c>
      <x:c r="F103" s="19" t="str">
        <x:v>Hmbr</x:v>
      </x:c>
      <x:c r="G103" s="19" t="str">
        <x:v>Zeus</x:v>
      </x:c>
      <x:c r="H103" s="19" t="str">
        <x:v>INT</x:v>
      </x:c>
      <x:c r="I103" s="19" t="str">
        <x:v>远程</x:v>
      </x:c>
      <x:c r="J103" s="19" t="n">
        <x:v>2</x:v>
      </x:c>
      <x:c r="K103" s="19" t="str">
        <x:v>Lightning Bolt</x:v>
      </x:c>
      <x:c r="L103" s="19" t="str">
        <x:v>A0JC</x:v>
      </x:c>
      <x:c r="M103" s="49" t="str">
        <x:v>否</x:v>
      </x:c>
      <x:c r="N103" s="49" t="n">
        <x:v>4</x:v>
      </x:c>
      <x:c r="O103" s="49" t="n">
        <x:v>1</x:v>
      </x:c>
      <x:c r="P103" s="49" t="n">
        <x:v>2</x:v>
      </x:c>
      <x:c r="Q103" s="19" t="str">
        <x:v>主动</x:v>
      </x:c>
      <x:c r="R103" s="19" t="str">
        <x:v>单位目标</x:v>
      </x:c>
      <x:c r="S103" s="19" t="str">
        <x:v>召唤</x:v>
      </x:c>
      <x:c r="T103" s="19" t="str">
        <x:v>伤害、召唤</x:v>
      </x:c>
      <x:c r="U103" s="48" t="str">
        <x:v>主动；单位目标；主分类：召唤；标签：伤害、召唤</x:v>
      </x:c>
      <x:c r="V103" s="48" t="str">
        <x:v>75/95/115/135</x:v>
      </x:c>
      <x:c r="W103" s="48" t="str">
        <x:v>7/7/7/7</x:v>
      </x:c>
      <x:c r="X103" s="48" t="str">
        <x:v>700/700/700/700</x:v>
      </x:c>
      <x:c r="Y103" s="48" t="str">
        <x:v>—/—/—/—</x:v>
      </x:c>
      <x:c r="Z103" s="48" t="str">
        <x:v>0.01/0.01/0.01/0.01</x:v>
      </x:c>
      <x:c r="AA103" s="48" t="str">
        <x:v>0.01/0.01/0.01/0.01</x:v>
      </x:c>
      <x:c r="AB103" s="48" t="str">
        <x:v>air,ground,enemy,organic,neutral/air,ground,enemy,organic,neutral/air,ground,enemy,organic,neutral/air,ground,enemy,organic,neutral</x:v>
      </x:c>
      <x:c r="AC103" s="48" t="str">
        <x:v>主动；单位目标；主分类：召唤；标签：伤害、召唤；等级：4；魔耗：75/95/115/135；冷却：7/7/7/7；施法距离：700/700/700/700；作用范围：—/—/—/—；持续时间：0.01/0.01/0.01/0.01。</x:v>
      </x:c>
      <x:c r="AD103" s="48" t="str">
        <x:v>1 / 100 / 2 / 175 / 3 / 275 / 4 / 350 / 7</x:v>
      </x:c>
      <x:c r="AE103" s="48" t="str">
        <x:v>A</x:v>
      </x:c>
      <x:c r="AF103" s="48" t="str">
        <x:v>6.48b 地图内 UnitAbilities/AbilityData/AbilityStrings 与对象修改表</x:v>
      </x:c>
      <x:c r="AG103" s="18" t="str">
        <x:v>S1</x:v>
      </x:c>
    </x:row>
    <x:row r="104" ht="48" customHeight="1">
      <x:c r="A104" s="19" t="str">
        <x:v>Hmbr-3</x:v>
      </x:c>
      <x:c r="B104" s="19" t="str">
        <x:v>近卫军团</x:v>
      </x:c>
      <x:c r="C104" s="19" t="str">
        <x:v>清晨酒馆</x:v>
      </x:c>
      <x:c r="D104" s="19" t="str">
        <x:v>众神之王</x:v>
      </x:c>
      <x:c r="E104" s="19" t="str">
        <x:v>Lord of Olympia</x:v>
      </x:c>
      <x:c r="F104" s="19" t="str">
        <x:v>Hmbr</x:v>
      </x:c>
      <x:c r="G104" s="19" t="str">
        <x:v>Zeus</x:v>
      </x:c>
      <x:c r="H104" s="19" t="str">
        <x:v>INT</x:v>
      </x:c>
      <x:c r="I104" s="19" t="str">
        <x:v>远程</x:v>
      </x:c>
      <x:c r="J104" s="19" t="n">
        <x:v>3</x:v>
      </x:c>
      <x:c r="K104" s="19" t="str">
        <x:v>Thundergod's Wrath</x:v>
      </x:c>
      <x:c r="L104" s="19" t="str">
        <x:v>A07C</x:v>
      </x:c>
      <x:c r="M104" s="49" t="str">
        <x:v>是</x:v>
      </x:c>
      <x:c r="N104" s="49" t="n">
        <x:v>3</x:v>
      </x:c>
      <x:c r="O104" s="49" t="n">
        <x:v>6</x:v>
      </x:c>
      <x:c r="P104" s="49" t="n">
        <x:v>5</x:v>
      </x:c>
      <x:c r="Q104" s="19" t="str">
        <x:v>主动</x:v>
      </x:c>
      <x:c r="R104" s="19" t="str">
        <x:v>无目标/范围</x:v>
      </x:c>
      <x:c r="S104" s="19" t="str">
        <x:v>伤害</x:v>
      </x:c>
      <x:c r="T104" s="19" t="str">
        <x:v>伤害、范围效果</x:v>
      </x:c>
      <x:c r="U104" s="48" t="str">
        <x:v>主动；无目标/范围；主分类：伤害；标签：伤害、范围效果</x:v>
      </x:c>
      <x:c r="V104" s="48" t="str">
        <x:v>225/325/450</x:v>
      </x:c>
      <x:c r="W104" s="48" t="str">
        <x:v>120/120/120</x:v>
      </x:c>
      <x:c r="X104" s="48" t="str">
        <x:v>—/—/—</x:v>
      </x:c>
      <x:c r="Y104" s="48" t="str">
        <x:v>—/—/—</x:v>
      </x:c>
      <x:c r="Z104" s="48" t="str">
        <x:v>0.01/0.01/0.01</x:v>
      </x:c>
      <x:c r="AA104" s="48" t="str">
        <x:v>0.01/0.01/0.01</x:v>
      </x:c>
      <x:c r="AB104" s="48" t="str">
        <x:v>ground,neutral,organic/ground,neutral,organic/ground,neutral,organic</x:v>
      </x:c>
      <x:c r="AC104" s="48" t="str">
        <x:v>主动；无目标/范围；主分类：伤害；标签：伤害、范围效果；等级：3；魔耗：225/325/450；冷却：120/120/120；施法距离：—/—/—；作用范围：—/—/—；持续时间：0.01/0.01/0.01。</x:v>
      </x:c>
      <x:c r="AD104" s="48" t="str">
        <x:v>1 / 210 / 2 / 335 / 3 / 460 / 120</x:v>
      </x:c>
      <x:c r="AE104" s="48" t="str">
        <x:v>A</x:v>
      </x:c>
      <x:c r="AF104" s="48" t="str">
        <x:v>6.48b 地图内 UnitAbilities/AbilityData/AbilityStrings 与对象修改表</x:v>
      </x:c>
      <x:c r="AG104" s="18" t="str">
        <x:v>S1</x:v>
      </x:c>
    </x:row>
    <x:row r="105" ht="48" customHeight="1">
      <x:c r="A105" s="19" t="str">
        <x:v>Hmbr-4</x:v>
      </x:c>
      <x:c r="B105" s="19" t="str">
        <x:v>近卫军团</x:v>
      </x:c>
      <x:c r="C105" s="19" t="str">
        <x:v>清晨酒馆</x:v>
      </x:c>
      <x:c r="D105" s="19" t="str">
        <x:v>众神之王</x:v>
      </x:c>
      <x:c r="E105" s="19" t="str">
        <x:v>Lord of Olympia</x:v>
      </x:c>
      <x:c r="F105" s="19" t="str">
        <x:v>Hmbr</x:v>
      </x:c>
      <x:c r="G105" s="19" t="str">
        <x:v>Zeus</x:v>
      </x:c>
      <x:c r="H105" s="19" t="str">
        <x:v>INT</x:v>
      </x:c>
      <x:c r="I105" s="19" t="str">
        <x:v>远程</x:v>
      </x:c>
      <x:c r="J105" s="19" t="n">
        <x:v>4</x:v>
      </x:c>
      <x:c r="K105" s="19" t="str">
        <x:v>Static Field</x:v>
      </x:c>
      <x:c r="L105" s="19" t="str">
        <x:v>A0N5</x:v>
      </x:c>
      <x:c r="M105" s="49" t="str">
        <x:v>否</x:v>
      </x:c>
      <x:c r="N105" s="49" t="n">
        <x:v>4</x:v>
      </x:c>
      <x:c r="O105" s="49" t="n">
        <x:v>1</x:v>
      </x:c>
      <x:c r="P105" s="49" t="n">
        <x:v>2</x:v>
      </x:c>
      <x:c r="Q105" s="19" t="str">
        <x:v>被动</x:v>
      </x:c>
      <x:c r="R105" s="19" t="str">
        <x:v>被动</x:v>
      </x:c>
      <x:c r="S105" s="19" t="str">
        <x:v>功能/特殊</x:v>
      </x:c>
      <x:c r="T105" s="19" t="str">
        <x:v>范围效果、被动触发</x:v>
      </x:c>
      <x:c r="U105" s="48" t="str">
        <x:v>被动；被动；主分类：功能/特殊；标签：范围效果、被动触发</x:v>
      </x:c>
      <x:c r="V105" s="48" t="str">
        <x:v>—/—/—/—</x:v>
      </x:c>
      <x:c r="W105" s="48" t="str">
        <x:v>—/—/—/—</x:v>
      </x:c>
      <x:c r="X105" s="48" t="str">
        <x:v>—/—/—/—</x:v>
      </x:c>
      <x:c r="Y105" s="48" t="str">
        <x:v>—/—/—/—</x:v>
      </x:c>
      <x:c r="Z105" s="48" t="str">
        <x:v>—/—/—/—</x:v>
      </x:c>
      <x:c r="AA105" s="48" t="str">
        <x:v>—/—/—/—</x:v>
      </x:c>
      <x:c r="AB105" s="48" t="str">
        <x:v>—/—/—/—</x:v>
      </x:c>
      <x:c r="AC105" s="48" t="str">
        <x:v>被动；被动；主分类：功能/特殊；标签：范围效果、被动触发；等级：4；魔耗：—/—/—/—；冷却：—/—/—/—；施法距离：—/—/—/—；作用范围：—/—/—/—；持续时间：—/—/—/—。</x:v>
      </x:c>
      <x:c r="AD105" s="48" t="str">
        <x:v>800 / 6% / 8% / 10% / 12% / -4 / 11% / 1 / 2 / 3 / 4</x:v>
      </x:c>
      <x:c r="AE105" s="48" t="str">
        <x:v>A</x:v>
      </x:c>
      <x:c r="AF105" s="48" t="str">
        <x:v>VERSION CONFLICT: runtime JASS formula and surviving level-4 tooltip disagree; both are retained.</x:v>
      </x:c>
      <x:c r="AG105" s="18" t="str">
        <x:v>S1</x:v>
      </x:c>
    </x:row>
    <x:row r="106" ht="48" customHeight="1">
      <x:c r="A106" s="19" t="str">
        <x:v>Emoo-1</x:v>
      </x:c>
      <x:c r="B106" s="19" t="str">
        <x:v>近卫军团</x:v>
      </x:c>
      <x:c r="C106" s="19" t="str">
        <x:v>清晨酒馆</x:v>
      </x:c>
      <x:c r="D106" s="19" t="str">
        <x:v>魅惑魔女</x:v>
      </x:c>
      <x:c r="E106" s="19" t="str">
        <x:v>Enchantress</x:v>
      </x:c>
      <x:c r="F106" s="19" t="str">
        <x:v>Emoo</x:v>
      </x:c>
      <x:c r="G106" s="19" t="str">
        <x:v>Aiushtha</x:v>
      </x:c>
      <x:c r="H106" s="19" t="str">
        <x:v>INT</x:v>
      </x:c>
      <x:c r="I106" s="19" t="str">
        <x:v>远程</x:v>
      </x:c>
      <x:c r="J106" s="19" t="n">
        <x:v>1</x:v>
      </x:c>
      <x:c r="K106" s="19" t="str">
        <x:v>Impetus</x:v>
      </x:c>
      <x:c r="L106" s="19" t="str">
        <x:v>A0DY</x:v>
      </x:c>
      <x:c r="M106" s="49" t="str">
        <x:v>否</x:v>
      </x:c>
      <x:c r="N106" s="49" t="n">
        <x:v>4</x:v>
      </x:c>
      <x:c r="O106" s="49" t="n">
        <x:v>1</x:v>
      </x:c>
      <x:c r="P106" s="49" t="n">
        <x:v>2</x:v>
      </x:c>
      <x:c r="Q106" s="19" t="str">
        <x:v>开关/自动施放</x:v>
      </x:c>
      <x:c r="R106" s="19" t="str">
        <x:v>—</x:v>
      </x:c>
      <x:c r="S106" s="19" t="str">
        <x:v>伤害</x:v>
      </x:c>
      <x:c r="T106" s="19" t="str">
        <x:v>伤害</x:v>
      </x:c>
      <x:c r="U106" s="48" t="str">
        <x:v>开关/自动施放；—；主分类：伤害；标签：伤害</x:v>
      </x:c>
      <x:c r="V106" s="48" t="str">
        <x:v>40/45/50/55</x:v>
      </x:c>
      <x:c r="W106" s="48" t="str">
        <x:v>6/5/4/—</x:v>
      </x:c>
      <x:c r="X106" s="48" t="str">
        <x:v>550/550/550/550</x:v>
      </x:c>
      <x:c r="Y106" s="48" t="str">
        <x:v>—/—/—/—</x:v>
      </x:c>
      <x:c r="Z106" s="48" t="str">
        <x:v>1/1/1/1</x:v>
      </x:c>
      <x:c r="AA106" s="48" t="str">
        <x:v>1/1/1/1</x:v>
      </x:c>
      <x:c r="AB106" s="48" t="str">
        <x:v>air,enemies,ground,organic/air,enemies,ground,organic/air,enemies,ground,organic/air,enemies,ground,organic</x:v>
      </x:c>
      <x:c r="AC106" s="48" t="str">
        <x:v>开关/自动施放；—；主分类：伤害；标签：伤害；等级：4；魔耗：40/45/50/55；冷却：6/5/4/—；施法距离：550/550/550/550；作用范围：—/—/—/—；持续时间：1/1/1/1。</x:v>
      </x:c>
      <x:c r="AD106" s="48" t="str">
        <x:v>1 / 4% / 2 / 8% / 3 / 12% / 4 / 16% / 6 / 5 / 0</x:v>
      </x:c>
      <x:c r="AE106" s="48" t="str">
        <x:v>A</x:v>
      </x:c>
      <x:c r="AF106" s="48" t="str">
        <x:v>6.48b 地图内 UnitAbilities/AbilityData/AbilityStrings 与对象修改表</x:v>
      </x:c>
      <x:c r="AG106" s="18" t="str">
        <x:v>S1</x:v>
      </x:c>
    </x:row>
    <x:row r="107" ht="48" customHeight="1">
      <x:c r="A107" s="19" t="str">
        <x:v>Emoo-2</x:v>
      </x:c>
      <x:c r="B107" s="19" t="str">
        <x:v>近卫军团</x:v>
      </x:c>
      <x:c r="C107" s="19" t="str">
        <x:v>清晨酒馆</x:v>
      </x:c>
      <x:c r="D107" s="19" t="str">
        <x:v>魅惑魔女</x:v>
      </x:c>
      <x:c r="E107" s="19" t="str">
        <x:v>Enchantress</x:v>
      </x:c>
      <x:c r="F107" s="19" t="str">
        <x:v>Emoo</x:v>
      </x:c>
      <x:c r="G107" s="19" t="str">
        <x:v>Aiushtha</x:v>
      </x:c>
      <x:c r="H107" s="19" t="str">
        <x:v>INT</x:v>
      </x:c>
      <x:c r="I107" s="19" t="str">
        <x:v>远程</x:v>
      </x:c>
      <x:c r="J107" s="19" t="n">
        <x:v>2</x:v>
      </x:c>
      <x:c r="K107" s="19" t="str">
        <x:v>Enchant</x:v>
      </x:c>
      <x:c r="L107" s="19" t="str">
        <x:v>A0DX</x:v>
      </x:c>
      <x:c r="M107" s="49" t="str">
        <x:v>否</x:v>
      </x:c>
      <x:c r="N107" s="49" t="n">
        <x:v>4</x:v>
      </x:c>
      <x:c r="O107" s="49" t="n">
        <x:v>1</x:v>
      </x:c>
      <x:c r="P107" s="49" t="n">
        <x:v>2</x:v>
      </x:c>
      <x:c r="Q107" s="19" t="str">
        <x:v>开关/自动施放</x:v>
      </x:c>
      <x:c r="R107" s="19" t="str">
        <x:v>单位目标</x:v>
      </x:c>
      <x:c r="S107" s="19" t="str">
        <x:v>软控</x:v>
      </x:c>
      <x:c r="T107" s="19" t="str">
        <x:v>软控</x:v>
      </x:c>
      <x:c r="U107" s="48" t="str">
        <x:v>开关/自动施放；单位目标；主分类：软控；标签：软控</x:v>
      </x:c>
      <x:c r="V107" s="48" t="str">
        <x:v>65/65/65/65</x:v>
      </x:c>
      <x:c r="W107" s="48" t="str">
        <x:v>30/25/20/15</x:v>
      </x:c>
      <x:c r="X107" s="48" t="str">
        <x:v>700/700/700/700</x:v>
      </x:c>
      <x:c r="Y107" s="48" t="str">
        <x:v>—/—/—/—</x:v>
      </x:c>
      <x:c r="Z107" s="48" t="str">
        <x:v>0.01/0.01/0.01/0.01</x:v>
      </x:c>
      <x:c r="AA107" s="48" t="str">
        <x:v>7/7/7/7</x:v>
      </x:c>
      <x:c r="AB107" s="48" t="str">
        <x:v>air,enemies,ground,organic/air,enemies,ground,organic/air,enemies,ground,organic/air,enemies,ground,organic</x:v>
      </x:c>
      <x:c r="AC107" s="48" t="str">
        <x:v>开关/自动施放；单位目标；主分类：软控；标签：软控；等级：4；魔耗：65/65/65/65；冷却：30/25/20/15；施法距离：700/700/700/700；作用范围：—/—/—/—；持续时间：0.01/0.01/0.01/0.01。</x:v>
      </x:c>
      <x:c r="AD107" s="48" t="str">
        <x:v>1 / 10% / 2 / 20% / 3 / 30% / 4 / 40% / 30 / 25 / 20 / 15 / 7</x:v>
      </x:c>
      <x:c r="AE107" s="48" t="str">
        <x:v>A</x:v>
      </x:c>
      <x:c r="AF107" s="48" t="str">
        <x:v>6.48b 地图内 UnitAbilities/AbilityData/AbilityStrings 与对象修改表</x:v>
      </x:c>
      <x:c r="AG107" s="18" t="str">
        <x:v>S1</x:v>
      </x:c>
    </x:row>
    <x:row r="108" ht="48" customHeight="1">
      <x:c r="A108" s="19" t="str">
        <x:v>Emoo-3</x:v>
      </x:c>
      <x:c r="B108" s="19" t="str">
        <x:v>近卫军团</x:v>
      </x:c>
      <x:c r="C108" s="19" t="str">
        <x:v>清晨酒馆</x:v>
      </x:c>
      <x:c r="D108" s="19" t="str">
        <x:v>魅惑魔女</x:v>
      </x:c>
      <x:c r="E108" s="19" t="str">
        <x:v>Enchantress</x:v>
      </x:c>
      <x:c r="F108" s="19" t="str">
        <x:v>Emoo</x:v>
      </x:c>
      <x:c r="G108" s="19" t="str">
        <x:v>Aiushtha</x:v>
      </x:c>
      <x:c r="H108" s="19" t="str">
        <x:v>INT</x:v>
      </x:c>
      <x:c r="I108" s="19" t="str">
        <x:v>远程</x:v>
      </x:c>
      <x:c r="J108" s="19" t="n">
        <x:v>3</x:v>
      </x:c>
      <x:c r="K108" s="19" t="str">
        <x:v>Nature's Attendants</x:v>
      </x:c>
      <x:c r="L108" s="19" t="str">
        <x:v>A01B</x:v>
      </x:c>
      <x:c r="M108" s="49" t="str">
        <x:v>否</x:v>
      </x:c>
      <x:c r="N108" s="49" t="n">
        <x:v>4</x:v>
      </x:c>
      <x:c r="O108" s="49" t="n">
        <x:v>1</x:v>
      </x:c>
      <x:c r="P108" s="49" t="n">
        <x:v>2</x:v>
      </x:c>
      <x:c r="Q108" s="19" t="str">
        <x:v>主动</x:v>
      </x:c>
      <x:c r="R108" s="19" t="str">
        <x:v>无目标/范围</x:v>
      </x:c>
      <x:c r="S108" s="19" t="str">
        <x:v>治疗/回复</x:v>
      </x:c>
      <x:c r="T108" s="19" t="str">
        <x:v>治疗/回复、范围效果</x:v>
      </x:c>
      <x:c r="U108" s="48" t="str">
        <x:v>主动；无目标/范围；主分类：治疗/回复；标签：治疗/回复、范围效果</x:v>
      </x:c>
      <x:c r="V108" s="48" t="str">
        <x:v>125/140/155/170</x:v>
      </x:c>
      <x:c r="W108" s="48" t="str">
        <x:v>45/45/45/45</x:v>
      </x:c>
      <x:c r="X108" s="48" t="str">
        <x:v>—/—/—/—</x:v>
      </x:c>
      <x:c r="Y108" s="48" t="str">
        <x:v>300/300/300/300</x:v>
      </x:c>
      <x:c r="Z108" s="48" t="str">
        <x:v>12/12/12/12</x:v>
      </x:c>
      <x:c r="AA108" s="48" t="str">
        <x:v>12/12/12/12</x:v>
      </x:c>
      <x:c r="AB108" s="48" t="str">
        <x:v>—/—/—/—</x:v>
      </x:c>
      <x:c r="AC108" s="48" t="str">
        <x:v>主动；无目标/范围；主分类：治疗/回复；标签：治疗/回复、范围效果；等级：4；魔耗：125/140/155/170；冷却：45/45/45/45；施法距离：—/—/—/—；作用范围：300/300/300/300；持续时间：12/12/12/12。</x:v>
      </x:c>
      <x:c r="AD108" s="48" t="str">
        <x:v>300 / 10 / 1 / 3 / 2 / 5 / 7 / 4 / 9 / 45</x:v>
      </x:c>
      <x:c r="AE108" s="48" t="str">
        <x:v>A</x:v>
      </x:c>
      <x:c r="AF108" s="48" t="str">
        <x:v>6.48b 地图内 UnitAbilities/AbilityData/AbilityStrings 与对象修改表</x:v>
      </x:c>
      <x:c r="AG108" s="18" t="str">
        <x:v>S1</x:v>
      </x:c>
    </x:row>
    <x:row r="109" ht="48" customHeight="1">
      <x:c r="A109" s="19" t="str">
        <x:v>Emoo-4</x:v>
      </x:c>
      <x:c r="B109" s="19" t="str">
        <x:v>近卫军团</x:v>
      </x:c>
      <x:c r="C109" s="19" t="str">
        <x:v>清晨酒馆</x:v>
      </x:c>
      <x:c r="D109" s="19" t="str">
        <x:v>魅惑魔女</x:v>
      </x:c>
      <x:c r="E109" s="19" t="str">
        <x:v>Enchantress</x:v>
      </x:c>
      <x:c r="F109" s="19" t="str">
        <x:v>Emoo</x:v>
      </x:c>
      <x:c r="G109" s="19" t="str">
        <x:v>Aiushtha</x:v>
      </x:c>
      <x:c r="H109" s="19" t="str">
        <x:v>INT</x:v>
      </x:c>
      <x:c r="I109" s="19" t="str">
        <x:v>远程</x:v>
      </x:c>
      <x:c r="J109" s="19" t="n">
        <x:v>4</x:v>
      </x:c>
      <x:c r="K109" s="19" t="str">
        <x:v>Untouchable</x:v>
      </x:c>
      <x:c r="L109" s="19" t="str">
        <x:v>A0DW</x:v>
      </x:c>
      <x:c r="M109" s="49" t="str">
        <x:v>是</x:v>
      </x:c>
      <x:c r="N109" s="49" t="n">
        <x:v>3</x:v>
      </x:c>
      <x:c r="O109" s="49" t="n">
        <x:v>6</x:v>
      </x:c>
      <x:c r="P109" s="49" t="n">
        <x:v>5</x:v>
      </x:c>
      <x:c r="Q109" s="19" t="str">
        <x:v>被动</x:v>
      </x:c>
      <x:c r="R109" s="19" t="str">
        <x:v>被动</x:v>
      </x:c>
      <x:c r="S109" s="19" t="str">
        <x:v>软控</x:v>
      </x:c>
      <x:c r="T109" s="19" t="str">
        <x:v>软控、被动触发</x:v>
      </x:c>
      <x:c r="U109" s="48" t="str">
        <x:v>被动；被动；主分类：软控；标签：软控、被动触发</x:v>
      </x:c>
      <x:c r="V109" s="48" t="str">
        <x:v>—/—/—</x:v>
      </x:c>
      <x:c r="W109" s="48" t="str">
        <x:v>—/—/—</x:v>
      </x:c>
      <x:c r="X109" s="48" t="str">
        <x:v>—/—/—</x:v>
      </x:c>
      <x:c r="Y109" s="48" t="str">
        <x:v>—/—/—</x:v>
      </x:c>
      <x:c r="Z109" s="48" t="str">
        <x:v>—/—/—</x:v>
      </x:c>
      <x:c r="AA109" s="48" t="str">
        <x:v>—/—/—</x:v>
      </x:c>
      <x:c r="AB109" s="48" t="str">
        <x:v>—/—/—</x:v>
      </x:c>
      <x:c r="AC109" s="48" t="str">
        <x:v>被动；被动；主分类：软控；标签：软控、被动触发；等级：3；魔耗：—/—/—；冷却：—/—/—；施法距离：—/—/—；作用范围：—/—/—；持续时间：—/—/—。</x:v>
      </x:c>
      <x:c r="AD109" s="48" t="str">
        <x:v>1 / 50% / 2 / 70% / 3 / 90%</x:v>
      </x:c>
      <x:c r="AE109" s="48" t="str">
        <x:v>A</x:v>
      </x:c>
      <x:c r="AF109" s="48" t="str">
        <x:v>6.48b 地图内 UnitAbilities/AbilityData/AbilityStrings 与对象修改表</x:v>
      </x:c>
      <x:c r="AG109" s="18" t="str">
        <x:v>S1</x:v>
      </x:c>
    </x:row>
    <x:row r="110" ht="48" customHeight="1">
      <x:c r="A110" s="19" t="str">
        <x:v>O00P-1</x:v>
      </x:c>
      <x:c r="B110" s="19" t="str">
        <x:v>近卫军团</x:v>
      </x:c>
      <x:c r="C110" s="19" t="str">
        <x:v>清晨酒馆</x:v>
      </x:c>
      <x:c r="D110" s="19" t="str">
        <x:v>变体精灵</x:v>
      </x:c>
      <x:c r="E110" s="19" t="str">
        <x:v>Morphling</x:v>
      </x:c>
      <x:c r="F110" s="19" t="str">
        <x:v>O00P</x:v>
      </x:c>
      <x:c r="G110" s="19" t="str">
        <x:v>Morphling</x:v>
      </x:c>
      <x:c r="H110" s="19" t="str">
        <x:v>AGI</x:v>
      </x:c>
      <x:c r="I110" s="19" t="str">
        <x:v>远程</x:v>
      </x:c>
      <x:c r="J110" s="19" t="n">
        <x:v>1</x:v>
      </x:c>
      <x:c r="K110" s="19" t="str">
        <x:v>Waveform</x:v>
      </x:c>
      <x:c r="L110" s="19" t="str">
        <x:v>A0FN</x:v>
      </x:c>
      <x:c r="M110" s="49" t="str">
        <x:v>否</x:v>
      </x:c>
      <x:c r="N110" s="49" t="n">
        <x:v>4</x:v>
      </x:c>
      <x:c r="O110" s="49" t="n">
        <x:v>1</x:v>
      </x:c>
      <x:c r="P110" s="49" t="n">
        <x:v>2</x:v>
      </x:c>
      <x:c r="Q110" s="19" t="str">
        <x:v>主动</x:v>
      </x:c>
      <x:c r="R110" s="19" t="str">
        <x:v>无目标或脚本目标</x:v>
      </x:c>
      <x:c r="S110" s="19" t="str">
        <x:v>召唤</x:v>
      </x:c>
      <x:c r="T110" s="19" t="str">
        <x:v>伤害、召唤</x:v>
      </x:c>
      <x:c r="U110" s="48" t="str">
        <x:v>主动；无目标或脚本目标；主分类：召唤；标签：伤害、召唤</x:v>
      </x:c>
      <x:c r="V110" s="48" t="str">
        <x:v>140/155/160/165</x:v>
      </x:c>
      <x:c r="W110" s="48" t="str">
        <x:v>11/11/11/11</x:v>
      </x:c>
      <x:c r="X110" s="48" t="str">
        <x:v>1000/1000/1000/1000</x:v>
      </x:c>
      <x:c r="Y110" s="48" t="str">
        <x:v>—/—/—/—</x:v>
      </x:c>
      <x:c r="Z110" s="48" t="str">
        <x:v>—/—/—/—</x:v>
      </x:c>
      <x:c r="AA110" s="48" t="str">
        <x:v>—/—/—/—</x:v>
      </x:c>
      <x:c r="AB110" s="48" t="str">
        <x:v>air,enemies,ground,neutral,organic/air,enemies,ground,neutral,organic/air,enemies,ground,neutral,organic/air,enemies,ground,neutral,organic</x:v>
      </x:c>
      <x:c r="AC110" s="48" t="str">
        <x:v>主动；无目标或脚本目标；主分类：召唤；标签：伤害、召唤；等级：4；魔耗：140/155/160/165；冷却：11/11/11/11；施法距离：1000/1000/1000/1000；作用范围：—/—/—/—；持续时间：—/—/—/—。</x:v>
      </x:c>
      <x:c r="AD110" s="48" t="str">
        <x:v>1 / 100 / 2 / 175 / 3 / 250 / 4 / 325 / 11</x:v>
      </x:c>
      <x:c r="AE110" s="48" t="str">
        <x:v>A</x:v>
      </x:c>
      <x:c r="AF110" s="48" t="str">
        <x:v>6.48b 地图内 UnitAbilities/AbilityData/AbilityStrings 与对象修改表</x:v>
      </x:c>
      <x:c r="AG110" s="18" t="str">
        <x:v>S1</x:v>
      </x:c>
    </x:row>
    <x:row r="111" ht="48" customHeight="1">
      <x:c r="A111" s="19" t="str">
        <x:v>O00P-2</x:v>
      </x:c>
      <x:c r="B111" s="19" t="str">
        <x:v>近卫军团</x:v>
      </x:c>
      <x:c r="C111" s="19" t="str">
        <x:v>清晨酒馆</x:v>
      </x:c>
      <x:c r="D111" s="19" t="str">
        <x:v>变体精灵</x:v>
      </x:c>
      <x:c r="E111" s="19" t="str">
        <x:v>Morphling</x:v>
      </x:c>
      <x:c r="F111" s="19" t="str">
        <x:v>O00P</x:v>
      </x:c>
      <x:c r="G111" s="19" t="str">
        <x:v>Morphling</x:v>
      </x:c>
      <x:c r="H111" s="19" t="str">
        <x:v>AGI</x:v>
      </x:c>
      <x:c r="I111" s="19" t="str">
        <x:v>远程</x:v>
      </x:c>
      <x:c r="J111" s="19" t="n">
        <x:v>2</x:v>
      </x:c>
      <x:c r="K111" s="19" t="str">
        <x:v>Adaptive Strike</x:v>
      </x:c>
      <x:c r="L111" s="19" t="str">
        <x:v>A0G6</x:v>
      </x:c>
      <x:c r="M111" s="49" t="str">
        <x:v>否</x:v>
      </x:c>
      <x:c r="N111" s="49" t="n">
        <x:v>4</x:v>
      </x:c>
      <x:c r="O111" s="49" t="n">
        <x:v>1</x:v>
      </x:c>
      <x:c r="P111" s="49" t="n">
        <x:v>2</x:v>
      </x:c>
      <x:c r="Q111" s="19" t="str">
        <x:v>主动</x:v>
      </x:c>
      <x:c r="R111" s="19" t="str">
        <x:v>单位目标</x:v>
      </x:c>
      <x:c r="S111" s="19" t="str">
        <x:v>硬控</x:v>
      </x:c>
      <x:c r="T111" s="19" t="str">
        <x:v>伤害、硬控</x:v>
      </x:c>
      <x:c r="U111" s="48" t="str">
        <x:v>主动；单位目标；主分类：硬控；标签：伤害、硬控</x:v>
      </x:c>
      <x:c r="V111" s="48" t="str">
        <x:v>100/100/100/100</x:v>
      </x:c>
      <x:c r="W111" s="48" t="str">
        <x:v>20/20/20/20</x:v>
      </x:c>
      <x:c r="X111" s="48" t="str">
        <x:v>600/700/800/900</x:v>
      </x:c>
      <x:c r="Y111" s="48" t="str">
        <x:v>—/—/—/—</x:v>
      </x:c>
      <x:c r="Z111" s="48" t="str">
        <x:v>0.01/0.01/0.01/0.01</x:v>
      </x:c>
      <x:c r="AA111" s="48" t="str">
        <x:v>0.01/0.01/0.01/0.01</x:v>
      </x:c>
      <x:c r="AB111" s="48" t="str">
        <x:v>air,enemies,ground,neutral,organic/air,enemies,ground,neutral,organic/air,enemies,ground,neutral,organic/air,enemies,ground,neutral,organic</x:v>
      </x:c>
      <x:c r="AC111" s="48" t="str">
        <x:v>主动；单位目标；主分类：硬控；标签：伤害、硬控；等级：4；魔耗：100/100/100/100；冷却：20/20/20/20；施法距离：600/700/800/900；作用范围：—/—/—/—；持续时间：0.01/0.01/0.01/0.01。</x:v>
      </x:c>
      <x:c r="AD111" s="48" t="str">
        <x:v>1 / 30 / 1.4 / 2 / 60 / 1.8 / 3 / 90 / 2.2 / 4 / 120 / 2.6 / 20</x:v>
      </x:c>
      <x:c r="AE111" s="48" t="str">
        <x:v>A</x:v>
      </x:c>
      <x:c r="AF111" s="48" t="str">
        <x:v>6.48b 地图内 UnitAbilities/AbilityData/AbilityStrings 与对象修改表</x:v>
      </x:c>
      <x:c r="AG111" s="18" t="str">
        <x:v>S1</x:v>
      </x:c>
    </x:row>
    <x:row r="112" ht="48" customHeight="1">
      <x:c r="A112" s="19" t="str">
        <x:v>O00P-3</x:v>
      </x:c>
      <x:c r="B112" s="19" t="str">
        <x:v>近卫军团</x:v>
      </x:c>
      <x:c r="C112" s="19" t="str">
        <x:v>清晨酒馆</x:v>
      </x:c>
      <x:c r="D112" s="19" t="str">
        <x:v>变体精灵</x:v>
      </x:c>
      <x:c r="E112" s="19" t="str">
        <x:v>Morphling</x:v>
      </x:c>
      <x:c r="F112" s="19" t="str">
        <x:v>O00P</x:v>
      </x:c>
      <x:c r="G112" s="19" t="str">
        <x:v>Morphling</x:v>
      </x:c>
      <x:c r="H112" s="19" t="str">
        <x:v>AGI</x:v>
      </x:c>
      <x:c r="I112" s="19" t="str">
        <x:v>远程</x:v>
      </x:c>
      <x:c r="J112" s="19" t="n">
        <x:v>3</x:v>
      </x:c>
      <x:c r="K112" s="19" t="str">
        <x:v>Morph</x:v>
      </x:c>
      <x:c r="L112" s="19" t="str">
        <x:v>A0KX</x:v>
      </x:c>
      <x:c r="M112" s="49" t="str">
        <x:v>否</x:v>
      </x:c>
      <x:c r="N112" s="49" t="n">
        <x:v>4</x:v>
      </x:c>
      <x:c r="O112" s="49" t="n">
        <x:v>1</x:v>
      </x:c>
      <x:c r="P112" s="49" t="n">
        <x:v>2</x:v>
      </x:c>
      <x:c r="Q112" s="19" t="str">
        <x:v>开关/自动施放</x:v>
      </x:c>
      <x:c r="R112" s="19" t="str">
        <x:v>—</x:v>
      </x:c>
      <x:c r="S112" s="19" t="str">
        <x:v>资源机制</x:v>
      </x:c>
      <x:c r="T112" s="19" t="str">
        <x:v>资源机制</x:v>
      </x:c>
      <x:c r="U112" s="48" t="str">
        <x:v>开关/自动施放；—；主分类：资源机制；标签：资源机制</x:v>
      </x:c>
      <x:c r="V112" s="48" t="str">
        <x:v>—/—/—/—</x:v>
      </x:c>
      <x:c r="W112" s="48" t="str">
        <x:v>—/—/—/—</x:v>
      </x:c>
      <x:c r="X112" s="48" t="str">
        <x:v>—/—/—/—</x:v>
      </x:c>
      <x:c r="Y112" s="48" t="str">
        <x:v>—/—/—/—</x:v>
      </x:c>
      <x:c r="Z112" s="48" t="str">
        <x:v>—/—/—/—</x:v>
      </x:c>
      <x:c r="AA112" s="48" t="str">
        <x:v>—/—/—/—</x:v>
      </x:c>
      <x:c r="AB112" s="48" t="str">
        <x:v>air,ground,enemy,organic,neutral/air,ground,enemy,organic,neutral/air,ground,enemy,organic,neutral/air,ground,enemy,organic,neutral</x:v>
      </x:c>
      <x:c r="AC112" s="48" t="str">
        <x:v>开关/自动施放；—；主分类：资源机制；标签：资源机制；等级：4；魔耗：—/—/—/—；冷却：—/—/—/—；施法距离：—/—/—/—；作用范围：—/—/—/—；持续时间：—/—/—/—。</x:v>
      </x:c>
      <x:c r="AD112" s="48" t="str">
        <x:v>1 / 2 / 4 / 3 / 6 / 8 / 20</x:v>
      </x:c>
      <x:c r="AE112" s="48" t="str">
        <x:v>A</x:v>
      </x:c>
      <x:c r="AF112" s="48" t="str">
        <x:v>6.48b 地图内 UnitAbilities/AbilityData/AbilityStrings 与对象修改表</x:v>
      </x:c>
      <x:c r="AG112" s="18" t="str">
        <x:v>S1</x:v>
      </x:c>
    </x:row>
    <x:row r="113" ht="48" customHeight="1">
      <x:c r="A113" s="19" t="str">
        <x:v>O00P-4</x:v>
      </x:c>
      <x:c r="B113" s="19" t="str">
        <x:v>近卫军团</x:v>
      </x:c>
      <x:c r="C113" s="19" t="str">
        <x:v>清晨酒馆</x:v>
      </x:c>
      <x:c r="D113" s="19" t="str">
        <x:v>变体精灵</x:v>
      </x:c>
      <x:c r="E113" s="19" t="str">
        <x:v>Morphling</x:v>
      </x:c>
      <x:c r="F113" s="19" t="str">
        <x:v>O00P</x:v>
      </x:c>
      <x:c r="G113" s="19" t="str">
        <x:v>Morphling</x:v>
      </x:c>
      <x:c r="H113" s="19" t="str">
        <x:v>AGI</x:v>
      </x:c>
      <x:c r="I113" s="19" t="str">
        <x:v>远程</x:v>
      </x:c>
      <x:c r="J113" s="19" t="n">
        <x:v>4</x:v>
      </x:c>
      <x:c r="K113" s="19" t="str">
        <x:v>Replicate</x:v>
      </x:c>
      <x:c r="L113" s="19" t="str">
        <x:v>A0G8</x:v>
      </x:c>
      <x:c r="M113" s="49" t="str">
        <x:v>是</x:v>
      </x:c>
      <x:c r="N113" s="49" t="n">
        <x:v>3</x:v>
      </x:c>
      <x:c r="O113" s="49" t="n">
        <x:v>6</x:v>
      </x:c>
      <x:c r="P113" s="49" t="n">
        <x:v>5</x:v>
      </x:c>
      <x:c r="Q113" s="19" t="str">
        <x:v>主动</x:v>
      </x:c>
      <x:c r="R113" s="19" t="str">
        <x:v>单位目标</x:v>
      </x:c>
      <x:c r="S113" s="19" t="str">
        <x:v>伤害</x:v>
      </x:c>
      <x:c r="T113" s="19" t="str">
        <x:v>伤害</x:v>
      </x:c>
      <x:c r="U113" s="48" t="str">
        <x:v>主动；单位目标；主分类：伤害；标签：伤害</x:v>
      </x:c>
      <x:c r="V113" s="48" t="str">
        <x:v>125/125/125</x:v>
      </x:c>
      <x:c r="W113" s="48" t="str">
        <x:v>120/120/120</x:v>
      </x:c>
      <x:c r="X113" s="48" t="str">
        <x:v>1500/1500/1500</x:v>
      </x:c>
      <x:c r="Y113" s="48" t="str">
        <x:v>200/200/200</x:v>
      </x:c>
      <x:c r="Z113" s="48" t="str">
        <x:v>30/45/60</x:v>
      </x:c>
      <x:c r="AA113" s="48" t="str">
        <x:v>30/45/60</x:v>
      </x:c>
      <x:c r="AB113" s="48" t="str">
        <x:v>enemies,friend,hero,notself/enemies,friend,hero,notself/enemies,friend,hero,notself</x:v>
      </x:c>
      <x:c r="AC113" s="48" t="str">
        <x:v>主动；单位目标；主分类：伤害；标签：伤害；等级：3；魔耗：125/125/125；冷却：120/120/120；施法距离：1500/1500/1500；作用范围：200/200/200；持续时间：30/45/60。</x:v>
      </x:c>
      <x:c r="AD113" s="48" t="str">
        <x:v>30 / 45 / 60 / 50% / 100% / 1 / 2 / 3</x:v>
      </x:c>
      <x:c r="AE113" s="48" t="str">
        <x:v>A</x:v>
      </x:c>
      <x:c r="AF113" s="48" t="str">
        <x:v>Name and behavior cross-checked from the 6.48b map script; numeric values come from AbilityData.slk.</x:v>
      </x:c>
      <x:c r="AG113" s="18" t="str">
        <x:v>S1</x:v>
      </x:c>
    </x:row>
    <x:row r="114" ht="48" customHeight="1">
      <x:c r="A114" s="19" t="str">
        <x:v>Hjai-1</x:v>
      </x:c>
      <x:c r="B114" s="19" t="str">
        <x:v>近卫军团</x:v>
      </x:c>
      <x:c r="C114" s="19" t="str">
        <x:v>清晨酒馆</x:v>
      </x:c>
      <x:c r="D114" s="19" t="str">
        <x:v>水晶室女</x:v>
      </x:c>
      <x:c r="E114" s="19" t="str">
        <x:v>Crystal Maiden</x:v>
      </x:c>
      <x:c r="F114" s="19" t="str">
        <x:v>Hjai</x:v>
      </x:c>
      <x:c r="G114" s="19" t="str">
        <x:v>Rylai Crestfall</x:v>
      </x:c>
      <x:c r="H114" s="19" t="str">
        <x:v>INT</x:v>
      </x:c>
      <x:c r="I114" s="19" t="str">
        <x:v>远程</x:v>
      </x:c>
      <x:c r="J114" s="19" t="n">
        <x:v>1</x:v>
      </x:c>
      <x:c r="K114" s="19" t="str">
        <x:v>Frost Nova</x:v>
      </x:c>
      <x:c r="L114" s="19" t="str">
        <x:v>A01D</x:v>
      </x:c>
      <x:c r="M114" s="49" t="str">
        <x:v>否</x:v>
      </x:c>
      <x:c r="N114" s="49" t="n">
        <x:v>4</x:v>
      </x:c>
      <x:c r="O114" s="49" t="n">
        <x:v>1</x:v>
      </x:c>
      <x:c r="P114" s="49" t="n">
        <x:v>2</x:v>
      </x:c>
      <x:c r="Q114" s="19" t="str">
        <x:v>主动</x:v>
      </x:c>
      <x:c r="R114" s="19" t="str">
        <x:v>单位目标</x:v>
      </x:c>
      <x:c r="S114" s="19" t="str">
        <x:v>软控</x:v>
      </x:c>
      <x:c r="T114" s="19" t="str">
        <x:v>伤害、软控、强化</x:v>
      </x:c>
      <x:c r="U114" s="48" t="str">
        <x:v>主动；单位目标；主分类：软控；标签：伤害、软控、强化</x:v>
      </x:c>
      <x:c r="V114" s="48" t="str">
        <x:v>100/130/155/185</x:v>
      </x:c>
      <x:c r="W114" s="48" t="str">
        <x:v>11/11/11/11</x:v>
      </x:c>
      <x:c r="X114" s="48" t="str">
        <x:v>600/600/600/600</x:v>
      </x:c>
      <x:c r="Y114" s="48" t="str">
        <x:v>200/200/200/200</x:v>
      </x:c>
      <x:c r="Z114" s="48" t="str">
        <x:v>4/4/4/4</x:v>
      </x:c>
      <x:c r="AA114" s="48" t="str">
        <x:v>4/4/4/4</x:v>
      </x:c>
      <x:c r="AB114" s="48" t="str">
        <x:v>ground,enemy,air,neutral,organic/ground,enemy,air,neutral,organic/ground,enemy,air,neutral,organic/ground,enemy,air,neutral,organic</x:v>
      </x:c>
      <x:c r="AC114" s="48" t="str">
        <x:v>主动；单位目标；主分类：软控；标签：伤害、软控、强化；等级：4；魔耗：100/130/155/185；冷却：11/11/11/11；施法距离：600/600/600/600；作用范围：200/200/200/200；持续时间：4/4/4/4。</x:v>
      </x:c>
      <x:c r="AD114" s="48" t="str">
        <x:v>4 / 1 / 50 / 75 / 2 / 100 / 3 / 125 / 175 / 11</x:v>
      </x:c>
      <x:c r="AE114" s="48" t="str">
        <x:v>A</x:v>
      </x:c>
      <x:c r="AF114" s="48" t="str">
        <x:v>6.48b 地图内 UnitAbilities/AbilityData/AbilityStrings 与对象修改表</x:v>
      </x:c>
      <x:c r="AG114" s="18" t="str">
        <x:v>S1</x:v>
      </x:c>
    </x:row>
    <x:row r="115" ht="48" customHeight="1">
      <x:c r="A115" s="19" t="str">
        <x:v>Hjai-2</x:v>
      </x:c>
      <x:c r="B115" s="19" t="str">
        <x:v>近卫军团</x:v>
      </x:c>
      <x:c r="C115" s="19" t="str">
        <x:v>清晨酒馆</x:v>
      </x:c>
      <x:c r="D115" s="19" t="str">
        <x:v>水晶室女</x:v>
      </x:c>
      <x:c r="E115" s="19" t="str">
        <x:v>Crystal Maiden</x:v>
      </x:c>
      <x:c r="F115" s="19" t="str">
        <x:v>Hjai</x:v>
      </x:c>
      <x:c r="G115" s="19" t="str">
        <x:v>Rylai Crestfall</x:v>
      </x:c>
      <x:c r="H115" s="19" t="str">
        <x:v>INT</x:v>
      </x:c>
      <x:c r="I115" s="19" t="str">
        <x:v>远程</x:v>
      </x:c>
      <x:c r="J115" s="19" t="n">
        <x:v>2</x:v>
      </x:c>
      <x:c r="K115" s="19" t="str">
        <x:v>Frostbite</x:v>
      </x:c>
      <x:c r="L115" s="19" t="str">
        <x:v>A04C</x:v>
      </x:c>
      <x:c r="M115" s="49" t="str">
        <x:v>否</x:v>
      </x:c>
      <x:c r="N115" s="49" t="n">
        <x:v>4</x:v>
      </x:c>
      <x:c r="O115" s="49" t="n">
        <x:v>1</x:v>
      </x:c>
      <x:c r="P115" s="49" t="n">
        <x:v>2</x:v>
      </x:c>
      <x:c r="Q115" s="19" t="str">
        <x:v>主动</x:v>
      </x:c>
      <x:c r="R115" s="19" t="str">
        <x:v>无目标或脚本目标</x:v>
      </x:c>
      <x:c r="S115" s="19" t="str">
        <x:v>伤害</x:v>
      </x:c>
      <x:c r="T115" s="19" t="str">
        <x:v>伤害</x:v>
      </x:c>
      <x:c r="U115" s="48" t="str">
        <x:v>主动；无目标或脚本目标；主分类：伤害；标签：伤害</x:v>
      </x:c>
      <x:c r="V115" s="48" t="str">
        <x:v>115/125/140/150</x:v>
      </x:c>
      <x:c r="W115" s="48" t="str">
        <x:v>10/10/10/10</x:v>
      </x:c>
      <x:c r="X115" s="48" t="str">
        <x:v>500/500/500/500</x:v>
      </x:c>
      <x:c r="Y115" s="48" t="str">
        <x:v>—/—/—/—</x:v>
      </x:c>
      <x:c r="Z115" s="48" t="str">
        <x:v>10/10/10/10</x:v>
      </x:c>
      <x:c r="AA115" s="48" t="str">
        <x:v>1.5/2/2.5/3</x:v>
      </x:c>
      <x:c r="AB115" s="48" t="str">
        <x:v>ground,enemy,neutral,organic/ground,enemy,neutral,organic/ground,enemy,neutral,organic/ground,enemy,neutral,organic</x:v>
      </x:c>
      <x:c r="AC115" s="48" t="str">
        <x:v>主动；无目标或脚本目标；主分类：伤害；标签：伤害；等级：4；魔耗：115/125/140/150；冷却：10/10/10/10；施法距离：500/500/500/500；作用范围：—/—/—/—；持续时间：10/10/10/10。</x:v>
      </x:c>
      <x:c r="AD115" s="48" t="str">
        <x:v>70 / 1 / 1.5 / 2 / 3 / 2.5 / 4 / 10</x:v>
      </x:c>
      <x:c r="AE115" s="48" t="str">
        <x:v>A</x:v>
      </x:c>
      <x:c r="AF115" s="48" t="str">
        <x:v>6.48b 地图内 UnitAbilities/AbilityData/AbilityStrings 与对象修改表</x:v>
      </x:c>
      <x:c r="AG115" s="18" t="str">
        <x:v>S1</x:v>
      </x:c>
    </x:row>
    <x:row r="116" ht="48" customHeight="1">
      <x:c r="A116" s="19" t="str">
        <x:v>Hjai-3</x:v>
      </x:c>
      <x:c r="B116" s="19" t="str">
        <x:v>近卫军团</x:v>
      </x:c>
      <x:c r="C116" s="19" t="str">
        <x:v>清晨酒馆</x:v>
      </x:c>
      <x:c r="D116" s="19" t="str">
        <x:v>水晶室女</x:v>
      </x:c>
      <x:c r="E116" s="19" t="str">
        <x:v>Crystal Maiden</x:v>
      </x:c>
      <x:c r="F116" s="19" t="str">
        <x:v>Hjai</x:v>
      </x:c>
      <x:c r="G116" s="19" t="str">
        <x:v>Rylai Crestfall</x:v>
      </x:c>
      <x:c r="H116" s="19" t="str">
        <x:v>INT</x:v>
      </x:c>
      <x:c r="I116" s="19" t="str">
        <x:v>远程</x:v>
      </x:c>
      <x:c r="J116" s="19" t="n">
        <x:v>3</x:v>
      </x:c>
      <x:c r="K116" s="19" t="str">
        <x:v>Brilliance Aura</x:v>
      </x:c>
      <x:c r="L116" s="19" t="str">
        <x:v>AHab</x:v>
      </x:c>
      <x:c r="M116" s="49" t="str">
        <x:v>否</x:v>
      </x:c>
      <x:c r="N116" s="49" t="n">
        <x:v>4</x:v>
      </x:c>
      <x:c r="O116" s="49" t="n">
        <x:v>1</x:v>
      </x:c>
      <x:c r="P116" s="49" t="n">
        <x:v>2</x:v>
      </x:c>
      <x:c r="Q116" s="19" t="str">
        <x:v>被动</x:v>
      </x:c>
      <x:c r="R116" s="19" t="str">
        <x:v>被动</x:v>
      </x:c>
      <x:c r="S116" s="19" t="str">
        <x:v>治疗/回复</x:v>
      </x:c>
      <x:c r="T116" s="19" t="str">
        <x:v>治疗/回复、强化、光环、资源机制、范围效果、被动触发</x:v>
      </x:c>
      <x:c r="U116" s="48" t="str">
        <x:v>被动；被动；主分类：治疗/回复；标签：治疗/回复、强化、光环、资源机制、范围效果、被动触发</x:v>
      </x:c>
      <x:c r="V116" s="48" t="str">
        <x:v>—/—/—/—</x:v>
      </x:c>
      <x:c r="W116" s="48" t="str">
        <x:v>—/—/—/—</x:v>
      </x:c>
      <x:c r="X116" s="48" t="str">
        <x:v>—/—/—/—</x:v>
      </x:c>
      <x:c r="Y116" s="48" t="str">
        <x:v>300/300/300/300</x:v>
      </x:c>
      <x:c r="Z116" s="48" t="str">
        <x:v>—/—/—/—</x:v>
      </x:c>
      <x:c r="AA116" s="48" t="str">
        <x:v>—/—/—/—</x:v>
      </x:c>
      <x:c r="AB116" s="48" t="str">
        <x:v>air,ground,friend,self,vuln,invu/air,ground,friend,self,vuln,invu/air,ground,friend,self,vuln,invu/air,ground,friend,self,vuln,invu</x:v>
      </x:c>
      <x:c r="AC116" s="48" t="str">
        <x:v>被动；被动；主分类：治疗/回复；标签：治疗/回复、强化、光环、资源机制、范围效果、被动触发；等级：4；魔耗：—/—/—/—；冷却：—/—/—/—；施法距离：—/—/—/—；作用范围：300/300/300/300；持续时间：—/—/—/—。</x:v>
      </x:c>
      <x:c r="AD116" s="48" t="str">
        <x:v>1 / 0.6 / 2 / 1.2 / 3 / 1.8 / 4 / 2.4 / 0.60</x:v>
      </x:c>
      <x:c r="AE116" s="48" t="str">
        <x:v>A</x:v>
      </x:c>
      <x:c r="AF116" s="48" t="str">
        <x:v>6.48b 地图内 UnitAbilities/AbilityData/AbilityStrings 与对象修改表</x:v>
      </x:c>
      <x:c r="AG116" s="18" t="str">
        <x:v>S1</x:v>
      </x:c>
    </x:row>
    <x:row r="117" ht="48" customHeight="1">
      <x:c r="A117" s="19" t="str">
        <x:v>Hjai-4</x:v>
      </x:c>
      <x:c r="B117" s="19" t="str">
        <x:v>近卫军团</x:v>
      </x:c>
      <x:c r="C117" s="19" t="str">
        <x:v>清晨酒馆</x:v>
      </x:c>
      <x:c r="D117" s="19" t="str">
        <x:v>水晶室女</x:v>
      </x:c>
      <x:c r="E117" s="19" t="str">
        <x:v>Crystal Maiden</x:v>
      </x:c>
      <x:c r="F117" s="19" t="str">
        <x:v>Hjai</x:v>
      </x:c>
      <x:c r="G117" s="19" t="str">
        <x:v>Rylai Crestfall</x:v>
      </x:c>
      <x:c r="H117" s="19" t="str">
        <x:v>INT</x:v>
      </x:c>
      <x:c r="I117" s="19" t="str">
        <x:v>远程</x:v>
      </x:c>
      <x:c r="J117" s="19" t="n">
        <x:v>4</x:v>
      </x:c>
      <x:c r="K117" s="19" t="str">
        <x:v>Freezing Field</x:v>
      </x:c>
      <x:c r="L117" s="19" t="str">
        <x:v>A03R</x:v>
      </x:c>
      <x:c r="M117" s="49" t="str">
        <x:v>是</x:v>
      </x:c>
      <x:c r="N117" s="49" t="n">
        <x:v>3</x:v>
      </x:c>
      <x:c r="O117" s="49" t="n">
        <x:v>6</x:v>
      </x:c>
      <x:c r="P117" s="49" t="n">
        <x:v>5</x:v>
      </x:c>
      <x:c r="Q117" s="19" t="str">
        <x:v>主动</x:v>
      </x:c>
      <x:c r="R117" s="19" t="str">
        <x:v>无目标/范围</x:v>
      </x:c>
      <x:c r="S117" s="19" t="str">
        <x:v>召唤</x:v>
      </x:c>
      <x:c r="T117" s="19" t="str">
        <x:v>伤害、召唤、持续施法、范围效果</x:v>
      </x:c>
      <x:c r="U117" s="48" t="str">
        <x:v>主动；无目标/范围；主分类：召唤；标签：伤害、召唤、持续施法、范围效果</x:v>
      </x:c>
      <x:c r="V117" s="48" t="str">
        <x:v>300/400/600</x:v>
      </x:c>
      <x:c r="W117" s="48" t="str">
        <x:v>150/120/90</x:v>
      </x:c>
      <x:c r="X117" s="48" t="str">
        <x:v>500/500/500</x:v>
      </x:c>
      <x:c r="Y117" s="48" t="str">
        <x:v>—/—/—</x:v>
      </x:c>
      <x:c r="Z117" s="48" t="str">
        <x:v>—/—/—</x:v>
      </x:c>
      <x:c r="AA117" s="48" t="str">
        <x:v>—/—/—</x:v>
      </x:c>
      <x:c r="AB117" s="48" t="str">
        <x:v>—/—/—</x:v>
      </x:c>
      <x:c r="AC117" s="48" t="str">
        <x:v>主动；无目标/范围；主分类：召唤；标签：伤害、召唤、持续施法、范围效果；等级：3；魔耗：300/400/600；冷却：150/120/90；施法距离：500/500/500；作用范围：—/—/—；持续时间：—/—/—。</x:v>
      </x:c>
      <x:c r="AD117" s="48" t="str">
        <x:v>4 / 1 / 105 / 2 / 170 / 3 / 250 / 150 / 120 / 90</x:v>
      </x:c>
      <x:c r="AE117" s="48" t="str">
        <x:v>A</x:v>
      </x:c>
      <x:c r="AF117" s="48" t="str">
        <x:v>6.48b 地图内 UnitAbilities/AbilityData/AbilityStrings 与对象修改表</x:v>
      </x:c>
      <x:c r="AG117" s="18" t="str">
        <x:v>S1</x:v>
      </x:c>
    </x:row>
    <x:row r="118" ht="48" customHeight="1">
      <x:c r="A118" s="19" t="str">
        <x:v>H001-1</x:v>
      </x:c>
      <x:c r="B118" s="19" t="str">
        <x:v>近卫军团</x:v>
      </x:c>
      <x:c r="C118" s="19" t="str">
        <x:v>清晨酒馆</x:v>
      </x:c>
      <x:c r="D118" s="19" t="str">
        <x:v>流浪剑客</x:v>
      </x:c>
      <x:c r="E118" s="19" t="str">
        <x:v>Rogue Knight</x:v>
      </x:c>
      <x:c r="F118" s="19" t="str">
        <x:v>H001</x:v>
      </x:c>
      <x:c r="G118" s="19" t="str">
        <x:v>Sven</x:v>
      </x:c>
      <x:c r="H118" s="19" t="str">
        <x:v>STR</x:v>
      </x:c>
      <x:c r="I118" s="19" t="str">
        <x:v>近战</x:v>
      </x:c>
      <x:c r="J118" s="19" t="n">
        <x:v>1</x:v>
      </x:c>
      <x:c r="K118" s="19" t="str">
        <x:v>Storm Bolt</x:v>
      </x:c>
      <x:c r="L118" s="19" t="str">
        <x:v>A0RZ</x:v>
      </x:c>
      <x:c r="M118" s="49" t="str">
        <x:v>否</x:v>
      </x:c>
      <x:c r="N118" s="49" t="n">
        <x:v>4</x:v>
      </x:c>
      <x:c r="O118" s="49" t="n">
        <x:v>1</x:v>
      </x:c>
      <x:c r="P118" s="49" t="n">
        <x:v>2</x:v>
      </x:c>
      <x:c r="Q118" s="19" t="str">
        <x:v>主动</x:v>
      </x:c>
      <x:c r="R118" s="19" t="str">
        <x:v>无目标或脚本目标</x:v>
      </x:c>
      <x:c r="S118" s="19" t="str">
        <x:v>硬控</x:v>
      </x:c>
      <x:c r="T118" s="19" t="str">
        <x:v>伤害、硬控</x:v>
      </x:c>
      <x:c r="U118" s="48" t="str">
        <x:v>主动；无目标或脚本目标；主分类：硬控；标签：伤害、硬控</x:v>
      </x:c>
      <x:c r="V118" s="48" t="str">
        <x:v>140/140/140/140</x:v>
      </x:c>
      <x:c r="W118" s="48" t="str">
        <x:v>8/8/8/8</x:v>
      </x:c>
      <x:c r="X118" s="48" t="str">
        <x:v>525/525/525/525</x:v>
      </x:c>
      <x:c r="Y118" s="48" t="str">
        <x:v>—/—/—/—</x:v>
      </x:c>
      <x:c r="Z118" s="48" t="str">
        <x:v>2/2/2/2</x:v>
      </x:c>
      <x:c r="AA118" s="48" t="str">
        <x:v>2/2/2/2</x:v>
      </x:c>
      <x:c r="AB118" s="48" t="str">
        <x:v>air,debris,enemies,ground,neutral,organic/air,ground,debris,enemy,neutral,organic/air,ground,debris,enemy,neutral,organic/air,ground,debris,enemy,neutral,organic</x:v>
      </x:c>
      <x:c r="AC118" s="48" t="str">
        <x:v>主动；无目标或脚本目标；主分类：硬控；标签：伤害、硬控；等级：4；魔耗：140/140/140/140；冷却：8/8/8/8；施法距离：525/525/525/525；作用范围：—/—/—/—；持续时间：2/2/2/2。</x:v>
      </x:c>
      <x:c r="AD118" s="48" t="str">
        <x:v>2 / 1 / 100 / 150 / 3 / 200 / 4 / 250 / 8</x:v>
      </x:c>
      <x:c r="AE118" s="48" t="str">
        <x:v>A</x:v>
      </x:c>
      <x:c r="AF118" s="48" t="str">
        <x:v>6.48b 地图内 UnitAbilities/AbilityData/AbilityStrings 与对象修改表</x:v>
      </x:c>
      <x:c r="AG118" s="18" t="str">
        <x:v>S1</x:v>
      </x:c>
    </x:row>
    <x:row r="119" ht="48" customHeight="1">
      <x:c r="A119" s="19" t="str">
        <x:v>H001-2</x:v>
      </x:c>
      <x:c r="B119" s="19" t="str">
        <x:v>近卫军团</x:v>
      </x:c>
      <x:c r="C119" s="19" t="str">
        <x:v>清晨酒馆</x:v>
      </x:c>
      <x:c r="D119" s="19" t="str">
        <x:v>流浪剑客</x:v>
      </x:c>
      <x:c r="E119" s="19" t="str">
        <x:v>Rogue Knight</x:v>
      </x:c>
      <x:c r="F119" s="19" t="str">
        <x:v>H001</x:v>
      </x:c>
      <x:c r="G119" s="19" t="str">
        <x:v>Sven</x:v>
      </x:c>
      <x:c r="H119" s="19" t="str">
        <x:v>STR</x:v>
      </x:c>
      <x:c r="I119" s="19" t="str">
        <x:v>近战</x:v>
      </x:c>
      <x:c r="J119" s="19" t="n">
        <x:v>2</x:v>
      </x:c>
      <x:c r="K119" s="19" t="str">
        <x:v>Great Cleave</x:v>
      </x:c>
      <x:c r="L119" s="19" t="str">
        <x:v>A01K</x:v>
      </x:c>
      <x:c r="M119" s="49" t="str">
        <x:v>否</x:v>
      </x:c>
      <x:c r="N119" s="49" t="n">
        <x:v>4</x:v>
      </x:c>
      <x:c r="O119" s="49" t="n">
        <x:v>1</x:v>
      </x:c>
      <x:c r="P119" s="49" t="n">
        <x:v>2</x:v>
      </x:c>
      <x:c r="Q119" s="19" t="str">
        <x:v>被动/脚本触发</x:v>
      </x:c>
      <x:c r="R119" s="19" t="str">
        <x:v>被动</x:v>
      </x:c>
      <x:c r="S119" s="19" t="str">
        <x:v>伤害</x:v>
      </x:c>
      <x:c r="T119" s="19" t="str">
        <x:v>伤害、范围效果、被动触发</x:v>
      </x:c>
      <x:c r="U119" s="48" t="str">
        <x:v>被动/脚本触发；被动；主分类：伤害；标签：伤害、范围效果、被动触发</x:v>
      </x:c>
      <x:c r="V119" s="48" t="str">
        <x:v>—/—/—/—</x:v>
      </x:c>
      <x:c r="W119" s="48" t="str">
        <x:v>—/—/—/—</x:v>
      </x:c>
      <x:c r="X119" s="48" t="str">
        <x:v>—/—/—/—</x:v>
      </x:c>
      <x:c r="Y119" s="48" t="str">
        <x:v>175/175/175/175</x:v>
      </x:c>
      <x:c r="Z119" s="48" t="str">
        <x:v>—/—/—/—</x:v>
      </x:c>
      <x:c r="AA119" s="48" t="str">
        <x:v>—/—/—/—</x:v>
      </x:c>
      <x:c r="AB119" s="48" t="str">
        <x:v>ground,enemy,neutral/ground,enemy,neutral/ground,enemy,neutral/ground,enemy,neutral</x:v>
      </x:c>
      <x:c r="AC119" s="48" t="str">
        <x:v>被动/脚本触发；被动；主分类：伤害；标签：伤害、范围效果、被动触发；等级：4；魔耗：—/—/—/—；冷却：—/—/—/—；施法距离：—/—/—/—；作用范围：175/175/175/175；持续时间：—/—/—/—。</x:v>
      </x:c>
      <x:c r="AD119" s="48" t="str">
        <x:v>1 / 10% / 2 / 20% / 3 / 30% / 4 / 40%</x:v>
      </x:c>
      <x:c r="AE119" s="48" t="str">
        <x:v>A</x:v>
      </x:c>
      <x:c r="AF119" s="48" t="str">
        <x:v>6.48b 地图内 UnitAbilities/AbilityData/AbilityStrings 与对象修改表</x:v>
      </x:c>
      <x:c r="AG119" s="18" t="str">
        <x:v>S1</x:v>
      </x:c>
    </x:row>
    <x:row r="120" ht="48" customHeight="1">
      <x:c r="A120" s="19" t="str">
        <x:v>H001-3</x:v>
      </x:c>
      <x:c r="B120" s="19" t="str">
        <x:v>近卫军团</x:v>
      </x:c>
      <x:c r="C120" s="19" t="str">
        <x:v>清晨酒馆</x:v>
      </x:c>
      <x:c r="D120" s="19" t="str">
        <x:v>流浪剑客</x:v>
      </x:c>
      <x:c r="E120" s="19" t="str">
        <x:v>Rogue Knight</x:v>
      </x:c>
      <x:c r="F120" s="19" t="str">
        <x:v>H001</x:v>
      </x:c>
      <x:c r="G120" s="19" t="str">
        <x:v>Sven</x:v>
      </x:c>
      <x:c r="H120" s="19" t="str">
        <x:v>STR</x:v>
      </x:c>
      <x:c r="I120" s="19" t="str">
        <x:v>近战</x:v>
      </x:c>
      <x:c r="J120" s="19" t="n">
        <x:v>3</x:v>
      </x:c>
      <x:c r="K120" s="19" t="str">
        <x:v>Toughness Aura</x:v>
      </x:c>
      <x:c r="L120" s="19" t="str">
        <x:v>A01M</x:v>
      </x:c>
      <x:c r="M120" s="49" t="str">
        <x:v>否</x:v>
      </x:c>
      <x:c r="N120" s="49" t="n">
        <x:v>4</x:v>
      </x:c>
      <x:c r="O120" s="49" t="n">
        <x:v>1</x:v>
      </x:c>
      <x:c r="P120" s="49" t="n">
        <x:v>2</x:v>
      </x:c>
      <x:c r="Q120" s="19" t="str">
        <x:v>被动</x:v>
      </x:c>
      <x:c r="R120" s="19" t="str">
        <x:v>被动</x:v>
      </x:c>
      <x:c r="S120" s="19" t="str">
        <x:v>防御/生存</x:v>
      </x:c>
      <x:c r="T120" s="19" t="str">
        <x:v>防御/生存、强化、光环、范围效果、被动触发</x:v>
      </x:c>
      <x:c r="U120" s="48" t="str">
        <x:v>被动；被动；主分类：防御/生存；标签：防御/生存、强化、光环、范围效果、被动触发</x:v>
      </x:c>
      <x:c r="V120" s="48" t="str">
        <x:v>—/—/—/—</x:v>
      </x:c>
      <x:c r="W120" s="48" t="str">
        <x:v>—/—/—/—</x:v>
      </x:c>
      <x:c r="X120" s="48" t="str">
        <x:v>—/—/—/—</x:v>
      </x:c>
      <x:c r="Y120" s="48" t="str">
        <x:v>700/700/700/700</x:v>
      </x:c>
      <x:c r="Z120" s="48" t="str">
        <x:v>4/4/4/4</x:v>
      </x:c>
      <x:c r="AA120" s="48" t="str">
        <x:v>2/2/2/2</x:v>
      </x:c>
      <x:c r="AB120" s="48" t="str">
        <x:v>air,ground,friend,self,vuln,invu/air,ground,friend,self,vuln,invu/air,ground,friend,self,vuln,invu/air,ground,friend,self,vuln,invu</x:v>
      </x:c>
      <x:c r="AC120" s="48" t="str">
        <x:v>被动；被动；主分类：防御/生存；标签：防御/生存、强化、光环、范围效果、被动触发；等级：4；魔耗：—/—/—/—；冷却：—/—/—/—；施法距离：—/—/—/—；作用范围：700/700/700/700；持续时间：4/4/4/4。</x:v>
      </x:c>
      <x:c r="AD120" s="48" t="str">
        <x:v>1 / 2 / 3 / 4 / 5</x:v>
      </x:c>
      <x:c r="AE120" s="48" t="str">
        <x:v>A</x:v>
      </x:c>
      <x:c r="AF120" s="48" t="str">
        <x:v>6.48b 地图内 UnitAbilities/AbilityData/AbilityStrings 与对象修改表</x:v>
      </x:c>
      <x:c r="AG120" s="18" t="str">
        <x:v>S1</x:v>
      </x:c>
    </x:row>
    <x:row r="121" ht="48" customHeight="1">
      <x:c r="A121" s="19" t="str">
        <x:v>H001-4</x:v>
      </x:c>
      <x:c r="B121" s="19" t="str">
        <x:v>近卫军团</x:v>
      </x:c>
      <x:c r="C121" s="19" t="str">
        <x:v>清晨酒馆</x:v>
      </x:c>
      <x:c r="D121" s="19" t="str">
        <x:v>流浪剑客</x:v>
      </x:c>
      <x:c r="E121" s="19" t="str">
        <x:v>Rogue Knight</x:v>
      </x:c>
      <x:c r="F121" s="19" t="str">
        <x:v>H001</x:v>
      </x:c>
      <x:c r="G121" s="19" t="str">
        <x:v>Sven</x:v>
      </x:c>
      <x:c r="H121" s="19" t="str">
        <x:v>STR</x:v>
      </x:c>
      <x:c r="I121" s="19" t="str">
        <x:v>近战</x:v>
      </x:c>
      <x:c r="J121" s="19" t="n">
        <x:v>4</x:v>
      </x:c>
      <x:c r="K121" s="19" t="str">
        <x:v>God's Strength</x:v>
      </x:c>
      <x:c r="L121" s="19" t="str">
        <x:v>A01H</x:v>
      </x:c>
      <x:c r="M121" s="49" t="str">
        <x:v>是</x:v>
      </x:c>
      <x:c r="N121" s="49" t="n">
        <x:v>3</x:v>
      </x:c>
      <x:c r="O121" s="49" t="n">
        <x:v>6</x:v>
      </x:c>
      <x:c r="P121" s="49" t="n">
        <x:v>5</x:v>
      </x:c>
      <x:c r="Q121" s="19" t="str">
        <x:v>主动</x:v>
      </x:c>
      <x:c r="R121" s="19" t="str">
        <x:v>无目标或脚本目标</x:v>
      </x:c>
      <x:c r="S121" s="19" t="str">
        <x:v>强化</x:v>
      </x:c>
      <x:c r="T121" s="19" t="str">
        <x:v>伤害、强化</x:v>
      </x:c>
      <x:c r="U121" s="48" t="str">
        <x:v>主动；无目标或脚本目标；主分类：强化；标签：伤害、强化</x:v>
      </x:c>
      <x:c r="V121" s="48" t="str">
        <x:v>100/150/200</x:v>
      </x:c>
      <x:c r="W121" s="48" t="str">
        <x:v>120/120/120</x:v>
      </x:c>
      <x:c r="X121" s="48" t="str">
        <x:v>—/—/—</x:v>
      </x:c>
      <x:c r="Y121" s="48" t="str">
        <x:v>—/—/—</x:v>
      </x:c>
      <x:c r="Z121" s="48" t="str">
        <x:v>25/25/25</x:v>
      </x:c>
      <x:c r="AA121" s="48" t="str">
        <x:v>25/25/25</x:v>
      </x:c>
      <x:c r="AB121" s="48" t="str">
        <x:v>self/self/self</x:v>
      </x:c>
      <x:c r="AC121" s="48" t="str">
        <x:v>主动；无目标或脚本目标；主分类：强化；标签：伤害、强化；等级：3；魔耗：100/150/200；冷却：120/120/120；施法距离：—/—/—；作用范围：—/—/—；持续时间：25/25/25。</x:v>
      </x:c>
      <x:c r="AD121" s="48" t="str">
        <x:v>25 / 1 / 100% / 2 / 125% / 3 / 150% / 120</x:v>
      </x:c>
      <x:c r="AE121" s="48" t="str">
        <x:v>A</x:v>
      </x:c>
      <x:c r="AF121" s="48" t="str">
        <x:v>6.48b 地图内 UnitAbilities/AbilityData/AbilityStrings 与对象修改表</x:v>
      </x:c>
      <x:c r="AG121" s="18" t="str">
        <x:v>S1</x:v>
      </x:c>
    </x:row>
    <x:row r="122" ht="48" customHeight="1">
      <x:c r="A122" s="19" t="str">
        <x:v>HC49-1</x:v>
      </x:c>
      <x:c r="B122" s="19" t="str">
        <x:v>近卫军团</x:v>
      </x:c>
      <x:c r="C122" s="19" t="str">
        <x:v>清晨酒馆</x:v>
      </x:c>
      <x:c r="D122" s="19" t="str">
        <x:v>娜迦海妖</x:v>
      </x:c>
      <x:c r="E122" s="19" t="str">
        <x:v>Naga Siren</x:v>
      </x:c>
      <x:c r="F122" s="19" t="str">
        <x:v>HC49</x:v>
      </x:c>
      <x:c r="G122" s="19" t="str">
        <x:v>Slithice</x:v>
      </x:c>
      <x:c r="H122" s="19" t="str">
        <x:v>AGI</x:v>
      </x:c>
      <x:c r="I122" s="19" t="str">
        <x:v>近战</x:v>
      </x:c>
      <x:c r="J122" s="19" t="n">
        <x:v>1</x:v>
      </x:c>
      <x:c r="K122" s="19" t="str">
        <x:v>Mirror Image</x:v>
      </x:c>
      <x:c r="L122" s="19" t="str">
        <x:v>A063</x:v>
      </x:c>
      <x:c r="M122" s="49" t="str">
        <x:v>否</x:v>
      </x:c>
      <x:c r="N122" s="49" t="n">
        <x:v>4</x:v>
      </x:c>
      <x:c r="O122" s="49" t="n">
        <x:v>1</x:v>
      </x:c>
      <x:c r="P122" s="49" t="n">
        <x:v>2</x:v>
      </x:c>
      <x:c r="Q122" s="19" t="str">
        <x:v>主动</x:v>
      </x:c>
      <x:c r="R122" s="19" t="str">
        <x:v>无目标或脚本目标</x:v>
      </x:c>
      <x:c r="S122" s="19" t="str">
        <x:v>召唤</x:v>
      </x:c>
      <x:c r="T122" s="19" t="str">
        <x:v>伤害、召唤</x:v>
      </x:c>
      <x:c r="U122" s="48" t="str">
        <x:v>主动；无目标或脚本目标；主分类：召唤；标签：伤害、召唤</x:v>
      </x:c>
      <x:c r="V122" s="48" t="str">
        <x:v>85/105/130/150</x:v>
      </x:c>
      <x:c r="W122" s="48" t="str">
        <x:v>60/60/60/60</x:v>
      </x:c>
      <x:c r="X122" s="48" t="str">
        <x:v>128/128/128/128</x:v>
      </x:c>
      <x:c r="Y122" s="48" t="str">
        <x:v>1000/1000/1000/1000</x:v>
      </x:c>
      <x:c r="Z122" s="48" t="str">
        <x:v>30/30/30/30</x:v>
      </x:c>
      <x:c r="AA122" s="48" t="str">
        <x:v>30/30/30/30</x:v>
      </x:c>
      <x:c r="AB122" s="48" t="str">
        <x:v>—/—/—/—</x:v>
      </x:c>
      <x:c r="AC122" s="48" t="str">
        <x:v>主动；无目标或脚本目标；主分类：召唤；标签：伤害、召唤；等级：4；魔耗：85/105/130/150；冷却：60/60/60/60；施法距离：128/128/128/128；作用范围：1000/1000/1000/1000；持续时间：30/30/30/30。</x:v>
      </x:c>
      <x:c r="AD122" s="48" t="str">
        <x:v>30 / 1 / 15% / 2 / 30% / 3 / 4 / 45% / 60</x:v>
      </x:c>
      <x:c r="AE122" s="48" t="str">
        <x:v>A</x:v>
      </x:c>
      <x:c r="AF122" s="48" t="str">
        <x:v>6.48b 地图内 UnitAbilities/AbilityData/AbilityStrings 与对象修改表</x:v>
      </x:c>
      <x:c r="AG122" s="18" t="str">
        <x:v>S1</x:v>
      </x:c>
    </x:row>
    <x:row r="123" ht="48" customHeight="1">
      <x:c r="A123" s="19" t="str">
        <x:v>HC49-2</x:v>
      </x:c>
      <x:c r="B123" s="19" t="str">
        <x:v>近卫军团</x:v>
      </x:c>
      <x:c r="C123" s="19" t="str">
        <x:v>清晨酒馆</x:v>
      </x:c>
      <x:c r="D123" s="19" t="str">
        <x:v>娜迦海妖</x:v>
      </x:c>
      <x:c r="E123" s="19" t="str">
        <x:v>Naga Siren</x:v>
      </x:c>
      <x:c r="F123" s="19" t="str">
        <x:v>HC49</x:v>
      </x:c>
      <x:c r="G123" s="19" t="str">
        <x:v>Slithice</x:v>
      </x:c>
      <x:c r="H123" s="19" t="str">
        <x:v>AGI</x:v>
      </x:c>
      <x:c r="I123" s="19" t="str">
        <x:v>近战</x:v>
      </x:c>
      <x:c r="J123" s="19" t="n">
        <x:v>2</x:v>
      </x:c>
      <x:c r="K123" s="19" t="str">
        <x:v>Ensnare</x:v>
      </x:c>
      <x:c r="L123" s="19" t="str">
        <x:v>A0BA</x:v>
      </x:c>
      <x:c r="M123" s="49" t="str">
        <x:v>否</x:v>
      </x:c>
      <x:c r="N123" s="49" t="n">
        <x:v>4</x:v>
      </x:c>
      <x:c r="O123" s="49" t="n">
        <x:v>1</x:v>
      </x:c>
      <x:c r="P123" s="49" t="n">
        <x:v>2</x:v>
      </x:c>
      <x:c r="Q123" s="19" t="str">
        <x:v>主动</x:v>
      </x:c>
      <x:c r="R123" s="19" t="str">
        <x:v>单位目标</x:v>
      </x:c>
      <x:c r="S123" s="19" t="str">
        <x:v>硬控</x:v>
      </x:c>
      <x:c r="T123" s="19" t="str">
        <x:v>硬控</x:v>
      </x:c>
      <x:c r="U123" s="48" t="str">
        <x:v>主动；单位目标；主分类：硬控；标签：硬控</x:v>
      </x:c>
      <x:c r="V123" s="48" t="str">
        <x:v>75/85/95/115</x:v>
      </x:c>
      <x:c r="W123" s="48" t="str">
        <x:v>14/14/14/14</x:v>
      </x:c>
      <x:c r="X123" s="48" t="str">
        <x:v>620/630/640/650</x:v>
      </x:c>
      <x:c r="Y123" s="48" t="str">
        <x:v>—/—/—/—</x:v>
      </x:c>
      <x:c r="Z123" s="48" t="str">
        <x:v>2/3/4/5</x:v>
      </x:c>
      <x:c r="AA123" s="48" t="str">
        <x:v>2/3/4/5</x:v>
      </x:c>
      <x:c r="AB123" s="48" t="str">
        <x:v>ground,air,enemy,neutral/ground,air,enemy,neutral/ground,air,enemy,neutral/ground,air,enemy,neutral</x:v>
      </x:c>
      <x:c r="AC123" s="48" t="str">
        <x:v>主动；单位目标；主分类：硬控；标签：硬控；等级：4；魔耗：75/85/95/115；冷却：14/14/14/14；施法距离：620/630/640/650；作用范围：—/—/—/—；持续时间：2/3/4/5。</x:v>
      </x:c>
      <x:c r="AD123" s="48" t="str">
        <x:v>1 / 2 / 3 / 4 / 5 / 14</x:v>
      </x:c>
      <x:c r="AE123" s="48" t="str">
        <x:v>A</x:v>
      </x:c>
      <x:c r="AF123" s="48" t="str">
        <x:v>6.48b 地图内 UnitAbilities/AbilityData/AbilityStrings 与对象修改表</x:v>
      </x:c>
      <x:c r="AG123" s="18" t="str">
        <x:v>S1</x:v>
      </x:c>
    </x:row>
    <x:row r="124" ht="48" customHeight="1">
      <x:c r="A124" s="19" t="str">
        <x:v>HC49-3</x:v>
      </x:c>
      <x:c r="B124" s="19" t="str">
        <x:v>近卫军团</x:v>
      </x:c>
      <x:c r="C124" s="19" t="str">
        <x:v>清晨酒馆</x:v>
      </x:c>
      <x:c r="D124" s="19" t="str">
        <x:v>娜迦海妖</x:v>
      </x:c>
      <x:c r="E124" s="19" t="str">
        <x:v>Naga Siren</x:v>
      </x:c>
      <x:c r="F124" s="19" t="str">
        <x:v>HC49</x:v>
      </x:c>
      <x:c r="G124" s="19" t="str">
        <x:v>Slithice</x:v>
      </x:c>
      <x:c r="H124" s="19" t="str">
        <x:v>AGI</x:v>
      </x:c>
      <x:c r="I124" s="19" t="str">
        <x:v>近战</x:v>
      </x:c>
      <x:c r="J124" s="19" t="n">
        <x:v>3</x:v>
      </x:c>
      <x:c r="K124" s="19" t="str">
        <x:v>Critical Strike</x:v>
      </x:c>
      <x:c r="L124" s="19" t="str">
        <x:v>A00E</x:v>
      </x:c>
      <x:c r="M124" s="49" t="str">
        <x:v>否</x:v>
      </x:c>
      <x:c r="N124" s="49" t="n">
        <x:v>4</x:v>
      </x:c>
      <x:c r="O124" s="49" t="n">
        <x:v>1</x:v>
      </x:c>
      <x:c r="P124" s="49" t="n">
        <x:v>2</x:v>
      </x:c>
      <x:c r="Q124" s="19" t="str">
        <x:v>被动</x:v>
      </x:c>
      <x:c r="R124" s="19" t="str">
        <x:v>被动</x:v>
      </x:c>
      <x:c r="S124" s="19" t="str">
        <x:v>伤害</x:v>
      </x:c>
      <x:c r="T124" s="19" t="str">
        <x:v>伤害、被动触发</x:v>
      </x:c>
      <x:c r="U124" s="48" t="str">
        <x:v>被动；被动；主分类：伤害；标签：伤害、被动触发</x:v>
      </x:c>
      <x:c r="V124" s="48" t="str">
        <x:v>—/—/—/—</x:v>
      </x:c>
      <x:c r="W124" s="48" t="str">
        <x:v>—/—/—/—</x:v>
      </x:c>
      <x:c r="X124" s="48" t="str">
        <x:v>—/—/—/—</x:v>
      </x:c>
      <x:c r="Y124" s="48" t="str">
        <x:v>—/—/—/—</x:v>
      </x:c>
      <x:c r="Z124" s="48" t="str">
        <x:v>—/—/—/—</x:v>
      </x:c>
      <x:c r="AA124" s="48" t="str">
        <x:v>—/—/—/—</x:v>
      </x:c>
      <x:c r="AB124" s="48" t="str">
        <x:v>air,ground,enemy,neutral/air,ground,enemy,neutral/air,ground,enemy,neutral/air,ground,enemy,neutral</x:v>
      </x:c>
      <x:c r="AC124" s="48" t="str">
        <x:v>被动；被动；主分类：伤害；标签：伤害、被动触发；等级：4；魔耗：—/—/—/—；冷却：—/—/—/—；施法距离：—/—/—/—；作用范围：—/—/—/—；持续时间：—/—/—/—。</x:v>
      </x:c>
      <x:c r="AD124" s="48" t="str">
        <x:v>1.5 / 1 / 15% / 2 / 25% / 3 / 35% / 4 / 45%</x:v>
      </x:c>
      <x:c r="AE124" s="48" t="str">
        <x:v>A</x:v>
      </x:c>
      <x:c r="AF124" s="48" t="str">
        <x:v>6.48b 地图内 UnitAbilities/AbilityData/AbilityStrings 与对象修改表</x:v>
      </x:c>
      <x:c r="AG124" s="18" t="str">
        <x:v>S1</x:v>
      </x:c>
    </x:row>
    <x:row r="125" ht="48" customHeight="1">
      <x:c r="A125" s="19" t="str">
        <x:v>HC49-4</x:v>
      </x:c>
      <x:c r="B125" s="19" t="str">
        <x:v>近卫军团</x:v>
      </x:c>
      <x:c r="C125" s="19" t="str">
        <x:v>清晨酒馆</x:v>
      </x:c>
      <x:c r="D125" s="19" t="str">
        <x:v>娜迦海妖</x:v>
      </x:c>
      <x:c r="E125" s="19" t="str">
        <x:v>Naga Siren</x:v>
      </x:c>
      <x:c r="F125" s="19" t="str">
        <x:v>HC49</x:v>
      </x:c>
      <x:c r="G125" s="19" t="str">
        <x:v>Slithice</x:v>
      </x:c>
      <x:c r="H125" s="19" t="str">
        <x:v>AGI</x:v>
      </x:c>
      <x:c r="I125" s="19" t="str">
        <x:v>近战</x:v>
      </x:c>
      <x:c r="J125" s="19" t="n">
        <x:v>4</x:v>
      </x:c>
      <x:c r="K125" s="19" t="str">
        <x:v>Song of the Siren</x:v>
      </x:c>
      <x:c r="L125" s="19" t="str">
        <x:v>A07U</x:v>
      </x:c>
      <x:c r="M125" s="49" t="str">
        <x:v>是</x:v>
      </x:c>
      <x:c r="N125" s="49" t="n">
        <x:v>3</x:v>
      </x:c>
      <x:c r="O125" s="49" t="n">
        <x:v>6</x:v>
      </x:c>
      <x:c r="P125" s="49" t="n">
        <x:v>5</x:v>
      </x:c>
      <x:c r="Q125" s="19" t="str">
        <x:v>主动</x:v>
      </x:c>
      <x:c r="R125" s="19" t="str">
        <x:v>无目标/范围</x:v>
      </x:c>
      <x:c r="S125" s="19" t="str">
        <x:v>硬控</x:v>
      </x:c>
      <x:c r="T125" s="19" t="str">
        <x:v>硬控、范围效果</x:v>
      </x:c>
      <x:c r="U125" s="48" t="str">
        <x:v>主动；无目标/范围；主分类：硬控；标签：硬控、范围效果</x:v>
      </x:c>
      <x:c r="V125" s="48" t="str">
        <x:v>200/275/360</x:v>
      </x:c>
      <x:c r="W125" s="48" t="str">
        <x:v>120/120/120</x:v>
      </x:c>
      <x:c r="X125" s="48" t="str">
        <x:v>500/500/500</x:v>
      </x:c>
      <x:c r="Y125" s="48" t="str">
        <x:v>—/—/—</x:v>
      </x:c>
      <x:c r="Z125" s="48" t="str">
        <x:v>—/—/—</x:v>
      </x:c>
      <x:c r="AA125" s="48" t="str">
        <x:v>—/—/—</x:v>
      </x:c>
      <x:c r="AB125" s="48" t="str">
        <x:v>—/—/—</x:v>
      </x:c>
      <x:c r="AC125" s="48" t="str">
        <x:v>主动；无目标/范围；主分类：硬控；标签：硬控、范围效果；等级：3；魔耗：200/275/360；冷却：120/120/120；施法距离：500/500/500；作用范围：—/—/—；持续时间：—/—/—。</x:v>
      </x:c>
      <x:c r="AD125" s="48" t="str">
        <x:v>1 / 6 / 2 / 7 / 3 / 8 / 120</x:v>
      </x:c>
      <x:c r="AE125" s="48" t="str">
        <x:v>A</x:v>
      </x:c>
      <x:c r="AF125" s="48" t="str">
        <x:v>6.48b 地图内 UnitAbilities/AbilityData/AbilityStrings 与对象修改表</x:v>
      </x:c>
      <x:c r="AG125" s="18" t="str">
        <x:v>S1</x:v>
      </x:c>
    </x:row>
    <x:row r="126" ht="48" customHeight="1">
      <x:c r="A126" s="19" t="str">
        <x:v>N01O-1</x:v>
      </x:c>
      <x:c r="B126" s="19" t="str">
        <x:v>近卫军团</x:v>
      </x:c>
      <x:c r="C126" s="19" t="str">
        <x:v>清晨酒馆</x:v>
      </x:c>
      <x:c r="D126" s="19" t="str">
        <x:v>德鲁伊</x:v>
      </x:c>
      <x:c r="E126" s="19" t="str">
        <x:v>Lone Druid</x:v>
      </x:c>
      <x:c r="F126" s="19" t="str">
        <x:v>N01O</x:v>
      </x:c>
      <x:c r="G126" s="19" t="str">
        <x:v>Syllabear</x:v>
      </x:c>
      <x:c r="H126" s="19" t="str">
        <x:v>AGI</x:v>
      </x:c>
      <x:c r="I126" s="19" t="str">
        <x:v>远程</x:v>
      </x:c>
      <x:c r="J126" s="19" t="n">
        <x:v>1</x:v>
      </x:c>
      <x:c r="K126" s="19" t="str">
        <x:v>Summon Spirit Bear</x:v>
      </x:c>
      <x:c r="L126" s="19" t="str">
        <x:v>A0A5</x:v>
      </x:c>
      <x:c r="M126" s="49" t="str">
        <x:v>否</x:v>
      </x:c>
      <x:c r="N126" s="49" t="n">
        <x:v>4</x:v>
      </x:c>
      <x:c r="O126" s="49" t="n">
        <x:v>1</x:v>
      </x:c>
      <x:c r="P126" s="49" t="n">
        <x:v>2</x:v>
      </x:c>
      <x:c r="Q126" s="19" t="str">
        <x:v>主动</x:v>
      </x:c>
      <x:c r="R126" s="19" t="str">
        <x:v>无目标或脚本目标</x:v>
      </x:c>
      <x:c r="S126" s="19" t="str">
        <x:v>召唤</x:v>
      </x:c>
      <x:c r="T126" s="19" t="str">
        <x:v>伤害、硬控、治疗/回复、召唤、位移、强化</x:v>
      </x:c>
      <x:c r="U126" s="48" t="str">
        <x:v>主动；无目标或脚本目标；主分类：召唤；标签：伤害、硬控、治疗/回复、召唤、位移、强化</x:v>
      </x:c>
      <x:c r="V126" s="48" t="str">
        <x:v>75/75/75/75</x:v>
      </x:c>
      <x:c r="W126" s="48" t="str">
        <x:v>180/180/180/180</x:v>
      </x:c>
      <x:c r="X126" s="48" t="str">
        <x:v>—/—/—/—</x:v>
      </x:c>
      <x:c r="Y126" s="48" t="str">
        <x:v>200/200/200/200</x:v>
      </x:c>
      <x:c r="Z126" s="48" t="str">
        <x:v>75/75/75/75</x:v>
      </x:c>
      <x:c r="AA126" s="48" t="str">
        <x:v>75/75/75/75</x:v>
      </x:c>
      <x:c r="AB126" s="48" t="str">
        <x:v>—/—/—/—</x:v>
      </x:c>
      <x:c r="AC126" s="48" t="str">
        <x:v>主动；无目标或脚本目标；主分类：召唤；标签：伤害、硬控、治疗/回复、召唤、位移、强化；等级：4；魔耗：75/75/75/75；冷却：180/180/180/180；施法距离：—/—/—/—；作用范围：200/200/200/200；持续时间：75/75/75/75。</x:v>
      </x:c>
      <x:c r="AD126" s="48" t="str">
        <x:v>1 / 1400 / 2 / 1800 / 3 / 2300 / 16% / 4 / 2700 / 33% / 180 / 100 / 200 / 300 / 40 / 1.33 / 400</x:v>
      </x:c>
      <x:c r="AE126" s="48" t="str">
        <x:v>A</x:v>
      </x:c>
      <x:c r="AF126" s="48" t="str">
        <x:v>6.48b 地图内 UnitAbilities/AbilityData/AbilityStrings 与对象修改表</x:v>
      </x:c>
      <x:c r="AG126" s="18" t="str">
        <x:v>S1</x:v>
      </x:c>
    </x:row>
    <x:row r="127" ht="48" customHeight="1">
      <x:c r="A127" s="19" t="str">
        <x:v>N01O-2</x:v>
      </x:c>
      <x:c r="B127" s="19" t="str">
        <x:v>近卫军团</x:v>
      </x:c>
      <x:c r="C127" s="19" t="str">
        <x:v>清晨酒馆</x:v>
      </x:c>
      <x:c r="D127" s="19" t="str">
        <x:v>德鲁伊</x:v>
      </x:c>
      <x:c r="E127" s="19" t="str">
        <x:v>Lone Druid</x:v>
      </x:c>
      <x:c r="F127" s="19" t="str">
        <x:v>N01O</x:v>
      </x:c>
      <x:c r="G127" s="19" t="str">
        <x:v>Syllabear</x:v>
      </x:c>
      <x:c r="H127" s="19" t="str">
        <x:v>AGI</x:v>
      </x:c>
      <x:c r="I127" s="19" t="str">
        <x:v>远程</x:v>
      </x:c>
      <x:c r="J127" s="19" t="n">
        <x:v>2</x:v>
      </x:c>
      <x:c r="K127" s="19" t="str">
        <x:v>Rabid</x:v>
      </x:c>
      <x:c r="L127" s="19" t="str">
        <x:v>A0AA</x:v>
      </x:c>
      <x:c r="M127" s="49" t="str">
        <x:v>否</x:v>
      </x:c>
      <x:c r="N127" s="49" t="n">
        <x:v>4</x:v>
      </x:c>
      <x:c r="O127" s="49" t="n">
        <x:v>1</x:v>
      </x:c>
      <x:c r="P127" s="49" t="n">
        <x:v>2</x:v>
      </x:c>
      <x:c r="Q127" s="19" t="str">
        <x:v>开关/自动施放</x:v>
      </x:c>
      <x:c r="R127" s="19" t="str">
        <x:v>—</x:v>
      </x:c>
      <x:c r="S127" s="19" t="str">
        <x:v>软控</x:v>
      </x:c>
      <x:c r="T127" s="19" t="str">
        <x:v>软控、强化</x:v>
      </x:c>
      <x:c r="U127" s="48" t="str">
        <x:v>开关/自动施放；—；主分类：软控；标签：软控、强化</x:v>
      </x:c>
      <x:c r="V127" s="48" t="str">
        <x:v>50/50/50/50</x:v>
      </x:c>
      <x:c r="W127" s="48" t="str">
        <x:v>30/30/30/30</x:v>
      </x:c>
      <x:c r="X127" s="48" t="str">
        <x:v>300/300/300/300</x:v>
      </x:c>
      <x:c r="Y127" s="48" t="str">
        <x:v>—/—/—/—</x:v>
      </x:c>
      <x:c r="Z127" s="48" t="str">
        <x:v>10/10/10/10</x:v>
      </x:c>
      <x:c r="AA127" s="48" t="str">
        <x:v>10/10/10/10</x:v>
      </x:c>
      <x:c r="AB127" s="48" t="str">
        <x:v>organic,player,self/organic,player,self/organic,player,self/organic,player,self</x:v>
      </x:c>
      <x:c r="AC127" s="48" t="str">
        <x:v>开关/自动施放；—；主分类：软控；标签：软控、强化；等级：4；魔耗：50/50/50/50；冷却：30/30/30/30；施法距离：300/300/300/300；作用范围：—/—/—/—；持续时间：10/10/10/10。</x:v>
      </x:c>
      <x:c r="AD127" s="48" t="str">
        <x:v>10 / 1 / 10% / 5% / 2 / 20% / 3 / 30% / 15% / 4 / 40% / 30</x:v>
      </x:c>
      <x:c r="AE127" s="48" t="str">
        <x:v>A</x:v>
      </x:c>
      <x:c r="AF127" s="48" t="str">
        <x:v>6.48b 地图内 UnitAbilities/AbilityData/AbilityStrings 与对象修改表</x:v>
      </x:c>
      <x:c r="AG127" s="18" t="str">
        <x:v>S1</x:v>
      </x:c>
    </x:row>
    <x:row r="128" ht="48" customHeight="1">
      <x:c r="A128" s="19" t="str">
        <x:v>N01O-3</x:v>
      </x:c>
      <x:c r="B128" s="19" t="str">
        <x:v>近卫军团</x:v>
      </x:c>
      <x:c r="C128" s="19" t="str">
        <x:v>清晨酒馆</x:v>
      </x:c>
      <x:c r="D128" s="19" t="str">
        <x:v>德鲁伊</x:v>
      </x:c>
      <x:c r="E128" s="19" t="str">
        <x:v>Lone Druid</x:v>
      </x:c>
      <x:c r="F128" s="19" t="str">
        <x:v>N01O</x:v>
      </x:c>
      <x:c r="G128" s="19" t="str">
        <x:v>Syllabear</x:v>
      </x:c>
      <x:c r="H128" s="19" t="str">
        <x:v>AGI</x:v>
      </x:c>
      <x:c r="I128" s="19" t="str">
        <x:v>远程</x:v>
      </x:c>
      <x:c r="J128" s="19" t="n">
        <x:v>3</x:v>
      </x:c>
      <x:c r="K128" s="19" t="str">
        <x:v>Synergy</x:v>
      </x:c>
      <x:c r="L128" s="19" t="str">
        <x:v>A0A8</x:v>
      </x:c>
      <x:c r="M128" s="49" t="str">
        <x:v>否</x:v>
      </x:c>
      <x:c r="N128" s="49" t="n">
        <x:v>4</x:v>
      </x:c>
      <x:c r="O128" s="49" t="n">
        <x:v>1</x:v>
      </x:c>
      <x:c r="P128" s="49" t="n">
        <x:v>2</x:v>
      </x:c>
      <x:c r="Q128" s="19" t="str">
        <x:v>主动</x:v>
      </x:c>
      <x:c r="R128" s="19" t="str">
        <x:v>无目标或脚本目标</x:v>
      </x:c>
      <x:c r="S128" s="19" t="str">
        <x:v>软控</x:v>
      </x:c>
      <x:c r="T128" s="19" t="str">
        <x:v>伤害、软控、强化、变身/形态</x:v>
      </x:c>
      <x:c r="U128" s="48" t="str">
        <x:v>主动；无目标或脚本目标；主分类：软控；标签：伤害、软控、强化、变身/形态</x:v>
      </x:c>
      <x:c r="V128" s="48" t="str">
        <x:v>—/—/—/—</x:v>
      </x:c>
      <x:c r="W128" s="48" t="str">
        <x:v>—/—/—/—</x:v>
      </x:c>
      <x:c r="X128" s="48" t="str">
        <x:v>—/—/—/—</x:v>
      </x:c>
      <x:c r="Y128" s="48" t="str">
        <x:v>—/—/—/—</x:v>
      </x:c>
      <x:c r="Z128" s="48" t="str">
        <x:v>—/—/—/—</x:v>
      </x:c>
      <x:c r="AA128" s="48" t="str">
        <x:v>—/—/—/—</x:v>
      </x:c>
      <x:c r="AB128" s="48" t="str">
        <x:v>—/—/—/—</x:v>
      </x:c>
      <x:c r="AC128" s="48" t="str">
        <x:v>主动；无目标或脚本目标；主分类：软控；标签：伤害、软控、强化、变身/形态；等级：4；魔耗：—/—/—/—；冷却：—/—/—/—；施法距离：—/—/—/—；作用范围：—/—/—/—；持续时间：—/—/—/—。</x:v>
      </x:c>
      <x:c r="AD128" s="48" t="str">
        <x:v>10 / 1 / 100 / 2 / 20 / 200 / 3 / 30 / 300 / 4 / 40 / 400</x:v>
      </x:c>
      <x:c r="AE128" s="48" t="str">
        <x:v>A</x:v>
      </x:c>
      <x:c r="AF128" s="48" t="str">
        <x:v>6.48b 地图内 UnitAbilities/AbilityData/AbilityStrings 与对象修改表</x:v>
      </x:c>
      <x:c r="AG128" s="18" t="str">
        <x:v>S1</x:v>
      </x:c>
    </x:row>
    <x:row r="129" ht="48" customHeight="1">
      <x:c r="A129" s="19" t="str">
        <x:v>N01O-4</x:v>
      </x:c>
      <x:c r="B129" s="19" t="str">
        <x:v>近卫军团</x:v>
      </x:c>
      <x:c r="C129" s="19" t="str">
        <x:v>清晨酒馆</x:v>
      </x:c>
      <x:c r="D129" s="19" t="str">
        <x:v>德鲁伊</x:v>
      </x:c>
      <x:c r="E129" s="19" t="str">
        <x:v>Lone Druid</x:v>
      </x:c>
      <x:c r="F129" s="19" t="str">
        <x:v>N01O</x:v>
      </x:c>
      <x:c r="G129" s="19" t="str">
        <x:v>Syllabear</x:v>
      </x:c>
      <x:c r="H129" s="19" t="str">
        <x:v>AGI</x:v>
      </x:c>
      <x:c r="I129" s="19" t="str">
        <x:v>远程</x:v>
      </x:c>
      <x:c r="J129" s="19" t="n">
        <x:v>4</x:v>
      </x:c>
      <x:c r="K129" s="19" t="str">
        <x:v>True Form</x:v>
      </x:c>
      <x:c r="L129" s="19" t="str">
        <x:v>A0AG</x:v>
      </x:c>
      <x:c r="M129" s="49" t="str">
        <x:v>是</x:v>
      </x:c>
      <x:c r="N129" s="49" t="n">
        <x:v>3</x:v>
      </x:c>
      <x:c r="O129" s="49" t="n">
        <x:v>6</x:v>
      </x:c>
      <x:c r="P129" s="49" t="n">
        <x:v>5</x:v>
      </x:c>
      <x:c r="Q129" s="19" t="str">
        <x:v>主动</x:v>
      </x:c>
      <x:c r="R129" s="19" t="str">
        <x:v>无目标或脚本目标</x:v>
      </x:c>
      <x:c r="S129" s="19" t="str">
        <x:v>治疗/回复</x:v>
      </x:c>
      <x:c r="T129" s="19" t="str">
        <x:v>治疗/回复、强化、变身/形态</x:v>
      </x:c>
      <x:c r="U129" s="48" t="str">
        <x:v>主动；无目标或脚本目标；主分类：治疗/回复；标签：治疗/回复、强化、变身/形态</x:v>
      </x:c>
      <x:c r="V129" s="48" t="str">
        <x:v>25/25/25</x:v>
      </x:c>
      <x:c r="W129" s="48" t="str">
        <x:v>—/—/—</x:v>
      </x:c>
      <x:c r="X129" s="48" t="str">
        <x:v>—/—/—</x:v>
      </x:c>
      <x:c r="Y129" s="48" t="str">
        <x:v>—/—/—</x:v>
      </x:c>
      <x:c r="Z129" s="48" t="str">
        <x:v>1.45/1.45/1.45</x:v>
      </x:c>
      <x:c r="AA129" s="48" t="str">
        <x:v>—/—/—</x:v>
      </x:c>
      <x:c r="AB129" s="48" t="str">
        <x:v>—/—/—</x:v>
      </x:c>
      <x:c r="AC129" s="48" t="str">
        <x:v>主动；无目标或脚本目标；主分类：治疗/回复；标签：治疗/回复、强化、变身/形态；等级：3；魔耗：25/25/25；冷却：—/—/—；施法距离：—/—/—；作用范围：—/—/—；持续时间：1.45/1.45/1.45。</x:v>
      </x:c>
      <x:c r="AD129" s="48" t="str">
        <x:v>1 / 250 / 2 / 400 / 3 / 600</x:v>
      </x:c>
      <x:c r="AE129" s="48" t="str">
        <x:v>A</x:v>
      </x:c>
      <x:c r="AF129" s="48" t="str">
        <x:v>6.48b 地图内 UnitAbilities/AbilityData/AbilityStrings 与对象修改表</x:v>
      </x:c>
      <x:c r="AG129" s="18" t="str">
        <x:v>S1</x:v>
      </x:c>
    </x:row>
    <x:row r="130" ht="48" customHeight="1">
      <x:c r="A130" s="19" t="str">
        <x:v>Otch-1</x:v>
      </x:c>
      <x:c r="B130" s="19" t="str">
        <x:v>近卫军团</x:v>
      </x:c>
      <x:c r="C130" s="19" t="str">
        <x:v>清晨酒馆</x:v>
      </x:c>
      <x:c r="D130" s="19" t="str">
        <x:v>撼地神牛</x:v>
      </x:c>
      <x:c r="E130" s="19" t="str">
        <x:v>Earthshaker</x:v>
      </x:c>
      <x:c r="F130" s="19" t="str">
        <x:v>Otch</x:v>
      </x:c>
      <x:c r="G130" s="19" t="str">
        <x:v>Raigor Stonehoof</x:v>
      </x:c>
      <x:c r="H130" s="19" t="str">
        <x:v>STR</x:v>
      </x:c>
      <x:c r="I130" s="19" t="str">
        <x:v>近战</x:v>
      </x:c>
      <x:c r="J130" s="19" t="n">
        <x:v>1</x:v>
      </x:c>
      <x:c r="K130" s="19" t="str">
        <x:v>Fissure</x:v>
      </x:c>
      <x:c r="L130" s="19" t="str">
        <x:v>A0M0</x:v>
      </x:c>
      <x:c r="M130" s="49" t="str">
        <x:v>否</x:v>
      </x:c>
      <x:c r="N130" s="49" t="n">
        <x:v>4</x:v>
      </x:c>
      <x:c r="O130" s="49" t="n">
        <x:v>1</x:v>
      </x:c>
      <x:c r="P130" s="49" t="n">
        <x:v>2</x:v>
      </x:c>
      <x:c r="Q130" s="19" t="str">
        <x:v>主动</x:v>
      </x:c>
      <x:c r="R130" s="19" t="str">
        <x:v>无目标或脚本目标</x:v>
      </x:c>
      <x:c r="S130" s="19" t="str">
        <x:v>硬控</x:v>
      </x:c>
      <x:c r="T130" s="19" t="str">
        <x:v>伤害、硬控</x:v>
      </x:c>
      <x:c r="U130" s="48" t="str">
        <x:v>主动；无目标或脚本目标；主分类：硬控；标签：伤害、硬控</x:v>
      </x:c>
      <x:c r="V130" s="48" t="str">
        <x:v>125/140/155/170</x:v>
      </x:c>
      <x:c r="W130" s="48" t="str">
        <x:v>15/15/15/15</x:v>
      </x:c>
      <x:c r="X130" s="48" t="str">
        <x:v>1200/1200/1200/1200</x:v>
      </x:c>
      <x:c r="Y130" s="48" t="str">
        <x:v>300/300/300/300</x:v>
      </x:c>
      <x:c r="Z130" s="48" t="str">
        <x:v>1/1.25/1.5/1.75</x:v>
      </x:c>
      <x:c r="AA130" s="48" t="str">
        <x:v>1/1.25/1.5/1.75</x:v>
      </x:c>
      <x:c r="AB130" s="48" t="str">
        <x:v>ground,enemy,neutral,organic/ground,enemy,neutral,organic/ground,enemy,neutral,organic/ground,enemy,neutral,organic</x:v>
      </x:c>
      <x:c r="AC130" s="48" t="str">
        <x:v>主动；无目标或脚本目标；主分类：硬控；标签：伤害、硬控；等级：4；魔耗：125/140/155/170；冷却：15/15/15/15；施法距离：1200/1200/1200/1200；作用范围：300/300/300/300；持续时间：1/1.25/1.5/1.75。</x:v>
      </x:c>
      <x:c r="AD130" s="48" t="str">
        <x:v>1 / 125 / 2 / 175 / 1.25 / 3 / 225 / 1.5 / 4 / 275 / 1.75 / 15 / 8</x:v>
      </x:c>
      <x:c r="AE130" s="48" t="str">
        <x:v>A</x:v>
      </x:c>
      <x:c r="AF130" s="48" t="str">
        <x:v>6.48b 地图内 UnitAbilities/AbilityData/AbilityStrings 与对象修改表</x:v>
      </x:c>
      <x:c r="AG130" s="18" t="str">
        <x:v>S1</x:v>
      </x:c>
    </x:row>
    <x:row r="131" ht="48" customHeight="1">
      <x:c r="A131" s="19" t="str">
        <x:v>Otch-2</x:v>
      </x:c>
      <x:c r="B131" s="19" t="str">
        <x:v>近卫军团</x:v>
      </x:c>
      <x:c r="C131" s="19" t="str">
        <x:v>清晨酒馆</x:v>
      </x:c>
      <x:c r="D131" s="19" t="str">
        <x:v>撼地神牛</x:v>
      </x:c>
      <x:c r="E131" s="19" t="str">
        <x:v>Earthshaker</x:v>
      </x:c>
      <x:c r="F131" s="19" t="str">
        <x:v>Otch</x:v>
      </x:c>
      <x:c r="G131" s="19" t="str">
        <x:v>Raigor Stonehoof</x:v>
      </x:c>
      <x:c r="H131" s="19" t="str">
        <x:v>STR</x:v>
      </x:c>
      <x:c r="I131" s="19" t="str">
        <x:v>近战</x:v>
      </x:c>
      <x:c r="J131" s="19" t="n">
        <x:v>2</x:v>
      </x:c>
      <x:c r="K131" s="19" t="str">
        <x:v>Enchant Totem</x:v>
      </x:c>
      <x:c r="L131" s="19" t="str">
        <x:v>A0DL</x:v>
      </x:c>
      <x:c r="M131" s="49" t="str">
        <x:v>否</x:v>
      </x:c>
      <x:c r="N131" s="49" t="n">
        <x:v>4</x:v>
      </x:c>
      <x:c r="O131" s="49" t="n">
        <x:v>1</x:v>
      </x:c>
      <x:c r="P131" s="49" t="n">
        <x:v>2</x:v>
      </x:c>
      <x:c r="Q131" s="19" t="str">
        <x:v>主动</x:v>
      </x:c>
      <x:c r="R131" s="19" t="str">
        <x:v>无目标或脚本目标</x:v>
      </x:c>
      <x:c r="S131" s="19" t="str">
        <x:v>强化</x:v>
      </x:c>
      <x:c r="T131" s="19" t="str">
        <x:v>伤害、强化</x:v>
      </x:c>
      <x:c r="U131" s="48" t="str">
        <x:v>主动；无目标或脚本目标；主分类：强化；标签：伤害、强化</x:v>
      </x:c>
      <x:c r="V131" s="48" t="str">
        <x:v>50/50/50/50</x:v>
      </x:c>
      <x:c r="W131" s="48" t="str">
        <x:v>7/7/7/7</x:v>
      </x:c>
      <x:c r="X131" s="48" t="str">
        <x:v>—/—/—/—</x:v>
      </x:c>
      <x:c r="Y131" s="48" t="str">
        <x:v>—/—/—/—</x:v>
      </x:c>
      <x:c r="Z131" s="48" t="str">
        <x:v>14/14/14/14</x:v>
      </x:c>
      <x:c r="AA131" s="48" t="str">
        <x:v>14/14/14/14</x:v>
      </x:c>
      <x:c r="AB131" s="48" t="str">
        <x:v>self/self/self/self</x:v>
      </x:c>
      <x:c r="AC131" s="48" t="str">
        <x:v>主动；无目标或脚本目标；主分类：强化；标签：伤害、强化；等级：4；魔耗：50/50/50/50；冷却：7/7/7/7；施法距离：—/—/—/—；作用范围：—/—/—/—；持续时间：14/14/14/14。</x:v>
      </x:c>
      <x:c r="AD131" s="48" t="str">
        <x:v>1 / 50% / 2 / 100% / 3 / 150% / 4 / 200% / 7 / 14</x:v>
      </x:c>
      <x:c r="AE131" s="48" t="str">
        <x:v>A</x:v>
      </x:c>
      <x:c r="AF131" s="48" t="str">
        <x:v>6.48b 地图内 UnitAbilities/AbilityData/AbilityStrings 与对象修改表</x:v>
      </x:c>
      <x:c r="AG131" s="18" t="str">
        <x:v>S1</x:v>
      </x:c>
    </x:row>
    <x:row r="132" ht="48" customHeight="1">
      <x:c r="A132" s="19" t="str">
        <x:v>Otch-3</x:v>
      </x:c>
      <x:c r="B132" s="19" t="str">
        <x:v>近卫军团</x:v>
      </x:c>
      <x:c r="C132" s="19" t="str">
        <x:v>清晨酒馆</x:v>
      </x:c>
      <x:c r="D132" s="19" t="str">
        <x:v>撼地神牛</x:v>
      </x:c>
      <x:c r="E132" s="19" t="str">
        <x:v>Earthshaker</x:v>
      </x:c>
      <x:c r="F132" s="19" t="str">
        <x:v>Otch</x:v>
      </x:c>
      <x:c r="G132" s="19" t="str">
        <x:v>Raigor Stonehoof</x:v>
      </x:c>
      <x:c r="H132" s="19" t="str">
        <x:v>STR</x:v>
      </x:c>
      <x:c r="I132" s="19" t="str">
        <x:v>近战</x:v>
      </x:c>
      <x:c r="J132" s="19" t="n">
        <x:v>3</x:v>
      </x:c>
      <x:c r="K132" s="19" t="str">
        <x:v>Aftershock</x:v>
      </x:c>
      <x:c r="L132" s="19" t="str">
        <x:v>A0DJ</x:v>
      </x:c>
      <x:c r="M132" s="49" t="str">
        <x:v>否</x:v>
      </x:c>
      <x:c r="N132" s="49" t="n">
        <x:v>4</x:v>
      </x:c>
      <x:c r="O132" s="49" t="n">
        <x:v>1</x:v>
      </x:c>
      <x:c r="P132" s="49" t="n">
        <x:v>2</x:v>
      </x:c>
      <x:c r="Q132" s="19" t="str">
        <x:v>被动</x:v>
      </x:c>
      <x:c r="R132" s="19" t="str">
        <x:v>被动</x:v>
      </x:c>
      <x:c r="S132" s="19" t="str">
        <x:v>硬控</x:v>
      </x:c>
      <x:c r="T132" s="19" t="str">
        <x:v>伤害、硬控、范围效果、被动触发</x:v>
      </x:c>
      <x:c r="U132" s="48" t="str">
        <x:v>被动；被动；主分类：硬控；标签：伤害、硬控、范围效果、被动触发</x:v>
      </x:c>
      <x:c r="V132" s="48" t="str">
        <x:v>—/—/—/—</x:v>
      </x:c>
      <x:c r="W132" s="48" t="str">
        <x:v>—/—/—/—</x:v>
      </x:c>
      <x:c r="X132" s="48" t="str">
        <x:v>—/—/—/—</x:v>
      </x:c>
      <x:c r="Y132" s="48" t="str">
        <x:v>—/—/—/—</x:v>
      </x:c>
      <x:c r="Z132" s="48" t="str">
        <x:v>—/—/—/—</x:v>
      </x:c>
      <x:c r="AA132" s="48" t="str">
        <x:v>—/—/—/—</x:v>
      </x:c>
      <x:c r="AB132" s="48" t="str">
        <x:v>—/—/—/—</x:v>
      </x:c>
      <x:c r="AC132" s="48" t="str">
        <x:v>被动；被动；主分类：硬控；标签：伤害、硬控、范围效果、被动触发；等级：4；魔耗：—/—/—/—；冷却：—/—/—/—；施法距离：—/—/—/—；作用范围：—/—/—/—；持续时间：—/—/—/—。</x:v>
      </x:c>
      <x:c r="AD132" s="48" t="str">
        <x:v>1 / 25 / 3 / 2 / 45 / 7 / 75 / 1.2 / 4 / 115 / 1.5</x:v>
      </x:c>
      <x:c r="AE132" s="48" t="str">
        <x:v>A</x:v>
      </x:c>
      <x:c r="AF132" s="48" t="str">
        <x:v>6.48b 地图内 UnitAbilities/AbilityData/AbilityStrings 与对象修改表</x:v>
      </x:c>
      <x:c r="AG132" s="18" t="str">
        <x:v>S1</x:v>
      </x:c>
    </x:row>
    <x:row r="133" ht="48" customHeight="1">
      <x:c r="A133" s="19" t="str">
        <x:v>Otch-4</x:v>
      </x:c>
      <x:c r="B133" s="19" t="str">
        <x:v>近卫军团</x:v>
      </x:c>
      <x:c r="C133" s="19" t="str">
        <x:v>清晨酒馆</x:v>
      </x:c>
      <x:c r="D133" s="19" t="str">
        <x:v>撼地神牛</x:v>
      </x:c>
      <x:c r="E133" s="19" t="str">
        <x:v>Earthshaker</x:v>
      </x:c>
      <x:c r="F133" s="19" t="str">
        <x:v>Otch</x:v>
      </x:c>
      <x:c r="G133" s="19" t="str">
        <x:v>Raigor Stonehoof</x:v>
      </x:c>
      <x:c r="H133" s="19" t="str">
        <x:v>STR</x:v>
      </x:c>
      <x:c r="I133" s="19" t="str">
        <x:v>近战</x:v>
      </x:c>
      <x:c r="J133" s="19" t="n">
        <x:v>4</x:v>
      </x:c>
      <x:c r="K133" s="19" t="str">
        <x:v>Echo Slam</x:v>
      </x:c>
      <x:c r="L133" s="19" t="str">
        <x:v>A0DH</x:v>
      </x:c>
      <x:c r="M133" s="49" t="str">
        <x:v>是</x:v>
      </x:c>
      <x:c r="N133" s="49" t="n">
        <x:v>3</x:v>
      </x:c>
      <x:c r="O133" s="49" t="n">
        <x:v>6</x:v>
      </x:c>
      <x:c r="P133" s="49" t="n">
        <x:v>5</x:v>
      </x:c>
      <x:c r="Q133" s="19" t="str">
        <x:v>主动</x:v>
      </x:c>
      <x:c r="R133" s="19" t="str">
        <x:v>无目标/范围</x:v>
      </x:c>
      <x:c r="S133" s="19" t="str">
        <x:v>伤害</x:v>
      </x:c>
      <x:c r="T133" s="19" t="str">
        <x:v>伤害、范围效果</x:v>
      </x:c>
      <x:c r="U133" s="48" t="str">
        <x:v>主动；无目标/范围；主分类：伤害；标签：伤害、范围效果</x:v>
      </x:c>
      <x:c r="V133" s="48" t="str">
        <x:v>145/205/265</x:v>
      </x:c>
      <x:c r="W133" s="48" t="str">
        <x:v>150/130/110</x:v>
      </x:c>
      <x:c r="X133" s="48" t="str">
        <x:v>—/—/—</x:v>
      </x:c>
      <x:c r="Y133" s="48" t="str">
        <x:v>500/500/500</x:v>
      </x:c>
      <x:c r="Z133" s="48" t="str">
        <x:v>—/—/—</x:v>
      </x:c>
      <x:c r="AA133" s="48" t="str">
        <x:v>—/—/—</x:v>
      </x:c>
      <x:c r="AB133" s="48" t="str">
        <x:v>enemies,ground,organic/enemies,ground,organic/enemies,ground,organic</x:v>
      </x:c>
      <x:c r="AC133" s="48" t="str">
        <x:v>主动；无目标/范围；主分类：伤害；标签：伤害、范围效果；等级：3；魔耗：145/205/265；冷却：150/130/110；施法距离：—/—/—；作用范围：500/500/500；持续时间：—/—/—。</x:v>
      </x:c>
      <x:c r="AD133" s="48" t="str">
        <x:v>1 / 200 / 35 / 2 / 275 / 45 / 3 / 350 / 65 / 150 / 130 / 110</x:v>
      </x:c>
      <x:c r="AE133" s="48" t="str">
        <x:v>A</x:v>
      </x:c>
      <x:c r="AF133" s="48" t="str">
        <x:v>6.48b 地图内 UnitAbilities/AbilityData/AbilityStrings 与对象修改表</x:v>
      </x:c>
      <x:c r="AG133" s="18" t="str">
        <x:v>S1</x:v>
      </x:c>
    </x:row>
    <x:row r="134" ht="48" customHeight="1">
      <x:c r="A134" s="19" t="str">
        <x:v>HC92-1</x:v>
      </x:c>
      <x:c r="B134" s="19" t="str">
        <x:v>近卫军团</x:v>
      </x:c>
      <x:c r="C134" s="19" t="str">
        <x:v>清晨酒馆</x:v>
      </x:c>
      <x:c r="D134" s="19" t="str">
        <x:v>隐形刺客</x:v>
      </x:c>
      <x:c r="E134" s="19" t="str">
        <x:v>Stealth Assassin</x:v>
      </x:c>
      <x:c r="F134" s="19" t="str">
        <x:v>HC92</x:v>
      </x:c>
      <x:c r="G134" s="19" t="str">
        <x:v>Rikimaru</x:v>
      </x:c>
      <x:c r="H134" s="19" t="str">
        <x:v>AGI</x:v>
      </x:c>
      <x:c r="I134" s="19" t="str">
        <x:v>近战</x:v>
      </x:c>
      <x:c r="J134" s="19" t="n">
        <x:v>1</x:v>
      </x:c>
      <x:c r="K134" s="19" t="str">
        <x:v>Blink Strike</x:v>
      </x:c>
      <x:c r="L134" s="19" t="str">
        <x:v>A0K9</x:v>
      </x:c>
      <x:c r="M134" s="49" t="str">
        <x:v>否</x:v>
      </x:c>
      <x:c r="N134" s="49" t="n">
        <x:v>4</x:v>
      </x:c>
      <x:c r="O134" s="49" t="n">
        <x:v>1</x:v>
      </x:c>
      <x:c r="P134" s="49" t="n">
        <x:v>2</x:v>
      </x:c>
      <x:c r="Q134" s="19" t="str">
        <x:v>主动</x:v>
      </x:c>
      <x:c r="R134" s="19" t="str">
        <x:v>单位目标</x:v>
      </x:c>
      <x:c r="S134" s="19" t="str">
        <x:v>位移</x:v>
      </x:c>
      <x:c r="T134" s="19" t="str">
        <x:v>伤害、位移、强化、资源机制</x:v>
      </x:c>
      <x:c r="U134" s="48" t="str">
        <x:v>主动；单位目标；主分类：位移；标签：伤害、位移、强化、资源机制</x:v>
      </x:c>
      <x:c r="V134" s="48" t="str">
        <x:v>50/50/50/50</x:v>
      </x:c>
      <x:c r="W134" s="48" t="str">
        <x:v>30/20/10/5</x:v>
      </x:c>
      <x:c r="X134" s="48" t="str">
        <x:v>700/700/700/700</x:v>
      </x:c>
      <x:c r="Y134" s="48" t="str">
        <x:v>—/—/—/—</x:v>
      </x:c>
      <x:c r="Z134" s="48" t="str">
        <x:v>—/—/—/—</x:v>
      </x:c>
      <x:c r="AA134" s="48" t="str">
        <x:v>—/—/—/—</x:v>
      </x:c>
      <x:c r="AB134" s="48" t="str">
        <x:v>air,ground,notself,organic/air,ground,notself,organic/air,ground,notself,organic/air,ground,notself,organic</x:v>
      </x:c>
      <x:c r="AC134" s="48" t="str">
        <x:v>主动；单位目标；主分类：位移；标签：伤害、位移、强化、资源机制；等级：4；魔耗：50/50/50/50；冷却：30/20/10/5；施法距离：700/700/700/700；作用范围：—/—/—/—；持续时间：—/—/—/—。</x:v>
      </x:c>
      <x:c r="AD134" s="48" t="str">
        <x:v>50 / 1 / 30 / 2 / 60 / 3 / 90 / 4 / 120 / 20 / 10 / 5</x:v>
      </x:c>
      <x:c r="AE134" s="48" t="str">
        <x:v>A</x:v>
      </x:c>
      <x:c r="AF134" s="48" t="str">
        <x:v>6.48b 地图内 UnitAbilities/AbilityData/AbilityStrings 与对象修改表</x:v>
      </x:c>
      <x:c r="AG134" s="18" t="str">
        <x:v>S1</x:v>
      </x:c>
    </x:row>
    <x:row r="135" ht="48" customHeight="1">
      <x:c r="A135" s="19" t="str">
        <x:v>HC92-2</x:v>
      </x:c>
      <x:c r="B135" s="19" t="str">
        <x:v>近卫军团</x:v>
      </x:c>
      <x:c r="C135" s="19" t="str">
        <x:v>清晨酒馆</x:v>
      </x:c>
      <x:c r="D135" s="19" t="str">
        <x:v>隐形刺客</x:v>
      </x:c>
      <x:c r="E135" s="19" t="str">
        <x:v>Stealth Assassin</x:v>
      </x:c>
      <x:c r="F135" s="19" t="str">
        <x:v>HC92</x:v>
      </x:c>
      <x:c r="G135" s="19" t="str">
        <x:v>Rikimaru</x:v>
      </x:c>
      <x:c r="H135" s="19" t="str">
        <x:v>AGI</x:v>
      </x:c>
      <x:c r="I135" s="19" t="str">
        <x:v>近战</x:v>
      </x:c>
      <x:c r="J135" s="19" t="n">
        <x:v>2</x:v>
      </x:c>
      <x:c r="K135" s="19" t="str">
        <x:v>Backstab</x:v>
      </x:c>
      <x:c r="L135" s="19" t="str">
        <x:v>A0DZ</x:v>
      </x:c>
      <x:c r="M135" s="49" t="str">
        <x:v>否</x:v>
      </x:c>
      <x:c r="N135" s="49" t="n">
        <x:v>4</x:v>
      </x:c>
      <x:c r="O135" s="49" t="n">
        <x:v>1</x:v>
      </x:c>
      <x:c r="P135" s="49" t="n">
        <x:v>2</x:v>
      </x:c>
      <x:c r="Q135" s="19" t="str">
        <x:v>被动</x:v>
      </x:c>
      <x:c r="R135" s="19" t="str">
        <x:v>被动</x:v>
      </x:c>
      <x:c r="S135" s="19" t="str">
        <x:v>强化</x:v>
      </x:c>
      <x:c r="T135" s="19" t="str">
        <x:v>伤害、强化、被动触发</x:v>
      </x:c>
      <x:c r="U135" s="48" t="str">
        <x:v>被动；被动；主分类：强化；标签：伤害、强化、被动触发</x:v>
      </x:c>
      <x:c r="V135" s="48" t="str">
        <x:v>—/—/—/—</x:v>
      </x:c>
      <x:c r="W135" s="48" t="str">
        <x:v>—/—/—/—</x:v>
      </x:c>
      <x:c r="X135" s="48" t="str">
        <x:v>—/—/—/—</x:v>
      </x:c>
      <x:c r="Y135" s="48" t="str">
        <x:v>—/—/—/—</x:v>
      </x:c>
      <x:c r="Z135" s="48" t="str">
        <x:v>—/—/—/—</x:v>
      </x:c>
      <x:c r="AA135" s="48" t="str">
        <x:v>—/—/—/—</x:v>
      </x:c>
      <x:c r="AB135" s="48" t="str">
        <x:v>—/—/—/—</x:v>
      </x:c>
      <x:c r="AC135" s="48" t="str">
        <x:v>被动；被动；主分类：强化；标签：伤害、强化、被动触发；等级：4；魔耗：—/—/—/—；冷却：—/—/—/—；施法距离：—/—/—/—；作用范围：—/—/—/—；持续时间：—/—/—/—。</x:v>
      </x:c>
      <x:c r="AD135" s="48" t="str">
        <x:v>1 / 25 / 2 / 5 / 3 / 75 / 4</x:v>
      </x:c>
      <x:c r="AE135" s="48" t="str">
        <x:v>A</x:v>
      </x:c>
      <x:c r="AF135" s="48" t="str">
        <x:v>6.48b 地图内 UnitAbilities/AbilityData/AbilityStrings 与对象修改表</x:v>
      </x:c>
      <x:c r="AG135" s="18" t="str">
        <x:v>S1</x:v>
      </x:c>
    </x:row>
    <x:row r="136" ht="48" customHeight="1">
      <x:c r="A136" s="19" t="str">
        <x:v>HC92-3</x:v>
      </x:c>
      <x:c r="B136" s="19" t="str">
        <x:v>近卫军团</x:v>
      </x:c>
      <x:c r="C136" s="19" t="str">
        <x:v>清晨酒馆</x:v>
      </x:c>
      <x:c r="D136" s="19" t="str">
        <x:v>隐形刺客</x:v>
      </x:c>
      <x:c r="E136" s="19" t="str">
        <x:v>Stealth Assassin</x:v>
      </x:c>
      <x:c r="F136" s="19" t="str">
        <x:v>HC92</x:v>
      </x:c>
      <x:c r="G136" s="19" t="str">
        <x:v>Rikimaru</x:v>
      </x:c>
      <x:c r="H136" s="19" t="str">
        <x:v>AGI</x:v>
      </x:c>
      <x:c r="I136" s="19" t="str">
        <x:v>近战</x:v>
      </x:c>
      <x:c r="J136" s="19" t="n">
        <x:v>3</x:v>
      </x:c>
      <x:c r="K136" s="19" t="str">
        <x:v>Permanent Invisibility</x:v>
      </x:c>
      <x:c r="L136" s="19" t="str">
        <x:v>A00J</x:v>
      </x:c>
      <x:c r="M136" s="49" t="str">
        <x:v>是</x:v>
      </x:c>
      <x:c r="N136" s="49" t="n">
        <x:v>3</x:v>
      </x:c>
      <x:c r="O136" s="49" t="n">
        <x:v>6</x:v>
      </x:c>
      <x:c r="P136" s="49" t="n">
        <x:v>5</x:v>
      </x:c>
      <x:c r="Q136" s="19" t="str">
        <x:v>被动/脚本触发</x:v>
      </x:c>
      <x:c r="R136" s="19" t="str">
        <x:v>被动</x:v>
      </x:c>
      <x:c r="S136" s="19" t="str">
        <x:v>功能/特殊</x:v>
      </x:c>
      <x:c r="T136" s="19" t="str">
        <x:v>隐身、被动触发</x:v>
      </x:c>
      <x:c r="U136" s="48" t="str">
        <x:v>被动/脚本触发；被动；主分类：功能/特殊；标签：隐身、被动触发</x:v>
      </x:c>
      <x:c r="V136" s="48" t="str">
        <x:v>—/—/—</x:v>
      </x:c>
      <x:c r="W136" s="48" t="str">
        <x:v>—/—/—</x:v>
      </x:c>
      <x:c r="X136" s="48" t="str">
        <x:v>—/—/—</x:v>
      </x:c>
      <x:c r="Y136" s="48" t="str">
        <x:v>—/—/—</x:v>
      </x:c>
      <x:c r="Z136" s="48" t="str">
        <x:v>3/2.25/1.5</x:v>
      </x:c>
      <x:c r="AA136" s="48" t="str">
        <x:v>3/2.25/1.5</x:v>
      </x:c>
      <x:c r="AB136" s="48" t="str">
        <x:v>—/—/—</x:v>
      </x:c>
      <x:c r="AC136" s="48" t="str">
        <x:v>被动/脚本触发；被动；主分类：功能/特殊；标签：隐身、被动触发；等级：3；魔耗：—/—/—；冷却：—/—/—；施法距离：—/—/—；作用范围：—/—/—；持续时间：3/2.25/1.5。</x:v>
      </x:c>
      <x:c r="AD136" s="48" t="str">
        <x:v>1 / 3 / 2 / 2.25 / 1.5</x:v>
      </x:c>
      <x:c r="AE136" s="48" t="str">
        <x:v>A</x:v>
      </x:c>
      <x:c r="AF136" s="48" t="str">
        <x:v>6.48b 地图内 UnitAbilities/AbilityData/AbilityStrings 与对象修改表</x:v>
      </x:c>
      <x:c r="AG136" s="18" t="str">
        <x:v>S1</x:v>
      </x:c>
    </x:row>
    <x:row r="137" ht="48" customHeight="1">
      <x:c r="A137" s="19" t="str">
        <x:v>HC92-4</x:v>
      </x:c>
      <x:c r="B137" s="19" t="str">
        <x:v>近卫军团</x:v>
      </x:c>
      <x:c r="C137" s="19" t="str">
        <x:v>清晨酒馆</x:v>
      </x:c>
      <x:c r="D137" s="19" t="str">
        <x:v>隐形刺客</x:v>
      </x:c>
      <x:c r="E137" s="19" t="str">
        <x:v>Stealth Assassin</x:v>
      </x:c>
      <x:c r="F137" s="19" t="str">
        <x:v>HC92</x:v>
      </x:c>
      <x:c r="G137" s="19" t="str">
        <x:v>Rikimaru</x:v>
      </x:c>
      <x:c r="H137" s="19" t="str">
        <x:v>AGI</x:v>
      </x:c>
      <x:c r="I137" s="19" t="str">
        <x:v>近战</x:v>
      </x:c>
      <x:c r="J137" s="19" t="n">
        <x:v>4</x:v>
      </x:c>
      <x:c r="K137" s="19" t="str">
        <x:v>Smoke Screen</x:v>
      </x:c>
      <x:c r="L137" s="19" t="str">
        <x:v>A0RG</x:v>
      </x:c>
      <x:c r="M137" s="49" t="str">
        <x:v>否</x:v>
      </x:c>
      <x:c r="N137" s="49" t="n">
        <x:v>4</x:v>
      </x:c>
      <x:c r="O137" s="49" t="n">
        <x:v>1</x:v>
      </x:c>
      <x:c r="P137" s="49" t="n">
        <x:v>2</x:v>
      </x:c>
      <x:c r="Q137" s="19" t="str">
        <x:v>主动</x:v>
      </x:c>
      <x:c r="R137" s="19" t="str">
        <x:v>无目标/范围</x:v>
      </x:c>
      <x:c r="S137" s="19" t="str">
        <x:v>软控</x:v>
      </x:c>
      <x:c r="T137" s="19" t="str">
        <x:v>软控、范围效果</x:v>
      </x:c>
      <x:c r="U137" s="48" t="str">
        <x:v>主动；无目标/范围；主分类：软控；标签：软控、范围效果</x:v>
      </x:c>
      <x:c r="V137" s="48" t="str">
        <x:v>75/80/85/90</x:v>
      </x:c>
      <x:c r="W137" s="48" t="str">
        <x:v>15/15/15/15</x:v>
      </x:c>
      <x:c r="X137" s="48" t="str">
        <x:v>350/350/350/350</x:v>
      </x:c>
      <x:c r="Y137" s="48" t="str">
        <x:v>250/275/300/325</x:v>
      </x:c>
      <x:c r="Z137" s="48" t="str">
        <x:v>—/—/—/—</x:v>
      </x:c>
      <x:c r="AA137" s="48" t="str">
        <x:v>—/—/—/—</x:v>
      </x:c>
      <x:c r="AB137" s="48" t="str">
        <x:v>air,enemies,ground,neutral/air,enemies,ground,neutral/air,enemies,ground,neutral/air,enemies,ground,neutral</x:v>
      </x:c>
      <x:c r="AC137" s="48" t="str">
        <x:v>主动；无目标/范围；主分类：软控；标签：软控、范围效果；等级：4；魔耗：75/80/85/90；冷却：15/15/15/15；施法距离：350/350/350/350；作用范围：250/275/300/325；持续时间：—/—/—/—。</x:v>
      </x:c>
      <x:c r="AD137" s="48" t="str">
        <x:v>25% / 6 / 1 / 250 / 40% / 2 / 275 / 50% / 3 / 300 / 60% / 4 / 325 / 70% / 15</x:v>
      </x:c>
      <x:c r="AE137" s="48" t="str">
        <x:v>A</x:v>
      </x:c>
      <x:c r="AF137" s="48" t="str">
        <x:v>6.48b 地图内 UnitAbilities/AbilityData/AbilityStrings 与对象修改表</x:v>
      </x:c>
      <x:c r="AG137" s="18" t="str">
        <x:v>S1</x:v>
      </x:c>
    </x:row>
    <x:row r="138" ht="48" customHeight="1">
      <x:c r="A138" s="19" t="str">
        <x:v>H004-1</x:v>
      </x:c>
      <x:c r="B138" s="19" t="str">
        <x:v>近卫军团</x:v>
      </x:c>
      <x:c r="C138" s="19" t="str">
        <x:v>清晨酒馆</x:v>
      </x:c>
      <x:c r="D138" s="19" t="str">
        <x:v>秀逗魔导士</x:v>
      </x:c>
      <x:c r="E138" s="19" t="str">
        <x:v>Slayer</x:v>
      </x:c>
      <x:c r="F138" s="19" t="str">
        <x:v>H004</x:v>
      </x:c>
      <x:c r="G138" s="19" t="str">
        <x:v>Lina Inverse</x:v>
      </x:c>
      <x:c r="H138" s="19" t="str">
        <x:v>INT</x:v>
      </x:c>
      <x:c r="I138" s="19" t="str">
        <x:v>远程</x:v>
      </x:c>
      <x:c r="J138" s="19" t="n">
        <x:v>1</x:v>
      </x:c>
      <x:c r="K138" s="19" t="str">
        <x:v>Dragon Slave</x:v>
      </x:c>
      <x:c r="L138" s="19" t="str">
        <x:v>A01F</x:v>
      </x:c>
      <x:c r="M138" s="49" t="str">
        <x:v>否</x:v>
      </x:c>
      <x:c r="N138" s="49" t="n">
        <x:v>4</x:v>
      </x:c>
      <x:c r="O138" s="49" t="n">
        <x:v>1</x:v>
      </x:c>
      <x:c r="P138" s="49" t="n">
        <x:v>2</x:v>
      </x:c>
      <x:c r="Q138" s="19" t="str">
        <x:v>主动</x:v>
      </x:c>
      <x:c r="R138" s="19" t="str">
        <x:v>无目标或脚本目标</x:v>
      </x:c>
      <x:c r="S138" s="19" t="str">
        <x:v>伤害</x:v>
      </x:c>
      <x:c r="T138" s="19" t="str">
        <x:v>伤害</x:v>
      </x:c>
      <x:c r="U138" s="48" t="str">
        <x:v>主动；无目标或脚本目标；主分类：伤害；标签：伤害</x:v>
      </x:c>
      <x:c r="V138" s="48" t="str">
        <x:v>90/105/125/140</x:v>
      </x:c>
      <x:c r="W138" s="48" t="str">
        <x:v>8.5/8.5/8.5/8.5</x:v>
      </x:c>
      <x:c r="X138" s="48" t="str">
        <x:v>600/600/600/600</x:v>
      </x:c>
      <x:c r="Y138" s="48" t="str">
        <x:v>275/275/275/275</x:v>
      </x:c>
      <x:c r="Z138" s="48" t="str">
        <x:v>—/—/—/—</x:v>
      </x:c>
      <x:c r="AA138" s="48" t="str">
        <x:v>—/—/—/—</x:v>
      </x:c>
      <x:c r="AB138" s="48" t="str">
        <x:v>enemies,ground,organic/enemies,ground,organic/enemies,ground,organic/enemies,ground,organic</x:v>
      </x:c>
      <x:c r="AC138" s="48" t="str">
        <x:v>主动；无目标或脚本目标；主分类：伤害；标签：伤害；等级：4；魔耗：90/105/125/140；冷却：8.5/8.5/8.5/8.5；施法距离：600/600/600/600；作用范围：275/275/275/275；持续时间：—/—/—/—。</x:v>
      </x:c>
      <x:c r="AD138" s="48" t="str">
        <x:v>1 / 100 / 2 / 170 / 3 / 230 / 4 / 280 / 8.5</x:v>
      </x:c>
      <x:c r="AE138" s="48" t="str">
        <x:v>A</x:v>
      </x:c>
      <x:c r="AF138" s="48" t="str">
        <x:v>6.48b 地图内 UnitAbilities/AbilityData/AbilityStrings 与对象修改表</x:v>
      </x:c>
      <x:c r="AG138" s="18" t="str">
        <x:v>S1</x:v>
      </x:c>
    </x:row>
    <x:row r="139" ht="48" customHeight="1">
      <x:c r="A139" s="19" t="str">
        <x:v>H004-2</x:v>
      </x:c>
      <x:c r="B139" s="19" t="str">
        <x:v>近卫军团</x:v>
      </x:c>
      <x:c r="C139" s="19" t="str">
        <x:v>清晨酒馆</x:v>
      </x:c>
      <x:c r="D139" s="19" t="str">
        <x:v>秀逗魔导士</x:v>
      </x:c>
      <x:c r="E139" s="19" t="str">
        <x:v>Slayer</x:v>
      </x:c>
      <x:c r="F139" s="19" t="str">
        <x:v>H004</x:v>
      </x:c>
      <x:c r="G139" s="19" t="str">
        <x:v>Lina Inverse</x:v>
      </x:c>
      <x:c r="H139" s="19" t="str">
        <x:v>INT</x:v>
      </x:c>
      <x:c r="I139" s="19" t="str">
        <x:v>远程</x:v>
      </x:c>
      <x:c r="J139" s="19" t="n">
        <x:v>2</x:v>
      </x:c>
      <x:c r="K139" s="19" t="str">
        <x:v>Light Strike Array</x:v>
      </x:c>
      <x:c r="L139" s="19" t="str">
        <x:v>A027</x:v>
      </x:c>
      <x:c r="M139" s="49" t="str">
        <x:v>否</x:v>
      </x:c>
      <x:c r="N139" s="49" t="n">
        <x:v>4</x:v>
      </x:c>
      <x:c r="O139" s="49" t="n">
        <x:v>1</x:v>
      </x:c>
      <x:c r="P139" s="49" t="n">
        <x:v>2</x:v>
      </x:c>
      <x:c r="Q139" s="19" t="str">
        <x:v>主动</x:v>
      </x:c>
      <x:c r="R139" s="19" t="str">
        <x:v>无目标或脚本目标</x:v>
      </x:c>
      <x:c r="S139" s="19" t="str">
        <x:v>召唤</x:v>
      </x:c>
      <x:c r="T139" s="19" t="str">
        <x:v>伤害、硬控、召唤</x:v>
      </x:c>
      <x:c r="U139" s="48" t="str">
        <x:v>主动；无目标或脚本目标；主分类：召唤；标签：伤害、硬控、召唤</x:v>
      </x:c>
      <x:c r="V139" s="48" t="str">
        <x:v>90/100/110/125</x:v>
      </x:c>
      <x:c r="W139" s="48" t="str">
        <x:v>10/10/10/10</x:v>
      </x:c>
      <x:c r="X139" s="48" t="str">
        <x:v>600/600/600/600</x:v>
      </x:c>
      <x:c r="Y139" s="48" t="str">
        <x:v>225/225/225/225</x:v>
      </x:c>
      <x:c r="Z139" s="48" t="str">
        <x:v>1.6/1.6/1.6/1.6</x:v>
      </x:c>
      <x:c r="AA139" s="48" t="str">
        <x:v>1.6/1.6/1.6/1.6</x:v>
      </x:c>
      <x:c r="AB139" s="48" t="str">
        <x:v>enemies,ground,neutral,organic/enemies,ground,neutral,organic/enemies,ground,neutral,organic/enemies,ground,neutral,organic</x:v>
      </x:c>
      <x:c r="AC139" s="48" t="str">
        <x:v>主动；无目标或脚本目标；主分类：召唤；标签：伤害、硬控、召唤；等级：4；魔耗：90/100/110/125；冷却：10/10/10/10；施法距离：600/600/600/600；作用范围：225/225/225/225；持续时间：1.6/1.6/1.6/1.6。</x:v>
      </x:c>
      <x:c r="AD139" s="48" t="str">
        <x:v>1.6 / 1 / 90 / 2 / 150 / 3 / 210 / 4 / 280 / 10</x:v>
      </x:c>
      <x:c r="AE139" s="48" t="str">
        <x:v>A</x:v>
      </x:c>
      <x:c r="AF139" s="48" t="str">
        <x:v>6.48b 地图内 UnitAbilities/AbilityData/AbilityStrings 与对象修改表</x:v>
      </x:c>
      <x:c r="AG139" s="18" t="str">
        <x:v>S1</x:v>
      </x:c>
    </x:row>
    <x:row r="140" ht="48" customHeight="1">
      <x:c r="A140" s="19" t="str">
        <x:v>H004-3</x:v>
      </x:c>
      <x:c r="B140" s="19" t="str">
        <x:v>近卫军团</x:v>
      </x:c>
      <x:c r="C140" s="19" t="str">
        <x:v>清晨酒馆</x:v>
      </x:c>
      <x:c r="D140" s="19" t="str">
        <x:v>秀逗魔导士</x:v>
      </x:c>
      <x:c r="E140" s="19" t="str">
        <x:v>Slayer</x:v>
      </x:c>
      <x:c r="F140" s="19" t="str">
        <x:v>H004</x:v>
      </x:c>
      <x:c r="G140" s="19" t="str">
        <x:v>Lina Inverse</x:v>
      </x:c>
      <x:c r="H140" s="19" t="str">
        <x:v>INT</x:v>
      </x:c>
      <x:c r="I140" s="19" t="str">
        <x:v>远程</x:v>
      </x:c>
      <x:c r="J140" s="19" t="n">
        <x:v>3</x:v>
      </x:c>
      <x:c r="K140" s="19" t="str">
        <x:v>Ultimate</x:v>
      </x:c>
      <x:c r="L140" s="19" t="str">
        <x:v>A001</x:v>
      </x:c>
      <x:c r="M140" s="49" t="str">
        <x:v>否</x:v>
      </x:c>
      <x:c r="N140" s="49" t="n">
        <x:v>4</x:v>
      </x:c>
      <x:c r="O140" s="49" t="n">
        <x:v>1</x:v>
      </x:c>
      <x:c r="P140" s="49" t="n">
        <x:v>2</x:v>
      </x:c>
      <x:c r="Q140" s="19" t="str">
        <x:v>主动</x:v>
      </x:c>
      <x:c r="R140" s="19" t="str">
        <x:v>无目标或脚本目标</x:v>
      </x:c>
      <x:c r="S140" s="19" t="str">
        <x:v>软控</x:v>
      </x:c>
      <x:c r="T140" s="19" t="str">
        <x:v>软控、强化</x:v>
      </x:c>
      <x:c r="U140" s="48" t="str">
        <x:v>主动；无目标或脚本目标；主分类：软控；标签：软控、强化</x:v>
      </x:c>
      <x:c r="V140" s="48" t="str">
        <x:v>60/60/60/60</x:v>
      </x:c>
      <x:c r="W140" s="48" t="str">
        <x:v>30/30/30/30</x:v>
      </x:c>
      <x:c r="X140" s="48" t="str">
        <x:v>—/—/—/—</x:v>
      </x:c>
      <x:c r="Y140" s="48" t="str">
        <x:v>—/—/—/—</x:v>
      </x:c>
      <x:c r="Z140" s="48" t="str">
        <x:v>—/—/—/—</x:v>
      </x:c>
      <x:c r="AA140" s="48" t="str">
        <x:v>20/25/30/30</x:v>
      </x:c>
      <x:c r="AB140" s="48" t="str">
        <x:v>—/—/—/—</x:v>
      </x:c>
      <x:c r="AC140" s="48" t="str">
        <x:v>主动；无目标或脚本目标；主分类：软控；标签：软控、强化；等级：4；魔耗：60/60/60/60；冷却：30/30/30/30；施法距离：—/—/—/—；作用范围：—/—/—/—；持续时间：—/—/—/—。</x:v>
      </x:c>
      <x:c r="AD140" s="48" t="str">
        <x:v>1 / 10% / 20 / 2 / 20% / 25 / 3 / 30% / 30 / 4 / 50%</x:v>
      </x:c>
      <x:c r="AE140" s="48" t="str">
        <x:v>A</x:v>
      </x:c>
      <x:c r="AF140" s="48" t="str">
        <x:v>6.48b 地图内 UnitAbilities/AbilityData/AbilityStrings 与对象修改表</x:v>
      </x:c>
      <x:c r="AG140" s="18" t="str">
        <x:v>S1</x:v>
      </x:c>
    </x:row>
    <x:row r="141" ht="48" customHeight="1">
      <x:c r="A141" s="19" t="str">
        <x:v>H004-4</x:v>
      </x:c>
      <x:c r="B141" s="19" t="str">
        <x:v>近卫军团</x:v>
      </x:c>
      <x:c r="C141" s="19" t="str">
        <x:v>清晨酒馆</x:v>
      </x:c>
      <x:c r="D141" s="19" t="str">
        <x:v>秀逗魔导士</x:v>
      </x:c>
      <x:c r="E141" s="19" t="str">
        <x:v>Slayer</x:v>
      </x:c>
      <x:c r="F141" s="19" t="str">
        <x:v>H004</x:v>
      </x:c>
      <x:c r="G141" s="19" t="str">
        <x:v>Lina Inverse</x:v>
      </x:c>
      <x:c r="H141" s="19" t="str">
        <x:v>INT</x:v>
      </x:c>
      <x:c r="I141" s="19" t="str">
        <x:v>远程</x:v>
      </x:c>
      <x:c r="J141" s="19" t="n">
        <x:v>4</x:v>
      </x:c>
      <x:c r="K141" s="19" t="str">
        <x:v>Laguna Blade</x:v>
      </x:c>
      <x:c r="L141" s="19" t="str">
        <x:v>A01P</x:v>
      </x:c>
      <x:c r="M141" s="49" t="str">
        <x:v>是</x:v>
      </x:c>
      <x:c r="N141" s="49" t="n">
        <x:v>3</x:v>
      </x:c>
      <x:c r="O141" s="49" t="n">
        <x:v>6</x:v>
      </x:c>
      <x:c r="P141" s="49" t="n">
        <x:v>5</x:v>
      </x:c>
      <x:c r="Q141" s="19" t="str">
        <x:v>开关/自动施放</x:v>
      </x:c>
      <x:c r="R141" s="19" t="str">
        <x:v>—</x:v>
      </x:c>
      <x:c r="S141" s="19" t="str">
        <x:v>伤害</x:v>
      </x:c>
      <x:c r="T141" s="19" t="str">
        <x:v>伤害</x:v>
      </x:c>
      <x:c r="U141" s="48" t="str">
        <x:v>开关/自动施放；—；主分类：伤害；标签：伤害</x:v>
      </x:c>
      <x:c r="V141" s="48" t="str">
        <x:v>280/420/680</x:v>
      </x:c>
      <x:c r="W141" s="48" t="str">
        <x:v>150/90/55</x:v>
      </x:c>
      <x:c r="X141" s="48" t="str">
        <x:v>600/600/600</x:v>
      </x:c>
      <x:c r="Y141" s="48" t="str">
        <x:v>—/—/—</x:v>
      </x:c>
      <x:c r="Z141" s="48" t="str">
        <x:v>—/—/—</x:v>
      </x:c>
      <x:c r="AA141" s="48" t="str">
        <x:v>—/—/—</x:v>
      </x:c>
      <x:c r="AB141" s="48" t="str">
        <x:v>air,ground,enemy,neutral,organic/air,ground,enemy,neutral,organic/air,ground,enemy,neutral,organic</x:v>
      </x:c>
      <x:c r="AC141" s="48" t="str">
        <x:v>开关/自动施放；—；主分类：伤害；标签：伤害；等级：3；魔耗：280/420/680；冷却：150/90/55；施法距离：600/600/600；作用范围：—/—/—；持续时间：—/—/—。</x:v>
      </x:c>
      <x:c r="AD141" s="48" t="str">
        <x:v>1 / 450 / 2 / 675 / 3 / 950 / 150 / 90 / 55</x:v>
      </x:c>
      <x:c r="AE141" s="48" t="str">
        <x:v>A</x:v>
      </x:c>
      <x:c r="AF141" s="48" t="str">
        <x:v>6.48b 地图内 UnitAbilities/AbilityData/AbilityStrings 与对象修改表</x:v>
      </x:c>
      <x:c r="AG141" s="18" t="str">
        <x:v>S1</x:v>
      </x:c>
    </x:row>
    <x:row r="142" ht="48" customHeight="1">
      <x:c r="A142" s="19" t="str">
        <x:v>Nbbc-1</x:v>
      </x:c>
      <x:c r="B142" s="19" t="str">
        <x:v>近卫军团</x:v>
      </x:c>
      <x:c r="C142" s="19" t="str">
        <x:v>清晨酒馆</x:v>
      </x:c>
      <x:c r="D142" s="19" t="str">
        <x:v>剑圣</x:v>
      </x:c>
      <x:c r="E142" s="19" t="str">
        <x:v>Juggernaut</x:v>
      </x:c>
      <x:c r="F142" s="19" t="str">
        <x:v>Nbbc</x:v>
      </x:c>
      <x:c r="G142" s="19" t="str">
        <x:v>Yurnero</x:v>
      </x:c>
      <x:c r="H142" s="19" t="str">
        <x:v>AGI</x:v>
      </x:c>
      <x:c r="I142" s="19" t="str">
        <x:v>近战</x:v>
      </x:c>
      <x:c r="J142" s="19" t="n">
        <x:v>1</x:v>
      </x:c>
      <x:c r="K142" s="19" t="str">
        <x:v>Blade Fury</x:v>
      </x:c>
      <x:c r="L142" s="19" t="str">
        <x:v>A05G</x:v>
      </x:c>
      <x:c r="M142" s="49" t="str">
        <x:v>否</x:v>
      </x:c>
      <x:c r="N142" s="49" t="n">
        <x:v>4</x:v>
      </x:c>
      <x:c r="O142" s="49" t="n">
        <x:v>1</x:v>
      </x:c>
      <x:c r="P142" s="49" t="n">
        <x:v>2</x:v>
      </x:c>
      <x:c r="Q142" s="19" t="str">
        <x:v>主动</x:v>
      </x:c>
      <x:c r="R142" s="19" t="str">
        <x:v>无目标/范围</x:v>
      </x:c>
      <x:c r="S142" s="19" t="str">
        <x:v>伤害</x:v>
      </x:c>
      <x:c r="T142" s="19" t="str">
        <x:v>伤害、范围效果</x:v>
      </x:c>
      <x:c r="U142" s="48" t="str">
        <x:v>主动；无目标/范围；主分类：伤害；标签：伤害、范围效果</x:v>
      </x:c>
      <x:c r="V142" s="48" t="str">
        <x:v>110/110/110/110</x:v>
      </x:c>
      <x:c r="W142" s="48" t="str">
        <x:v>30/30/30/30</x:v>
      </x:c>
      <x:c r="X142" s="48" t="str">
        <x:v>—/—/—/—</x:v>
      </x:c>
      <x:c r="Y142" s="48" t="str">
        <x:v>250/250/250/250</x:v>
      </x:c>
      <x:c r="Z142" s="48" t="str">
        <x:v>5/5/5/5</x:v>
      </x:c>
      <x:c r="AA142" s="48" t="str">
        <x:v>5/5/5/5</x:v>
      </x:c>
      <x:c r="AB142" s="48" t="str">
        <x:v>enemies,ground,neutral,organic/enemies,ground,neutral,organic/enemies,ground,neutral,organic/enemies,ground,neutral,organic</x:v>
      </x:c>
      <x:c r="AC142" s="48" t="str">
        <x:v>主动；无目标/范围；主分类：伤害；标签：伤害、范围效果；等级：4；魔耗：110/110/110/110；冷却：30/30/30/30；施法距离：—/—/—/—；作用范围：250/250/250/250；持续时间：5/5/5/5。</x:v>
      </x:c>
      <x:c r="AD142" s="48" t="str">
        <x:v>5 / 1 / 80 / 2 / 100 / 3 / 120 / 4 / 140 / 30</x:v>
      </x:c>
      <x:c r="AE142" s="48" t="str">
        <x:v>A</x:v>
      </x:c>
      <x:c r="AF142" s="48" t="str">
        <x:v>6.48b 地图内 UnitAbilities/AbilityData/AbilityStrings 与对象修改表</x:v>
      </x:c>
      <x:c r="AG142" s="18" t="str">
        <x:v>S1</x:v>
      </x:c>
    </x:row>
    <x:row r="143" ht="48" customHeight="1">
      <x:c r="A143" s="19" t="str">
        <x:v>Nbbc-2</x:v>
      </x:c>
      <x:c r="B143" s="19" t="str">
        <x:v>近卫军团</x:v>
      </x:c>
      <x:c r="C143" s="19" t="str">
        <x:v>清晨酒馆</x:v>
      </x:c>
      <x:c r="D143" s="19" t="str">
        <x:v>剑圣</x:v>
      </x:c>
      <x:c r="E143" s="19" t="str">
        <x:v>Juggernaut</x:v>
      </x:c>
      <x:c r="F143" s="19" t="str">
        <x:v>Nbbc</x:v>
      </x:c>
      <x:c r="G143" s="19" t="str">
        <x:v>Yurnero</x:v>
      </x:c>
      <x:c r="H143" s="19" t="str">
        <x:v>AGI</x:v>
      </x:c>
      <x:c r="I143" s="19" t="str">
        <x:v>近战</x:v>
      </x:c>
      <x:c r="J143" s="19" t="n">
        <x:v>2</x:v>
      </x:c>
      <x:c r="K143" s="19" t="str">
        <x:v>Healing Ward</x:v>
      </x:c>
      <x:c r="L143" s="19" t="str">
        <x:v>A047</x:v>
      </x:c>
      <x:c r="M143" s="49" t="str">
        <x:v>否</x:v>
      </x:c>
      <x:c r="N143" s="49" t="n">
        <x:v>4</x:v>
      </x:c>
      <x:c r="O143" s="49" t="n">
        <x:v>1</x:v>
      </x:c>
      <x:c r="P143" s="49" t="n">
        <x:v>2</x:v>
      </x:c>
      <x:c r="Q143" s="19" t="str">
        <x:v>主动</x:v>
      </x:c>
      <x:c r="R143" s="19" t="str">
        <x:v>无目标/范围</x:v>
      </x:c>
      <x:c r="S143" s="19" t="str">
        <x:v>召唤</x:v>
      </x:c>
      <x:c r="T143" s="19" t="str">
        <x:v>治疗/回复、召唤、范围效果</x:v>
      </x:c>
      <x:c r="U143" s="48" t="str">
        <x:v>主动；无目标/范围；主分类：召唤；标签：治疗/回复、召唤、范围效果</x:v>
      </x:c>
      <x:c r="V143" s="48" t="str">
        <x:v>140/140/140/140</x:v>
      </x:c>
      <x:c r="W143" s="48" t="str">
        <x:v>75/75/75/75</x:v>
      </x:c>
      <x:c r="X143" s="48" t="str">
        <x:v>350/350/350/350</x:v>
      </x:c>
      <x:c r="Y143" s="48" t="str">
        <x:v>—/—/—/—</x:v>
      </x:c>
      <x:c r="Z143" s="48" t="str">
        <x:v>25/25/25/25</x:v>
      </x:c>
      <x:c r="AA143" s="48" t="str">
        <x:v>25/25/25/25</x:v>
      </x:c>
      <x:c r="AB143" s="48" t="str">
        <x:v>—/—/—/—</x:v>
      </x:c>
      <x:c r="AC143" s="48" t="str">
        <x:v>主动；无目标/范围；主分类：召唤；标签：治疗/回复、召唤、范围效果；等级：4；魔耗：140/140/140/140；冷却：75/75/75/75；施法距离：350/350/350/350；作用范围：—/—/—/—；持续时间：25/25/25/25。</x:v>
      </x:c>
      <x:c r="AD143" s="48" t="str">
        <x:v>25 / 1 / 1% / 2 / 2% / 3 / 3% / 4 / 4% / 75</x:v>
      </x:c>
      <x:c r="AE143" s="48" t="str">
        <x:v>A</x:v>
      </x:c>
      <x:c r="AF143" s="48" t="str">
        <x:v>6.48b 地图内 UnitAbilities/AbilityData/AbilityStrings 与对象修改表</x:v>
      </x:c>
      <x:c r="AG143" s="18" t="str">
        <x:v>S1</x:v>
      </x:c>
    </x:row>
    <x:row r="144" ht="48" customHeight="1">
      <x:c r="A144" s="19" t="str">
        <x:v>Nbbc-3</x:v>
      </x:c>
      <x:c r="B144" s="19" t="str">
        <x:v>近卫军团</x:v>
      </x:c>
      <x:c r="C144" s="19" t="str">
        <x:v>清晨酒馆</x:v>
      </x:c>
      <x:c r="D144" s="19" t="str">
        <x:v>剑圣</x:v>
      </x:c>
      <x:c r="E144" s="19" t="str">
        <x:v>Juggernaut</x:v>
      </x:c>
      <x:c r="F144" s="19" t="str">
        <x:v>Nbbc</x:v>
      </x:c>
      <x:c r="G144" s="19" t="str">
        <x:v>Yurnero</x:v>
      </x:c>
      <x:c r="H144" s="19" t="str">
        <x:v>AGI</x:v>
      </x:c>
      <x:c r="I144" s="19" t="str">
        <x:v>近战</x:v>
      </x:c>
      <x:c r="J144" s="19" t="n">
        <x:v>3</x:v>
      </x:c>
      <x:c r="K144" s="19" t="str">
        <x:v>Blade Dance</x:v>
      </x:c>
      <x:c r="L144" s="19" t="str">
        <x:v>A00K</x:v>
      </x:c>
      <x:c r="M144" s="49" t="str">
        <x:v>否</x:v>
      </x:c>
      <x:c r="N144" s="49" t="n">
        <x:v>4</x:v>
      </x:c>
      <x:c r="O144" s="49" t="n">
        <x:v>1</x:v>
      </x:c>
      <x:c r="P144" s="49" t="n">
        <x:v>2</x:v>
      </x:c>
      <x:c r="Q144" s="19" t="str">
        <x:v>被动</x:v>
      </x:c>
      <x:c r="R144" s="19" t="str">
        <x:v>被动</x:v>
      </x:c>
      <x:c r="S144" s="19" t="str">
        <x:v>伤害</x:v>
      </x:c>
      <x:c r="T144" s="19" t="str">
        <x:v>伤害、被动触发</x:v>
      </x:c>
      <x:c r="U144" s="48" t="str">
        <x:v>被动；被动；主分类：伤害；标签：伤害、被动触发</x:v>
      </x:c>
      <x:c r="V144" s="48" t="str">
        <x:v>—/—/—/—</x:v>
      </x:c>
      <x:c r="W144" s="48" t="str">
        <x:v>—/—/—/—</x:v>
      </x:c>
      <x:c r="X144" s="48" t="str">
        <x:v>—/—/—/—</x:v>
      </x:c>
      <x:c r="Y144" s="48" t="str">
        <x:v>—/—/—/—</x:v>
      </x:c>
      <x:c r="Z144" s="48" t="str">
        <x:v>—/—/—/—</x:v>
      </x:c>
      <x:c r="AA144" s="48" t="str">
        <x:v>—/—/—/—</x:v>
      </x:c>
      <x:c r="AB144" s="48" t="str">
        <x:v>air,ground,enemy,neutral/air,ground,enemy,neutral/air,ground,enemy,neutral/air,ground,enemy,neutral</x:v>
      </x:c>
      <x:c r="AC144" s="48" t="str">
        <x:v>被动；被动；主分类：伤害；标签：伤害、被动触发；等级：4；魔耗：—/—/—/—；冷却：—/—/—/—；施法距离：—/—/—/—；作用范围：—/—/—/—；持续时间：—/—/—/—。</x:v>
      </x:c>
      <x:c r="AD144" s="48" t="str">
        <x:v>1 / 10% / 2 / 18% / 3 / 26% / 4 / 36%</x:v>
      </x:c>
      <x:c r="AE144" s="48" t="str">
        <x:v>A</x:v>
      </x:c>
      <x:c r="AF144" s="48" t="str">
        <x:v>6.48b 地图内 UnitAbilities/AbilityData/AbilityStrings 与对象修改表</x:v>
      </x:c>
      <x:c r="AG144" s="18" t="str">
        <x:v>S1</x:v>
      </x:c>
    </x:row>
    <x:row r="145" ht="48" customHeight="1">
      <x:c r="A145" s="19" t="str">
        <x:v>Nbbc-4</x:v>
      </x:c>
      <x:c r="B145" s="19" t="str">
        <x:v>近卫军团</x:v>
      </x:c>
      <x:c r="C145" s="19" t="str">
        <x:v>清晨酒馆</x:v>
      </x:c>
      <x:c r="D145" s="19" t="str">
        <x:v>剑圣</x:v>
      </x:c>
      <x:c r="E145" s="19" t="str">
        <x:v>Juggernaut</x:v>
      </x:c>
      <x:c r="F145" s="19" t="str">
        <x:v>Nbbc</x:v>
      </x:c>
      <x:c r="G145" s="19" t="str">
        <x:v>Yurnero</x:v>
      </x:c>
      <x:c r="H145" s="19" t="str">
        <x:v>AGI</x:v>
      </x:c>
      <x:c r="I145" s="19" t="str">
        <x:v>近战</x:v>
      </x:c>
      <x:c r="J145" s="19" t="n">
        <x:v>4</x:v>
      </x:c>
      <x:c r="K145" s="19" t="str">
        <x:v>Omnislash</x:v>
      </x:c>
      <x:c r="L145" s="19" t="str">
        <x:v>A0M1</x:v>
      </x:c>
      <x:c r="M145" s="49" t="str">
        <x:v>是</x:v>
      </x:c>
      <x:c r="N145" s="49" t="n">
        <x:v>3</x:v>
      </x:c>
      <x:c r="O145" s="49" t="n">
        <x:v>6</x:v>
      </x:c>
      <x:c r="P145" s="49" t="n">
        <x:v>5</x:v>
      </x:c>
      <x:c r="Q145" s="19" t="str">
        <x:v>主动</x:v>
      </x:c>
      <x:c r="R145" s="19" t="str">
        <x:v>无目标/范围</x:v>
      </x:c>
      <x:c r="S145" s="19" t="str">
        <x:v>防御/生存</x:v>
      </x:c>
      <x:c r="T145" s="19" t="str">
        <x:v>防御/生存</x:v>
      </x:c>
      <x:c r="U145" s="48" t="str">
        <x:v>主动；无目标/范围；主分类：防御/生存；标签：防御/生存</x:v>
      </x:c>
      <x:c r="V145" s="48" t="str">
        <x:v>200/275/350</x:v>
      </x:c>
      <x:c r="W145" s="48" t="str">
        <x:v>130/120/110</x:v>
      </x:c>
      <x:c r="X145" s="48" t="str">
        <x:v>450/450/450</x:v>
      </x:c>
      <x:c r="Y145" s="48" t="str">
        <x:v>—/—/—</x:v>
      </x:c>
      <x:c r="Z145" s="48" t="str">
        <x:v>0.01/0.01/0.01</x:v>
      </x:c>
      <x:c r="AA145" s="48" t="str">
        <x:v>0.01/0.01/0.01</x:v>
      </x:c>
      <x:c r="AB145" s="48" t="str">
        <x:v>air,debris,enemies,ground,neutral,nonancient,organic/air,debris,enemies,ground,neutral,nonancient,organic/air,debris,enemies,ground,neutral,nonancient,organic</x:v>
      </x:c>
      <x:c r="AC145" s="48" t="str">
        <x:v>主动；无目标/范围；主分类：防御/生存；标签：防御/生存；等级：3；魔耗：200/275/350；冷却：130/120/110；施法距离：450/450/450；作用范围：—/—/—；持续时间：0.01/0.01/0.01。</x:v>
      </x:c>
      <x:c r="AD145" s="48" t="str">
        <x:v>1 / 3 / 2 / 5 / 8 / 130 / 120 / 110</x:v>
      </x:c>
      <x:c r="AE145" s="48" t="str">
        <x:v>A</x:v>
      </x:c>
      <x:c r="AF145" s="48" t="str">
        <x:v>6.48b 地图内 UnitAbilities/AbilityData/AbilityStrings 与对象修改表</x:v>
      </x:c>
      <x:c r="AG145" s="18" t="str">
        <x:v>S1</x:v>
      </x:c>
    </x:row>
    <x:row r="146" ht="48" customHeight="1">
      <x:c r="A146" s="19" t="str">
        <x:v>Udea-1</x:v>
      </x:c>
      <x:c r="B146" s="19" t="str">
        <x:v>天灾军团</x:v>
      </x:c>
      <x:c r="C146" s="19" t="str">
        <x:v>暮光酒馆</x:v>
      </x:c>
      <x:c r="D146" s="19" t="str">
        <x:v>地狱领主</x:v>
      </x:c>
      <x:c r="E146" s="19" t="str">
        <x:v>Lord of Avernus</x:v>
      </x:c>
      <x:c r="F146" s="19" t="str">
        <x:v>Udea</x:v>
      </x:c>
      <x:c r="G146" s="19" t="str">
        <x:v>Abaddon</x:v>
      </x:c>
      <x:c r="H146" s="19" t="str">
        <x:v>STR</x:v>
      </x:c>
      <x:c r="I146" s="19" t="str">
        <x:v>近战</x:v>
      </x:c>
      <x:c r="J146" s="19" t="n">
        <x:v>1</x:v>
      </x:c>
      <x:c r="K146" s="19" t="str">
        <x:v>Aphotic Shield</x:v>
      </x:c>
      <x:c r="L146" s="19" t="str">
        <x:v>A0MF</x:v>
      </x:c>
      <x:c r="M146" s="49" t="str">
        <x:v>否</x:v>
      </x:c>
      <x:c r="N146" s="49" t="n">
        <x:v>4</x:v>
      </x:c>
      <x:c r="O146" s="49" t="n">
        <x:v>1</x:v>
      </x:c>
      <x:c r="P146" s="49" t="n">
        <x:v>2</x:v>
      </x:c>
      <x:c r="Q146" s="19" t="str">
        <x:v>主动</x:v>
      </x:c>
      <x:c r="R146" s="19" t="str">
        <x:v>无目标或脚本目标</x:v>
      </x:c>
      <x:c r="S146" s="19" t="str">
        <x:v>召唤</x:v>
      </x:c>
      <x:c r="T146" s="19" t="str">
        <x:v>伤害、治疗/回复、防御/生存、召唤、范围效果</x:v>
      </x:c>
      <x:c r="U146" s="48" t="str">
        <x:v>主动；无目标或脚本目标；主分类：召唤；标签：伤害、治疗/回复、防御/生存、召唤、范围效果</x:v>
      </x:c>
      <x:c r="V146" s="48" t="str">
        <x:v>100/100/100/100</x:v>
      </x:c>
      <x:c r="W146" s="48" t="str">
        <x:v>23/23/23/23</x:v>
      </x:c>
      <x:c r="X146" s="48" t="str">
        <x:v>800/800/800/800</x:v>
      </x:c>
      <x:c r="Y146" s="48" t="str">
        <x:v>1/1/1/1</x:v>
      </x:c>
      <x:c r="Z146" s="48" t="str">
        <x:v>20/20/20/20</x:v>
      </x:c>
      <x:c r="AA146" s="48" t="str">
        <x:v>20/20/20/20</x:v>
      </x:c>
      <x:c r="AB146" s="48" t="str">
        <x:v>air,friend,ground,neutral,self/air,friend,ground,neutral,self/air,friend,ground,neutral,self/air,friend,ground,neutral,self</x:v>
      </x:c>
      <x:c r="AC146" s="48" t="str">
        <x:v>主动；无目标或脚本目标；主分类：召唤；标签：伤害、治疗/回复、防御/生存、召唤、范围效果；等级：4；魔耗：100/100/100/100；冷却：23/23/23/23；施法距离：800/800/800/800；作用范围：1/1/1/1；持续时间：20/20/20/20。</x:v>
      </x:c>
      <x:c r="AD146" s="48" t="str">
        <x:v>20 / 1 / 125 / 2 / 175 / 3 / 225 / 4 / 275 / 23</x:v>
      </x:c>
      <x:c r="AE146" s="48" t="str">
        <x:v>A</x:v>
      </x:c>
      <x:c r="AF146" s="48" t="str">
        <x:v>6.48b 地图内 UnitAbilities/AbilityData/AbilityStrings 与对象修改表</x:v>
      </x:c>
      <x:c r="AG146" s="18" t="str">
        <x:v>S1</x:v>
      </x:c>
    </x:row>
    <x:row r="147" ht="48" customHeight="1">
      <x:c r="A147" s="19" t="str">
        <x:v>Udea-2</x:v>
      </x:c>
      <x:c r="B147" s="19" t="str">
        <x:v>天灾军团</x:v>
      </x:c>
      <x:c r="C147" s="19" t="str">
        <x:v>暮光酒馆</x:v>
      </x:c>
      <x:c r="D147" s="19" t="str">
        <x:v>地狱领主</x:v>
      </x:c>
      <x:c r="E147" s="19" t="str">
        <x:v>Lord of Avernus</x:v>
      </x:c>
      <x:c r="F147" s="19" t="str">
        <x:v>Udea</x:v>
      </x:c>
      <x:c r="G147" s="19" t="str">
        <x:v>Abaddon</x:v>
      </x:c>
      <x:c r="H147" s="19" t="str">
        <x:v>STR</x:v>
      </x:c>
      <x:c r="I147" s="19" t="str">
        <x:v>近战</x:v>
      </x:c>
      <x:c r="J147" s="19" t="n">
        <x:v>2</x:v>
      </x:c>
      <x:c r="K147" s="19" t="str">
        <x:v>Frostmourne</x:v>
      </x:c>
      <x:c r="L147" s="19" t="str">
        <x:v>A0MG</x:v>
      </x:c>
      <x:c r="M147" s="49" t="str">
        <x:v>否</x:v>
      </x:c>
      <x:c r="N147" s="49" t="n">
        <x:v>4</x:v>
      </x:c>
      <x:c r="O147" s="49" t="n">
        <x:v>1</x:v>
      </x:c>
      <x:c r="P147" s="49" t="n">
        <x:v>2</x:v>
      </x:c>
      <x:c r="Q147" s="19" t="str">
        <x:v>被动</x:v>
      </x:c>
      <x:c r="R147" s="19" t="str">
        <x:v>被动</x:v>
      </x:c>
      <x:c r="S147" s="19" t="str">
        <x:v>软控</x:v>
      </x:c>
      <x:c r="T147" s="19" t="str">
        <x:v>软控、强化、范围效果、被动触发</x:v>
      </x:c>
      <x:c r="U147" s="48" t="str">
        <x:v>被动；被动；主分类：软控；标签：软控、强化、范围效果、被动触发</x:v>
      </x:c>
      <x:c r="V147" s="48" t="str">
        <x:v>—/—/—/—</x:v>
      </x:c>
      <x:c r="W147" s="48" t="str">
        <x:v>—/—/—/—</x:v>
      </x:c>
      <x:c r="X147" s="48" t="str">
        <x:v>—/—/—/—</x:v>
      </x:c>
      <x:c r="Y147" s="48" t="str">
        <x:v>—/—/—/—</x:v>
      </x:c>
      <x:c r="Z147" s="48" t="str">
        <x:v>2/2/2/2</x:v>
      </x:c>
      <x:c r="AA147" s="48" t="str">
        <x:v>2/2/2/2</x:v>
      </x:c>
      <x:c r="AB147" s="48" t="str">
        <x:v>air,ground,organic/air,ground,organic/air,ground,organic/air,ground,organic</x:v>
      </x:c>
      <x:c r="AC147" s="48" t="str">
        <x:v>被动；被动；主分类：软控；标签：软控、强化、范围效果、被动触发；等级：4；魔耗：—/—/—/—；冷却：—/—/—/—；施法距离：—/—/—/—；作用范围：—/—/—/—；持续时间：2/2/2/2。</x:v>
      </x:c>
      <x:c r="AD147" s="48" t="str">
        <x:v>10% / 1 / 5% / 2 / 20% / 3 / 30% / 15% / 4 / 40%</x:v>
      </x:c>
      <x:c r="AE147" s="48" t="str">
        <x:v>A</x:v>
      </x:c>
      <x:c r="AF147" s="48" t="str">
        <x:v>6.48b 地图内 UnitAbilities/AbilityData/AbilityStrings 与对象修改表</x:v>
      </x:c>
      <x:c r="AG147" s="18" t="str">
        <x:v>S1</x:v>
      </x:c>
    </x:row>
    <x:row r="148" ht="48" customHeight="1">
      <x:c r="A148" s="19" t="str">
        <x:v>Udea-3</x:v>
      </x:c>
      <x:c r="B148" s="19" t="str">
        <x:v>天灾军团</x:v>
      </x:c>
      <x:c r="C148" s="19" t="str">
        <x:v>暮光酒馆</x:v>
      </x:c>
      <x:c r="D148" s="19" t="str">
        <x:v>地狱领主</x:v>
      </x:c>
      <x:c r="E148" s="19" t="str">
        <x:v>Lord of Avernus</x:v>
      </x:c>
      <x:c r="F148" s="19" t="str">
        <x:v>Udea</x:v>
      </x:c>
      <x:c r="G148" s="19" t="str">
        <x:v>Abaddon</x:v>
      </x:c>
      <x:c r="H148" s="19" t="str">
        <x:v>STR</x:v>
      </x:c>
      <x:c r="I148" s="19" t="str">
        <x:v>近战</x:v>
      </x:c>
      <x:c r="J148" s="19" t="n">
        <x:v>3</x:v>
      </x:c>
      <x:c r="K148" s="19" t="str">
        <x:v>Borrowed Time</x:v>
      </x:c>
      <x:c r="L148" s="19" t="str">
        <x:v>A0NS</x:v>
      </x:c>
      <x:c r="M148" s="49" t="str">
        <x:v>是</x:v>
      </x:c>
      <x:c r="N148" s="49" t="n">
        <x:v>3</x:v>
      </x:c>
      <x:c r="O148" s="49" t="n">
        <x:v>6</x:v>
      </x:c>
      <x:c r="P148" s="49" t="n">
        <x:v>5</x:v>
      </x:c>
      <x:c r="Q148" s="19" t="str">
        <x:v>主动</x:v>
      </x:c>
      <x:c r="R148" s="19" t="str">
        <x:v>无目标或脚本目标</x:v>
      </x:c>
      <x:c r="S148" s="19" t="str">
        <x:v>伤害</x:v>
      </x:c>
      <x:c r="T148" s="19" t="str">
        <x:v>伤害</x:v>
      </x:c>
      <x:c r="U148" s="48" t="str">
        <x:v>主动；无目标或脚本目标；主分类：伤害；标签：伤害</x:v>
      </x:c>
      <x:c r="V148" s="48" t="str">
        <x:v>—/—/—</x:v>
      </x:c>
      <x:c r="W148" s="48" t="str">
        <x:v>45/45/45</x:v>
      </x:c>
      <x:c r="X148" s="48" t="str">
        <x:v>—/—/—</x:v>
      </x:c>
      <x:c r="Y148" s="48" t="str">
        <x:v>—/—/—</x:v>
      </x:c>
      <x:c r="Z148" s="48" t="str">
        <x:v>0.01/0.01/0.01</x:v>
      </x:c>
      <x:c r="AA148" s="48" t="str">
        <x:v>0.01/0.01/0.01</x:v>
      </x:c>
      <x:c r="AB148" s="48" t="str">
        <x:v>self/self/self</x:v>
      </x:c>
      <x:c r="AC148" s="48" t="str">
        <x:v>主动；无目标或脚本目标；主分类：伤害；标签：伤害；等级：3；魔耗：—/—/—；冷却：45/45/45；施法距离：—/—/—；作用范围：—/—/—；持续时间：0.01/0.01/0.01。</x:v>
      </x:c>
      <x:c r="AD148" s="48" t="str">
        <x:v>400 / 1 / 3 / 2 / 4 / 5 / 45</x:v>
      </x:c>
      <x:c r="AE148" s="48" t="str">
        <x:v>A</x:v>
      </x:c>
      <x:c r="AF148" s="48" t="str">
        <x:v>6.48b 地图内 UnitAbilities/AbilityData/AbilityStrings 与对象修改表</x:v>
      </x:c>
      <x:c r="AG148" s="18" t="str">
        <x:v>S1</x:v>
      </x:c>
    </x:row>
    <x:row r="149" ht="48" customHeight="1">
      <x:c r="A149" s="19" t="str">
        <x:v>Udea-4</x:v>
      </x:c>
      <x:c r="B149" s="19" t="str">
        <x:v>天灾军团</x:v>
      </x:c>
      <x:c r="C149" s="19" t="str">
        <x:v>暮光酒馆</x:v>
      </x:c>
      <x:c r="D149" s="19" t="str">
        <x:v>地狱领主</x:v>
      </x:c>
      <x:c r="E149" s="19" t="str">
        <x:v>Lord of Avernus</x:v>
      </x:c>
      <x:c r="F149" s="19" t="str">
        <x:v>Udea</x:v>
      </x:c>
      <x:c r="G149" s="19" t="str">
        <x:v>Abaddon</x:v>
      </x:c>
      <x:c r="H149" s="19" t="str">
        <x:v>STR</x:v>
      </x:c>
      <x:c r="I149" s="19" t="str">
        <x:v>近战</x:v>
      </x:c>
      <x:c r="J149" s="19" t="n">
        <x:v>4</x:v>
      </x:c>
      <x:c r="K149" s="19" t="str">
        <x:v>Death Coil</x:v>
      </x:c>
      <x:c r="L149" s="19" t="str">
        <x:v>A0I3</x:v>
      </x:c>
      <x:c r="M149" s="49" t="str">
        <x:v>否</x:v>
      </x:c>
      <x:c r="N149" s="49" t="n">
        <x:v>4</x:v>
      </x:c>
      <x:c r="O149" s="49" t="n">
        <x:v>1</x:v>
      </x:c>
      <x:c r="P149" s="49" t="n">
        <x:v>2</x:v>
      </x:c>
      <x:c r="Q149" s="19" t="str">
        <x:v>主动</x:v>
      </x:c>
      <x:c r="R149" s="19" t="str">
        <x:v>无目标或脚本目标</x:v>
      </x:c>
      <x:c r="S149" s="19" t="str">
        <x:v>治疗/回复</x:v>
      </x:c>
      <x:c r="T149" s="19" t="str">
        <x:v>伤害、治疗/回复</x:v>
      </x:c>
      <x:c r="U149" s="48" t="str">
        <x:v>主动；无目标或脚本目标；主分类：治疗/回复；标签：伤害、治疗/回复</x:v>
      </x:c>
      <x:c r="V149" s="48" t="str">
        <x:v>75/75/75/75</x:v>
      </x:c>
      <x:c r="W149" s="48" t="str">
        <x:v>15/15/15/15</x:v>
      </x:c>
      <x:c r="X149" s="48" t="str">
        <x:v>600/600/600/600</x:v>
      </x:c>
      <x:c r="Y149" s="48" t="str">
        <x:v>—/—/—/—</x:v>
      </x:c>
      <x:c r="Z149" s="48" t="str">
        <x:v>—/—/—/—</x:v>
      </x:c>
      <x:c r="AA149" s="48" t="str">
        <x:v>—/—/—/—</x:v>
      </x:c>
      <x:c r="AB149" s="48" t="str">
        <x:v>air,enemies,friend,ground,notself/air,enemies,friend,ground,notself/air,enemies,friend,ground,notself/air,enemies,friend,ground,notself</x:v>
      </x:c>
      <x:c r="AC149" s="48" t="str">
        <x:v>主动；无目标或脚本目标；主分类：治疗/回复；标签：伤害、治疗/回复；等级：4；魔耗：75/75/75/75；冷却：15/15/15/15；施法距离：600/600/600/600；作用范围：—/—/—/—；持续时间：—/—/—/—。</x:v>
      </x:c>
      <x:c r="AD149" s="48" t="str">
        <x:v>1 / 100 / 50 / 2 / 150 / 75 / 3 / 200 / 4 / 250 / 125 / 15</x:v>
      </x:c>
      <x:c r="AE149" s="48" t="str">
        <x:v>A</x:v>
      </x:c>
      <x:c r="AF149" s="48" t="str">
        <x:v>6.48b 地图内 UnitAbilities/AbilityData/AbilityStrings 与对象修改表</x:v>
      </x:c>
      <x:c r="AG149" s="18" t="str">
        <x:v>S1</x:v>
      </x:c>
    </x:row>
    <x:row r="150" ht="48" customHeight="1">
      <x:c r="A150" s="19" t="str">
        <x:v>Hvsh-1</x:v>
      </x:c>
      <x:c r="B150" s="19" t="str">
        <x:v>天灾军团</x:v>
      </x:c>
      <x:c r="C150" s="19" t="str">
        <x:v>暮光酒馆</x:v>
      </x:c>
      <x:c r="D150" s="19" t="str">
        <x:v>血魔</x:v>
      </x:c>
      <x:c r="E150" s="19" t="str">
        <x:v>Bloodseeker</x:v>
      </x:c>
      <x:c r="F150" s="19" t="str">
        <x:v>Hvsh</x:v>
      </x:c>
      <x:c r="G150" s="19" t="str">
        <x:v>Strygwyr</x:v>
      </x:c>
      <x:c r="H150" s="19" t="str">
        <x:v>AGI</x:v>
      </x:c>
      <x:c r="I150" s="19" t="str">
        <x:v>近战</x:v>
      </x:c>
      <x:c r="J150" s="19" t="n">
        <x:v>1</x:v>
      </x:c>
      <x:c r="K150" s="19" t="str">
        <x:v>Bloodrage</x:v>
      </x:c>
      <x:c r="L150" s="19" t="str">
        <x:v>A0EC</x:v>
      </x:c>
      <x:c r="M150" s="49" t="str">
        <x:v>否</x:v>
      </x:c>
      <x:c r="N150" s="49" t="n">
        <x:v>4</x:v>
      </x:c>
      <x:c r="O150" s="49" t="n">
        <x:v>1</x:v>
      </x:c>
      <x:c r="P150" s="49" t="n">
        <x:v>2</x:v>
      </x:c>
      <x:c r="Q150" s="19" t="str">
        <x:v>主动</x:v>
      </x:c>
      <x:c r="R150" s="19" t="str">
        <x:v>无目标或脚本目标</x:v>
      </x:c>
      <x:c r="S150" s="19" t="str">
        <x:v>强化</x:v>
      </x:c>
      <x:c r="T150" s="19" t="str">
        <x:v>伤害、强化</x:v>
      </x:c>
      <x:c r="U150" s="48" t="str">
        <x:v>主动；无目标或脚本目标；主分类：强化；标签：伤害、强化</x:v>
      </x:c>
      <x:c r="V150" s="48" t="str">
        <x:v>80/100/120/140</x:v>
      </x:c>
      <x:c r="W150" s="48" t="str">
        <x:v>20/20/20/20</x:v>
      </x:c>
      <x:c r="X150" s="48" t="str">
        <x:v>600/600/600/600</x:v>
      </x:c>
      <x:c r="Y150" s="48" t="str">
        <x:v>—/—/—/—</x:v>
      </x:c>
      <x:c r="Z150" s="48" t="str">
        <x:v>6/9/12/15</x:v>
      </x:c>
      <x:c r="AA150" s="48" t="str">
        <x:v>6/9/12/15</x:v>
      </x:c>
      <x:c r="AB150" s="48" t="str">
        <x:v>air,ground,nonancient,organic/air,ground,nonancient,organic/air,ground,nonancient,organic/air,ground,nonancient,organic</x:v>
      </x:c>
      <x:c r="AC150" s="48" t="str">
        <x:v>主动；无目标或脚本目标；主分类：强化；标签：伤害、强化；等级：4；魔耗：80/100/120/140；冷却：20/20/20/20；施法距离：600/600/600/600；作用范围：—/—/—/—；持续时间：6/9/12/15。</x:v>
      </x:c>
      <x:c r="AD150" s="48" t="str">
        <x:v>1 / 20% / 2 / 6 / 40% / 4 / 9 / 3 / 60% / 12 / 80% / 8 / 15 / 20</x:v>
      </x:c>
      <x:c r="AE150" s="48" t="str">
        <x:v>A</x:v>
      </x:c>
      <x:c r="AF150" s="48" t="str">
        <x:v>6.48b 地图内 UnitAbilities/AbilityData/AbilityStrings 与对象修改表</x:v>
      </x:c>
      <x:c r="AG150" s="18" t="str">
        <x:v>S1</x:v>
      </x:c>
    </x:row>
    <x:row r="151" ht="48" customHeight="1">
      <x:c r="A151" s="19" t="str">
        <x:v>Hvsh-2</x:v>
      </x:c>
      <x:c r="B151" s="19" t="str">
        <x:v>天灾军团</x:v>
      </x:c>
      <x:c r="C151" s="19" t="str">
        <x:v>暮光酒馆</x:v>
      </x:c>
      <x:c r="D151" s="19" t="str">
        <x:v>血魔</x:v>
      </x:c>
      <x:c r="E151" s="19" t="str">
        <x:v>Bloodseeker</x:v>
      </x:c>
      <x:c r="F151" s="19" t="str">
        <x:v>Hvsh</x:v>
      </x:c>
      <x:c r="G151" s="19" t="str">
        <x:v>Strygwyr</x:v>
      </x:c>
      <x:c r="H151" s="19" t="str">
        <x:v>AGI</x:v>
      </x:c>
      <x:c r="I151" s="19" t="str">
        <x:v>近战</x:v>
      </x:c>
      <x:c r="J151" s="19" t="n">
        <x:v>2</x:v>
      </x:c>
      <x:c r="K151" s="19" t="str">
        <x:v>Blood Bath</x:v>
      </x:c>
      <x:c r="L151" s="19" t="str">
        <x:v>A0LE</x:v>
      </x:c>
      <x:c r="M151" s="49" t="str">
        <x:v>否</x:v>
      </x:c>
      <x:c r="N151" s="49" t="n">
        <x:v>4</x:v>
      </x:c>
      <x:c r="O151" s="49" t="n">
        <x:v>1</x:v>
      </x:c>
      <x:c r="P151" s="49" t="n">
        <x:v>2</x:v>
      </x:c>
      <x:c r="Q151" s="19" t="str">
        <x:v>被动</x:v>
      </x:c>
      <x:c r="R151" s="19" t="str">
        <x:v>被动</x:v>
      </x:c>
      <x:c r="S151" s="19" t="str">
        <x:v>治疗/回复</x:v>
      </x:c>
      <x:c r="T151" s="19" t="str">
        <x:v>治疗/回复、被动触发</x:v>
      </x:c>
      <x:c r="U151" s="48" t="str">
        <x:v>被动；被动；主分类：治疗/回复；标签：治疗/回复、被动触发</x:v>
      </x:c>
      <x:c r="V151" s="48" t="str">
        <x:v>—/—/—/—</x:v>
      </x:c>
      <x:c r="W151" s="48" t="str">
        <x:v>—/—/—/—</x:v>
      </x:c>
      <x:c r="X151" s="48" t="str">
        <x:v>—/—/—/—</x:v>
      </x:c>
      <x:c r="Y151" s="48" t="str">
        <x:v>—/—/—/—</x:v>
      </x:c>
      <x:c r="Z151" s="48" t="str">
        <x:v>—/—/—/—</x:v>
      </x:c>
      <x:c r="AA151" s="48" t="str">
        <x:v>—/—/—/—</x:v>
      </x:c>
      <x:c r="AB151" s="48" t="str">
        <x:v>—/—/—/—</x:v>
      </x:c>
      <x:c r="AC151" s="48" t="str">
        <x:v>被动；被动；主分类：治疗/回复；标签：治疗/回复、被动触发；等级：4；魔耗：—/—/—/—；冷却：—/—/—/—；施法距离：—/—/—/—；作用范围：—/—/—/—；持续时间：—/—/—/—。</x:v>
      </x:c>
      <x:c r="AD151" s="48" t="str">
        <x:v>1 / 10% / 5% / 2 / 20% / 3 / 30% / 15% / 4 / 40%</x:v>
      </x:c>
      <x:c r="AE151" s="48" t="str">
        <x:v>A</x:v>
      </x:c>
      <x:c r="AF151" s="48" t="str">
        <x:v>6.48b 地图内 UnitAbilities/AbilityData/AbilityStrings 与对象修改表</x:v>
      </x:c>
      <x:c r="AG151" s="18" t="str">
        <x:v>S1</x:v>
      </x:c>
    </x:row>
    <x:row r="152" ht="48" customHeight="1">
      <x:c r="A152" s="19" t="str">
        <x:v>Hvsh-3</x:v>
      </x:c>
      <x:c r="B152" s="19" t="str">
        <x:v>天灾军团</x:v>
      </x:c>
      <x:c r="C152" s="19" t="str">
        <x:v>暮光酒馆</x:v>
      </x:c>
      <x:c r="D152" s="19" t="str">
        <x:v>血魔</x:v>
      </x:c>
      <x:c r="E152" s="19" t="str">
        <x:v>Bloodseeker</x:v>
      </x:c>
      <x:c r="F152" s="19" t="str">
        <x:v>Hvsh</x:v>
      </x:c>
      <x:c r="G152" s="19" t="str">
        <x:v>Strygwyr</x:v>
      </x:c>
      <x:c r="H152" s="19" t="str">
        <x:v>AGI</x:v>
      </x:c>
      <x:c r="I152" s="19" t="str">
        <x:v>近战</x:v>
      </x:c>
      <x:c r="J152" s="19" t="n">
        <x:v>3</x:v>
      </x:c>
      <x:c r="K152" s="19" t="str">
        <x:v>Rupture</x:v>
      </x:c>
      <x:c r="L152" s="19" t="str">
        <x:v>A0LH</x:v>
      </x:c>
      <x:c r="M152" s="49" t="str">
        <x:v>是</x:v>
      </x:c>
      <x:c r="N152" s="49" t="n">
        <x:v>3</x:v>
      </x:c>
      <x:c r="O152" s="49" t="n">
        <x:v>6</x:v>
      </x:c>
      <x:c r="P152" s="49" t="n">
        <x:v>5</x:v>
      </x:c>
      <x:c r="Q152" s="19" t="str">
        <x:v>主动</x:v>
      </x:c>
      <x:c r="R152" s="19" t="str">
        <x:v>无目标或脚本目标</x:v>
      </x:c>
      <x:c r="S152" s="19" t="str">
        <x:v>伤害</x:v>
      </x:c>
      <x:c r="T152" s="19" t="str">
        <x:v>伤害</x:v>
      </x:c>
      <x:c r="U152" s="48" t="str">
        <x:v>主动；无目标或脚本目标；主分类：伤害；标签：伤害</x:v>
      </x:c>
      <x:c r="V152" s="48" t="str">
        <x:v>150/200/250</x:v>
      </x:c>
      <x:c r="W152" s="48" t="str">
        <x:v>100/100/100</x:v>
      </x:c>
      <x:c r="X152" s="48" t="str">
        <x:v>1000/1000/1000</x:v>
      </x:c>
      <x:c r="Y152" s="48" t="str">
        <x:v>—/—/—</x:v>
      </x:c>
      <x:c r="Z152" s="48" t="str">
        <x:v>—/—/—</x:v>
      </x:c>
      <x:c r="AA152" s="48" t="str">
        <x:v>—/—/—</x:v>
      </x:c>
      <x:c r="AB152" s="48" t="str">
        <x:v>air,ground,debris,enemy,neutral,organic/air,ground,debris,enemy,neutral,organic/air,ground,debris,enemy,neutral,organic</x:v>
      </x:c>
      <x:c r="AC152" s="48" t="str">
        <x:v>主动；无目标或脚本目标；主分类：伤害；标签：伤害；等级：3；魔耗：150/200/250；冷却：100/100/100；施法距离：1000/1000/1000；作用范围：—/—/—；持续时间：—/—/—。</x:v>
      </x:c>
      <x:c r="AD152" s="48" t="str">
        <x:v>1 / 150 / 20% / 5 / 2 / 250 / 40% / 7 / 3 / 350 / 60% / 9 / 100</x:v>
      </x:c>
      <x:c r="AE152" s="48" t="str">
        <x:v>A</x:v>
      </x:c>
      <x:c r="AF152" s="48" t="str">
        <x:v>6.48b 地图内 UnitAbilities/AbilityData/AbilityStrings 与对象修改表</x:v>
      </x:c>
      <x:c r="AG152" s="18" t="str">
        <x:v>S1</x:v>
      </x:c>
    </x:row>
    <x:row r="153" ht="48" customHeight="1">
      <x:c r="A153" s="19" t="str">
        <x:v>Hvsh-4</x:v>
      </x:c>
      <x:c r="B153" s="19" t="str">
        <x:v>天灾军团</x:v>
      </x:c>
      <x:c r="C153" s="19" t="str">
        <x:v>暮光酒馆</x:v>
      </x:c>
      <x:c r="D153" s="19" t="str">
        <x:v>血魔</x:v>
      </x:c>
      <x:c r="E153" s="19" t="str">
        <x:v>Bloodseeker</x:v>
      </x:c>
      <x:c r="F153" s="19" t="str">
        <x:v>Hvsh</x:v>
      </x:c>
      <x:c r="G153" s="19" t="str">
        <x:v>Strygwyr</x:v>
      </x:c>
      <x:c r="H153" s="19" t="str">
        <x:v>AGI</x:v>
      </x:c>
      <x:c r="I153" s="19" t="str">
        <x:v>近战</x:v>
      </x:c>
      <x:c r="J153" s="19" t="n">
        <x:v>4</x:v>
      </x:c>
      <x:c r="K153" s="19" t="str">
        <x:v>Strygwyr's Thirst</x:v>
      </x:c>
      <x:c r="L153" s="19" t="str">
        <x:v>A0I8</x:v>
      </x:c>
      <x:c r="M153" s="49" t="str">
        <x:v>否</x:v>
      </x:c>
      <x:c r="N153" s="49" t="n">
        <x:v>4</x:v>
      </x:c>
      <x:c r="O153" s="49" t="n">
        <x:v>1</x:v>
      </x:c>
      <x:c r="P153" s="49" t="n">
        <x:v>2</x:v>
      </x:c>
      <x:c r="Q153" s="19" t="str">
        <x:v>被动/脚本触发</x:v>
      </x:c>
      <x:c r="R153" s="19" t="str">
        <x:v>被动</x:v>
      </x:c>
      <x:c r="S153" s="19" t="str">
        <x:v>治疗/回复</x:v>
      </x:c>
      <x:c r="T153" s="19" t="str">
        <x:v>软控、治疗/回复、强化、视野/侦察、范围效果、被动触发</x:v>
      </x:c>
      <x:c r="U153" s="48" t="str">
        <x:v>被动/脚本触发；被动；主分类：治疗/回复；标签：软控、治疗/回复、强化、视野/侦察、范围效果、被动触发</x:v>
      </x:c>
      <x:c r="V153" s="48" t="str">
        <x:v>—/—/—/—</x:v>
      </x:c>
      <x:c r="W153" s="48" t="str">
        <x:v>—/—/—/—</x:v>
      </x:c>
      <x:c r="X153" s="48" t="str">
        <x:v>—/—/—/—</x:v>
      </x:c>
      <x:c r="Y153" s="48" t="str">
        <x:v>—/—/—/—</x:v>
      </x:c>
      <x:c r="Z153" s="48" t="str">
        <x:v>—/—/—/—</x:v>
      </x:c>
      <x:c r="AA153" s="48" t="str">
        <x:v>—/—/—/—</x:v>
      </x:c>
      <x:c r="AB153" s="48" t="str">
        <x:v>—/—/—/—</x:v>
      </x:c>
      <x:c r="AC153" s="48" t="str">
        <x:v>被动/脚本触发；被动；主分类：治疗/回复；标签：软控、治疗/回复、强化、视野/侦察、范围效果、被动触发；等级：4；魔耗：—/—/—/—；冷却：—/—/—/—；施法距离：—/—/—/—；作用范围：—/—/—/—；持续时间：—/—/—/—。</x:v>
      </x:c>
      <x:c r="AD153" s="48" t="str">
        <x:v>40% / 1500 / 3000 / 4500 / 6000 / 11% / 22% / 33% / 44% / 1 / 2 / 3 / 4</x:v>
      </x:c>
      <x:c r="AE153" s="48" t="str">
        <x:v>A</x:v>
      </x:c>
      <x:c r="AF153" s="48" t="str">
        <x:v>Threshold and radius are from the 6.48b map script; the level-4 object tooltip confirms 40% health and 44% speed.</x:v>
      </x:c>
      <x:c r="AG153" s="18" t="str">
        <x:v>S1</x:v>
      </x:c>
    </x:row>
    <x:row r="154" ht="48" customHeight="1">
      <x:c r="A154" s="19" t="str">
        <x:v>Ubal-1</x:v>
      </x:c>
      <x:c r="B154" s="19" t="str">
        <x:v>天灾军团</x:v>
      </x:c>
      <x:c r="C154" s="19" t="str">
        <x:v>暮光酒馆</x:v>
      </x:c>
      <x:c r="D154" s="19" t="str">
        <x:v>地穴编织者</x:v>
      </x:c>
      <x:c r="E154" s="19" t="str">
        <x:v>Nerubian Weaver</x:v>
      </x:c>
      <x:c r="F154" s="19" t="str">
        <x:v>Ubal</x:v>
      </x:c>
      <x:c r="G154" s="19" t="str">
        <x:v>Anub'seran</x:v>
      </x:c>
      <x:c r="H154" s="19" t="str">
        <x:v>AGI</x:v>
      </x:c>
      <x:c r="I154" s="19" t="str">
        <x:v>远程</x:v>
      </x:c>
      <x:c r="J154" s="19" t="n">
        <x:v>1</x:v>
      </x:c>
      <x:c r="K154" s="19" t="str">
        <x:v>Watcher</x:v>
      </x:c>
      <x:c r="L154" s="19" t="str">
        <x:v>A00T</x:v>
      </x:c>
      <x:c r="M154" s="49" t="str">
        <x:v>否</x:v>
      </x:c>
      <x:c r="N154" s="49" t="n">
        <x:v>4</x:v>
      </x:c>
      <x:c r="O154" s="49" t="n">
        <x:v>1</x:v>
      </x:c>
      <x:c r="P154" s="49" t="n">
        <x:v>2</x:v>
      </x:c>
      <x:c r="Q154" s="19" t="str">
        <x:v>开关/自动施放</x:v>
      </x:c>
      <x:c r="R154" s="19" t="str">
        <x:v>—</x:v>
      </x:c>
      <x:c r="S154" s="19" t="str">
        <x:v>视野/侦察</x:v>
      </x:c>
      <x:c r="T154" s="19" t="str">
        <x:v>隐身、视野/侦察</x:v>
      </x:c>
      <x:c r="U154" s="48" t="str">
        <x:v>开关/自动施放；—；主分类：视野/侦察；标签：隐身、视野/侦察</x:v>
      </x:c>
      <x:c r="V154" s="48" t="str">
        <x:v>10/10/10/10</x:v>
      </x:c>
      <x:c r="W154" s="48" t="str">
        <x:v>20/15/10/5</x:v>
      </x:c>
      <x:c r="X154" s="48" t="str">
        <x:v>900/900/900/900</x:v>
      </x:c>
      <x:c r="Y154" s="48" t="str">
        <x:v>900/900/900/900</x:v>
      </x:c>
      <x:c r="Z154" s="48" t="str">
        <x:v>—/—/—/—</x:v>
      </x:c>
      <x:c r="AA154" s="48" t="str">
        <x:v>—/—/—/—</x:v>
      </x:c>
      <x:c r="AB154" s="48" t="str">
        <x:v>dead/dead/dead/dead</x:v>
      </x:c>
      <x:c r="AC154" s="48" t="str">
        <x:v>开关/自动施放；—；主分类：视野/侦察；标签：隐身、视野/侦察；等级：4；魔耗：10/10/10/10；冷却：20/15/10/5；施法距离：900/900/900/900；作用范围：900/900/900/900；持续时间：—/—/—/—。</x:v>
      </x:c>
      <x:c r="AD154" s="48" t="str">
        <x:v>1 / 2 / 4 / 3 / 6 / 8 / 20 / 15 / 10 / 5</x:v>
      </x:c>
      <x:c r="AE154" s="48" t="str">
        <x:v>A</x:v>
      </x:c>
      <x:c r="AF154" s="48" t="str">
        <x:v>6.48b 地图内 UnitAbilities/AbilityData/AbilityStrings 与对象修改表</x:v>
      </x:c>
      <x:c r="AG154" s="18" t="str">
        <x:v>S1</x:v>
      </x:c>
    </x:row>
    <x:row r="155" ht="48" customHeight="1">
      <x:c r="A155" s="19" t="str">
        <x:v>Ubal-2</x:v>
      </x:c>
      <x:c r="B155" s="19" t="str">
        <x:v>天灾军团</x:v>
      </x:c>
      <x:c r="C155" s="19" t="str">
        <x:v>暮光酒馆</x:v>
      </x:c>
      <x:c r="D155" s="19" t="str">
        <x:v>地穴编织者</x:v>
      </x:c>
      <x:c r="E155" s="19" t="str">
        <x:v>Nerubian Weaver</x:v>
      </x:c>
      <x:c r="F155" s="19" t="str">
        <x:v>Ubal</x:v>
      </x:c>
      <x:c r="G155" s="19" t="str">
        <x:v>Anub'seran</x:v>
      </x:c>
      <x:c r="H155" s="19" t="str">
        <x:v>AGI</x:v>
      </x:c>
      <x:c r="I155" s="19" t="str">
        <x:v>远程</x:v>
      </x:c>
      <x:c r="J155" s="19" t="n">
        <x:v>2</x:v>
      </x:c>
      <x:c r="K155" s="19" t="str">
        <x:v>Shukuchi</x:v>
      </x:c>
      <x:c r="L155" s="19" t="str">
        <x:v>A0CA</x:v>
      </x:c>
      <x:c r="M155" s="49" t="str">
        <x:v>否</x:v>
      </x:c>
      <x:c r="N155" s="49" t="n">
        <x:v>4</x:v>
      </x:c>
      <x:c r="O155" s="49" t="n">
        <x:v>1</x:v>
      </x:c>
      <x:c r="P155" s="49" t="n">
        <x:v>2</x:v>
      </x:c>
      <x:c r="Q155" s="19" t="str">
        <x:v>主动</x:v>
      </x:c>
      <x:c r="R155" s="19" t="str">
        <x:v>无目标或脚本目标</x:v>
      </x:c>
      <x:c r="S155" s="19" t="str">
        <x:v>伤害</x:v>
      </x:c>
      <x:c r="T155" s="19" t="str">
        <x:v>伤害、隐身</x:v>
      </x:c>
      <x:c r="U155" s="48" t="str">
        <x:v>主动；无目标或脚本目标；主分类：伤害；标签：伤害、隐身</x:v>
      </x:c>
      <x:c r="V155" s="48" t="str">
        <x:v>60/60/60/60</x:v>
      </x:c>
      <x:c r="W155" s="48" t="str">
        <x:v>13/11/9/7</x:v>
      </x:c>
      <x:c r="X155" s="48" t="str">
        <x:v>—/—/—/—</x:v>
      </x:c>
      <x:c r="Y155" s="48" t="str">
        <x:v>—/—/—/—</x:v>
      </x:c>
      <x:c r="Z155" s="48" t="str">
        <x:v>4/4/4/4</x:v>
      </x:c>
      <x:c r="AA155" s="48" t="str">
        <x:v>4/4/4/4</x:v>
      </x:c>
      <x:c r="AB155" s="48" t="str">
        <x:v>air,ground,enemy,neutral/air,ground,enemy,neutral/air,ground,enemy,neutral/air,ground,enemy,neutral</x:v>
      </x:c>
      <x:c r="AC155" s="48" t="str">
        <x:v>主动；无目标或脚本目标；主分类：伤害；标签：伤害、隐身；等级：4；魔耗：60/60/60/60；冷却：13/11/9/7；施法距离：—/—/—/—；作用范围：—/—/—/—；持续时间：4/4/4/4。</x:v>
      </x:c>
      <x:c r="AD155" s="48" t="str">
        <x:v>4 / 1 / 90 / 2 / 100 / 3 / 110 / 120 / 13 / 11 / 9 / 7</x:v>
      </x:c>
      <x:c r="AE155" s="48" t="str">
        <x:v>A</x:v>
      </x:c>
      <x:c r="AF155" s="48" t="str">
        <x:v>6.48b 地图内 UnitAbilities/AbilityData/AbilityStrings 与对象修改表</x:v>
      </x:c>
      <x:c r="AG155" s="18" t="str">
        <x:v>S1</x:v>
      </x:c>
    </x:row>
    <x:row r="156" ht="48" customHeight="1">
      <x:c r="A156" s="19" t="str">
        <x:v>Ubal-3</x:v>
      </x:c>
      <x:c r="B156" s="19" t="str">
        <x:v>天灾军团</x:v>
      </x:c>
      <x:c r="C156" s="19" t="str">
        <x:v>暮光酒馆</x:v>
      </x:c>
      <x:c r="D156" s="19" t="str">
        <x:v>地穴编织者</x:v>
      </x:c>
      <x:c r="E156" s="19" t="str">
        <x:v>Nerubian Weaver</x:v>
      </x:c>
      <x:c r="F156" s="19" t="str">
        <x:v>Ubal</x:v>
      </x:c>
      <x:c r="G156" s="19" t="str">
        <x:v>Anub'seran</x:v>
      </x:c>
      <x:c r="H156" s="19" t="str">
        <x:v>AGI</x:v>
      </x:c>
      <x:c r="I156" s="19" t="str">
        <x:v>远程</x:v>
      </x:c>
      <x:c r="J156" s="19" t="n">
        <x:v>3</x:v>
      </x:c>
      <x:c r="K156" s="19" t="str">
        <x:v>Time Lapse</x:v>
      </x:c>
      <x:c r="L156" s="19" t="str">
        <x:v>A0CT</x:v>
      </x:c>
      <x:c r="M156" s="49" t="str">
        <x:v>是</x:v>
      </x:c>
      <x:c r="N156" s="49" t="n">
        <x:v>3</x:v>
      </x:c>
      <x:c r="O156" s="49" t="n">
        <x:v>6</x:v>
      </x:c>
      <x:c r="P156" s="49" t="n">
        <x:v>5</x:v>
      </x:c>
      <x:c r="Q156" s="19" t="str">
        <x:v>主动</x:v>
      </x:c>
      <x:c r="R156" s="19" t="str">
        <x:v>无目标或脚本目标</x:v>
      </x:c>
      <x:c r="S156" s="19" t="str">
        <x:v>资源机制</x:v>
      </x:c>
      <x:c r="T156" s="19" t="str">
        <x:v>资源机制</x:v>
      </x:c>
      <x:c r="U156" s="48" t="str">
        <x:v>主动；无目标或脚本目标；主分类：资源机制；标签：资源机制</x:v>
      </x:c>
      <x:c r="V156" s="48" t="str">
        <x:v>150/75/—</x:v>
      </x:c>
      <x:c r="W156" s="48" t="str">
        <x:v>120/90/60</x:v>
      </x:c>
      <x:c r="X156" s="48" t="str">
        <x:v>—/—/—</x:v>
      </x:c>
      <x:c r="Y156" s="48" t="str">
        <x:v>—/—/—</x:v>
      </x:c>
      <x:c r="Z156" s="48" t="str">
        <x:v>—/—/—</x:v>
      </x:c>
      <x:c r="AA156" s="48" t="str">
        <x:v>—/—/—</x:v>
      </x:c>
      <x:c r="AB156" s="48" t="str">
        <x:v>—/—/—</x:v>
      </x:c>
      <x:c r="AC156" s="48" t="str">
        <x:v>主动；无目标或脚本目标；主分类：资源机制；标签：资源机制；等级：3；魔耗：150/75/—；冷却：120/90/60；施法距离：—/—/—；作用范围：—/—/—；持续时间：—/—/—。</x:v>
      </x:c>
      <x:c r="AD156" s="48" t="str">
        <x:v>5 / 1 / 150 / 2 / 75 / 3 / 0 / 120 / 90 / 60</x:v>
      </x:c>
      <x:c r="AE156" s="48" t="str">
        <x:v>A</x:v>
      </x:c>
      <x:c r="AF156" s="48" t="str">
        <x:v>6.48b 地图内 UnitAbilities/AbilityData/AbilityStrings 与对象修改表</x:v>
      </x:c>
      <x:c r="AG156" s="18" t="str">
        <x:v>S1</x:v>
      </x:c>
    </x:row>
    <x:row r="157" ht="48" customHeight="1">
      <x:c r="A157" s="19" t="str">
        <x:v>Ubal-4</x:v>
      </x:c>
      <x:c r="B157" s="19" t="str">
        <x:v>天灾军团</x:v>
      </x:c>
      <x:c r="C157" s="19" t="str">
        <x:v>暮光酒馆</x:v>
      </x:c>
      <x:c r="D157" s="19" t="str">
        <x:v>地穴编织者</x:v>
      </x:c>
      <x:c r="E157" s="19" t="str">
        <x:v>Nerubian Weaver</x:v>
      </x:c>
      <x:c r="F157" s="19" t="str">
        <x:v>Ubal</x:v>
      </x:c>
      <x:c r="G157" s="19" t="str">
        <x:v>Anub'seran</x:v>
      </x:c>
      <x:c r="H157" s="19" t="str">
        <x:v>AGI</x:v>
      </x:c>
      <x:c r="I157" s="19" t="str">
        <x:v>远程</x:v>
      </x:c>
      <x:c r="J157" s="19" t="n">
        <x:v>4</x:v>
      </x:c>
      <x:c r="K157" s="19" t="str">
        <x:v>Geminate Attack</x:v>
      </x:c>
      <x:c r="L157" s="19" t="str">
        <x:v>A0CG</x:v>
      </x:c>
      <x:c r="M157" s="49" t="str">
        <x:v>否</x:v>
      </x:c>
      <x:c r="N157" s="49" t="n">
        <x:v>4</x:v>
      </x:c>
      <x:c r="O157" s="49" t="n">
        <x:v>1</x:v>
      </x:c>
      <x:c r="P157" s="49" t="n">
        <x:v>2</x:v>
      </x:c>
      <x:c r="Q157" s="19" t="str">
        <x:v>被动/脚本触发</x:v>
      </x:c>
      <x:c r="R157" s="19" t="str">
        <x:v>被动</x:v>
      </x:c>
      <x:c r="S157" s="19" t="str">
        <x:v>功能/特殊</x:v>
      </x:c>
      <x:c r="T157" s="19" t="str">
        <x:v>被动触发</x:v>
      </x:c>
      <x:c r="U157" s="48" t="str">
        <x:v>被动/脚本触发；被动；主分类：功能/特殊；标签：被动触发</x:v>
      </x:c>
      <x:c r="V157" s="48" t="str">
        <x:v>—/—/—/—</x:v>
      </x:c>
      <x:c r="W157" s="48" t="str">
        <x:v>—/—/—/—</x:v>
      </x:c>
      <x:c r="X157" s="48" t="str">
        <x:v>—/—/—/—</x:v>
      </x:c>
      <x:c r="Y157" s="48" t="str">
        <x:v>—/—/—/—</x:v>
      </x:c>
      <x:c r="Z157" s="48" t="str">
        <x:v>—/—/—/—</x:v>
      </x:c>
      <x:c r="AA157" s="48" t="str">
        <x:v>—/—/—/—</x:v>
      </x:c>
      <x:c r="AB157" s="48" t="str">
        <x:v>ground,air,ward/ground,air,ward/ground,air,ward/ground,air,ward</x:v>
      </x:c>
      <x:c r="AC157" s="48" t="str">
        <x:v>被动/脚本触发；被动；主分类：功能/特殊；标签：被动触发；等级：4；魔耗：—/—/—/—；冷却：—/—/—/—；施法距离：—/—/—/—；作用范围：—/—/—/—；持续时间：—/—/—/—。</x:v>
      </x:c>
      <x:c r="AD157" s="48" t="str">
        <x:v>7 / 6 / 5 / 3.5 / 1 / 2 / 3 / 4</x:v>
      </x:c>
      <x:c r="AE157" s="48" t="str">
        <x:v>A</x:v>
      </x:c>
      <x:c r="AF157" s="48" t="str">
        <x:v>The learn container points to A0CN/A0CR/A0CS/A0CM; their map tooltips provide the cooldowns.</x:v>
      </x:c>
      <x:c r="AG157" s="18" t="str">
        <x:v>S1</x:v>
      </x:c>
    </x:row>
    <x:row r="158" ht="48" customHeight="1">
      <x:c r="A158" s="19" t="str">
        <x:v>Opgh-1</x:v>
      </x:c>
      <x:c r="B158" s="19" t="str">
        <x:v>天灾军团</x:v>
      </x:c>
      <x:c r="C158" s="19" t="str">
        <x:v>暮光酒馆</x:v>
      </x:c>
      <x:c r="D158" s="19" t="str">
        <x:v>斧王</x:v>
      </x:c>
      <x:c r="E158" s="19" t="str">
        <x:v>Axe</x:v>
      </x:c>
      <x:c r="F158" s="19" t="str">
        <x:v>Opgh</x:v>
      </x:c>
      <x:c r="G158" s="19" t="str">
        <x:v>Mogul Kahn</x:v>
      </x:c>
      <x:c r="H158" s="19" t="str">
        <x:v>STR</x:v>
      </x:c>
      <x:c r="I158" s="19" t="str">
        <x:v>近战</x:v>
      </x:c>
      <x:c r="J158" s="19" t="n">
        <x:v>1</x:v>
      </x:c>
      <x:c r="K158" s="19" t="str">
        <x:v>Battle Hunger</x:v>
      </x:c>
      <x:c r="L158" s="19" t="str">
        <x:v>A0S1</x:v>
      </x:c>
      <x:c r="M158" s="49" t="str">
        <x:v>否</x:v>
      </x:c>
      <x:c r="N158" s="49" t="n">
        <x:v>4</x:v>
      </x:c>
      <x:c r="O158" s="49" t="n">
        <x:v>1</x:v>
      </x:c>
      <x:c r="P158" s="49" t="n">
        <x:v>2</x:v>
      </x:c>
      <x:c r="Q158" s="19" t="str">
        <x:v>主动</x:v>
      </x:c>
      <x:c r="R158" s="19" t="str">
        <x:v>单位目标</x:v>
      </x:c>
      <x:c r="S158" s="19" t="str">
        <x:v>伤害</x:v>
      </x:c>
      <x:c r="T158" s="19" t="str">
        <x:v>伤害</x:v>
      </x:c>
      <x:c r="U158" s="48" t="str">
        <x:v>主动；单位目标；主分类：伤害；标签：伤害</x:v>
      </x:c>
      <x:c r="V158" s="48" t="str">
        <x:v>75/85/95/105</x:v>
      </x:c>
      <x:c r="W158" s="48" t="str">
        <x:v>25/20/15/10</x:v>
      </x:c>
      <x:c r="X158" s="48" t="str">
        <x:v>900/900/900/900</x:v>
      </x:c>
      <x:c r="Y158" s="48" t="str">
        <x:v>—/—/—/—</x:v>
      </x:c>
      <x:c r="Z158" s="48" t="str">
        <x:v>—/—/—/—</x:v>
      </x:c>
      <x:c r="AA158" s="48" t="str">
        <x:v>—/—/—/—</x:v>
      </x:c>
      <x:c r="AB158" s="48" t="str">
        <x:v>air,enemies,ground,neutral,nonancient,organic/air,enemies,ground,neutral,nonancient,organic/air,enemies,ground,neutral,nonancient,organic/air,enemies,ground,neutral,nonancient,organic</x:v>
      </x:c>
      <x:c r="AC158" s="48" t="str">
        <x:v>主动；单位目标；主分类：伤害；标签：伤害；等级：4；魔耗：75/85/95/105；冷却：25/20/15/10；施法距离：900/900/900/900；作用范围：—/—/—/—；持续时间：—/—/—/—。</x:v>
      </x:c>
      <x:c r="AD158" s="48" t="str">
        <x:v>1 / 15 / 10 / 2 / 3 / 20 / 4 / 25</x:v>
      </x:c>
      <x:c r="AE158" s="48" t="str">
        <x:v>A</x:v>
      </x:c>
      <x:c r="AF158" s="48" t="str">
        <x:v>6.48b 地图内 UnitAbilities/AbilityData/AbilityStrings 与对象修改表</x:v>
      </x:c>
      <x:c r="AG158" s="18" t="str">
        <x:v>S1</x:v>
      </x:c>
    </x:row>
    <x:row r="159" ht="48" customHeight="1">
      <x:c r="A159" s="19" t="str">
        <x:v>Opgh-2</x:v>
      </x:c>
      <x:c r="B159" s="19" t="str">
        <x:v>天灾军团</x:v>
      </x:c>
      <x:c r="C159" s="19" t="str">
        <x:v>暮光酒馆</x:v>
      </x:c>
      <x:c r="D159" s="19" t="str">
        <x:v>斧王</x:v>
      </x:c>
      <x:c r="E159" s="19" t="str">
        <x:v>Axe</x:v>
      </x:c>
      <x:c r="F159" s="19" t="str">
        <x:v>Opgh</x:v>
      </x:c>
      <x:c r="G159" s="19" t="str">
        <x:v>Mogul Kahn</x:v>
      </x:c>
      <x:c r="H159" s="19" t="str">
        <x:v>STR</x:v>
      </x:c>
      <x:c r="I159" s="19" t="str">
        <x:v>近战</x:v>
      </x:c>
      <x:c r="J159" s="19" t="n">
        <x:v>2</x:v>
      </x:c>
      <x:c r="K159" s="19" t="str">
        <x:v>Counter Helix</x:v>
      </x:c>
      <x:c r="L159" s="19" t="str">
        <x:v>A0C6</x:v>
      </x:c>
      <x:c r="M159" s="49" t="str">
        <x:v>否</x:v>
      </x:c>
      <x:c r="N159" s="49" t="n">
        <x:v>4</x:v>
      </x:c>
      <x:c r="O159" s="49" t="n">
        <x:v>1</x:v>
      </x:c>
      <x:c r="P159" s="49" t="n">
        <x:v>2</x:v>
      </x:c>
      <x:c r="Q159" s="19" t="str">
        <x:v>被动</x:v>
      </x:c>
      <x:c r="R159" s="19" t="str">
        <x:v>被动</x:v>
      </x:c>
      <x:c r="S159" s="19" t="str">
        <x:v>伤害</x:v>
      </x:c>
      <x:c r="T159" s="19" t="str">
        <x:v>伤害、范围效果、被动触发</x:v>
      </x:c>
      <x:c r="U159" s="48" t="str">
        <x:v>被动；被动；主分类：伤害；标签：伤害、范围效果、被动触发</x:v>
      </x:c>
      <x:c r="V159" s="48" t="str">
        <x:v>—/—/—/—</x:v>
      </x:c>
      <x:c r="W159" s="48" t="str">
        <x:v>—/—/—/—</x:v>
      </x:c>
      <x:c r="X159" s="48" t="str">
        <x:v>—/—/—/—</x:v>
      </x:c>
      <x:c r="Y159" s="48" t="str">
        <x:v>900/900/900/900</x:v>
      </x:c>
      <x:c r="Z159" s="48" t="str">
        <x:v>—/—/—/—</x:v>
      </x:c>
      <x:c r="AA159" s="48" t="str">
        <x:v>—/—/—/—</x:v>
      </x:c>
      <x:c r="AB159" s="48" t="str">
        <x:v>self/self/self/self</x:v>
      </x:c>
      <x:c r="AC159" s="48" t="str">
        <x:v>被动；被动；主分类：伤害；标签：伤害、范围效果、被动触发；等级：4；魔耗：—/—/—/—；冷却：—/—/—/—；施法距离：—/—/—/—；作用范围：900/900/900/900；持续时间：—/—/—/—。</x:v>
      </x:c>
      <x:c r="AD159" s="48" t="str">
        <x:v>1 / 15% / 100 / 2 / 125 / 3 / 150 / 4 / 175 / 6</x:v>
      </x:c>
      <x:c r="AE159" s="48" t="str">
        <x:v>A</x:v>
      </x:c>
      <x:c r="AF159" s="48" t="str">
        <x:v>6.48b 地图内 UnitAbilities/AbilityData/AbilityStrings 与对象修改表</x:v>
      </x:c>
      <x:c r="AG159" s="18" t="str">
        <x:v>S1</x:v>
      </x:c>
    </x:row>
    <x:row r="160" ht="48" customHeight="1">
      <x:c r="A160" s="19" t="str">
        <x:v>Opgh-3</x:v>
      </x:c>
      <x:c r="B160" s="19" t="str">
        <x:v>天灾军团</x:v>
      </x:c>
      <x:c r="C160" s="19" t="str">
        <x:v>暮光酒馆</x:v>
      </x:c>
      <x:c r="D160" s="19" t="str">
        <x:v>斧王</x:v>
      </x:c>
      <x:c r="E160" s="19" t="str">
        <x:v>Axe</x:v>
      </x:c>
      <x:c r="F160" s="19" t="str">
        <x:v>Opgh</x:v>
      </x:c>
      <x:c r="G160" s="19" t="str">
        <x:v>Mogul Kahn</x:v>
      </x:c>
      <x:c r="H160" s="19" t="str">
        <x:v>STR</x:v>
      </x:c>
      <x:c r="I160" s="19" t="str">
        <x:v>近战</x:v>
      </x:c>
      <x:c r="J160" s="19" t="n">
        <x:v>3</x:v>
      </x:c>
      <x:c r="K160" s="19" t="str">
        <x:v>Culling Blade</x:v>
      </x:c>
      <x:c r="L160" s="19" t="str">
        <x:v>A0E2</x:v>
      </x:c>
      <x:c r="M160" s="49" t="str">
        <x:v>是</x:v>
      </x:c>
      <x:c r="N160" s="49" t="n">
        <x:v>3</x:v>
      </x:c>
      <x:c r="O160" s="49" t="n">
        <x:v>6</x:v>
      </x:c>
      <x:c r="P160" s="49" t="n">
        <x:v>5</x:v>
      </x:c>
      <x:c r="Q160" s="19" t="str">
        <x:v>主动</x:v>
      </x:c>
      <x:c r="R160" s="19" t="str">
        <x:v>单位目标</x:v>
      </x:c>
      <x:c r="S160" s="19" t="str">
        <x:v>伤害</x:v>
      </x:c>
      <x:c r="T160" s="19" t="str">
        <x:v>伤害</x:v>
      </x:c>
      <x:c r="U160" s="48" t="str">
        <x:v>主动；单位目标；主分类：伤害；标签：伤害</x:v>
      </x:c>
      <x:c r="V160" s="48" t="str">
        <x:v>120/160/200</x:v>
      </x:c>
      <x:c r="W160" s="48" t="str">
        <x:v>75/65/55</x:v>
      </x:c>
      <x:c r="X160" s="48" t="str">
        <x:v>150/150/150</x:v>
      </x:c>
      <x:c r="Y160" s="48" t="str">
        <x:v>150/150/150</x:v>
      </x:c>
      <x:c r="Z160" s="48" t="str">
        <x:v>—/—/—</x:v>
      </x:c>
      <x:c r="AA160" s="48" t="str">
        <x:v>—/—/—</x:v>
      </x:c>
      <x:c r="AB160" s="48" t="str">
        <x:v>air,ground,enemy,neutral,organic/air,ground,enemy,neutral,organic/air,ground,enemy,neutral,organic</x:v>
      </x:c>
      <x:c r="AC160" s="48" t="str">
        <x:v>主动；单位目标；主分类：伤害；标签：伤害；等级：3；魔耗：120/160/200；冷却：75/65/55；施法距离：150/150/150；作用范围：150/150/150；持续时间：—/—/—。</x:v>
      </x:c>
      <x:c r="AD160" s="48" t="str">
        <x:v>1 / 150 / 300 / 2 / 250 / 450 / 3 / 625 / 75 / 65 / 55</x:v>
      </x:c>
      <x:c r="AE160" s="48" t="str">
        <x:v>A</x:v>
      </x:c>
      <x:c r="AF160" s="48" t="str">
        <x:v>6.48b 地图内 UnitAbilities/AbilityData/AbilityStrings 与对象修改表</x:v>
      </x:c>
      <x:c r="AG160" s="18" t="str">
        <x:v>S1</x:v>
      </x:c>
    </x:row>
    <x:row r="161" ht="48" customHeight="1">
      <x:c r="A161" s="19" t="str">
        <x:v>Opgh-4</x:v>
      </x:c>
      <x:c r="B161" s="19" t="str">
        <x:v>天灾军团</x:v>
      </x:c>
      <x:c r="C161" s="19" t="str">
        <x:v>暮光酒馆</x:v>
      </x:c>
      <x:c r="D161" s="19" t="str">
        <x:v>斧王</x:v>
      </x:c>
      <x:c r="E161" s="19" t="str">
        <x:v>Axe</x:v>
      </x:c>
      <x:c r="F161" s="19" t="str">
        <x:v>Opgh</x:v>
      </x:c>
      <x:c r="G161" s="19" t="str">
        <x:v>Mogul Kahn</x:v>
      </x:c>
      <x:c r="H161" s="19" t="str">
        <x:v>STR</x:v>
      </x:c>
      <x:c r="I161" s="19" t="str">
        <x:v>近战</x:v>
      </x:c>
      <x:c r="J161" s="19" t="n">
        <x:v>4</x:v>
      </x:c>
      <x:c r="K161" s="19" t="str">
        <x:v>Berserker's Call</x:v>
      </x:c>
      <x:c r="L161" s="19" t="str">
        <x:v>A0I6</x:v>
      </x:c>
      <x:c r="M161" s="49" t="str">
        <x:v>否</x:v>
      </x:c>
      <x:c r="N161" s="49" t="n">
        <x:v>4</x:v>
      </x:c>
      <x:c r="O161" s="49" t="n">
        <x:v>1</x:v>
      </x:c>
      <x:c r="P161" s="49" t="n">
        <x:v>2</x:v>
      </x:c>
      <x:c r="Q161" s="19" t="str">
        <x:v>主动</x:v>
      </x:c>
      <x:c r="R161" s="19" t="str">
        <x:v>无目标或脚本目标</x:v>
      </x:c>
      <x:c r="S161" s="19" t="str">
        <x:v>防御/生存</x:v>
      </x:c>
      <x:c r="T161" s="19" t="str">
        <x:v>防御/生存、强化、范围效果</x:v>
      </x:c>
      <x:c r="U161" s="48" t="str">
        <x:v>主动；无目标或脚本目标；主分类：防御/生存；标签：防御/生存、强化、范围效果</x:v>
      </x:c>
      <x:c r="V161" s="48" t="str">
        <x:v>80/90/100/110</x:v>
      </x:c>
      <x:c r="W161" s="48" t="str">
        <x:v>14/14/14/14</x:v>
      </x:c>
      <x:c r="X161" s="48" t="str">
        <x:v>500/500/500/500</x:v>
      </x:c>
      <x:c r="Y161" s="48" t="str">
        <x:v>—/—/—/—</x:v>
      </x:c>
      <x:c r="Z161" s="48" t="str">
        <x:v>—/—/—/—</x:v>
      </x:c>
      <x:c r="AA161" s="48" t="str">
        <x:v>—/—/—/—</x:v>
      </x:c>
      <x:c r="AB161" s="48" t="str">
        <x:v>—/—/—/—</x:v>
      </x:c>
      <x:c r="AC161" s="48" t="str">
        <x:v>主动；无目标或脚本目标；主分类：防御/生存；标签：防御/生存、强化、范围效果；等级：4；魔耗：80/90/100/110；冷却：14/14/14/14；施法距离：500/500/500/500；作用范围：—/—/—/—；持续时间：—/—/—/—。</x:v>
      </x:c>
      <x:c r="AD161" s="48" t="str">
        <x:v>300 / 1 / 1.5 / 5 / 2 / 10 / 3 / 2.5 / 15 / 4 / 20 / 14 / 2.0 / 3.0</x:v>
      </x:c>
      <x:c r="AE161" s="48" t="str">
        <x:v>A</x:v>
      </x:c>
      <x:c r="AF161" s="48" t="str">
        <x:v>6.48b 地图内 UnitAbilities/AbilityData/AbilityStrings 与对象修改表</x:v>
      </x:c>
      <x:c r="AG161" s="18" t="str">
        <x:v>S1</x:v>
      </x:c>
    </x:row>
    <x:row r="162" ht="48" customHeight="1">
      <x:c r="A162" s="19" t="str">
        <x:v>U00K-1</x:v>
      </x:c>
      <x:c r="B162" s="19" t="str">
        <x:v>天灾军团</x:v>
      </x:c>
      <x:c r="C162" s="19" t="str">
        <x:v>暮光酒馆</x:v>
      </x:c>
      <x:c r="D162" s="19" t="str">
        <x:v>沙王</x:v>
      </x:c>
      <x:c r="E162" s="19" t="str">
        <x:v>Sand King</x:v>
      </x:c>
      <x:c r="F162" s="19" t="str">
        <x:v>U00K</x:v>
      </x:c>
      <x:c r="G162" s="19" t="str">
        <x:v>Crixalis</x:v>
      </x:c>
      <x:c r="H162" s="19" t="str">
        <x:v>STR</x:v>
      </x:c>
      <x:c r="I162" s="19" t="str">
        <x:v>近战</x:v>
      </x:c>
      <x:c r="J162" s="19" t="n">
        <x:v>1</x:v>
      </x:c>
      <x:c r="K162" s="19" t="str">
        <x:v>Sand Storm</x:v>
      </x:c>
      <x:c r="L162" s="19" t="str">
        <x:v>A0H0</x:v>
      </x:c>
      <x:c r="M162" s="49" t="str">
        <x:v>否</x:v>
      </x:c>
      <x:c r="N162" s="49" t="n">
        <x:v>4</x:v>
      </x:c>
      <x:c r="O162" s="49" t="n">
        <x:v>1</x:v>
      </x:c>
      <x:c r="P162" s="49" t="n">
        <x:v>2</x:v>
      </x:c>
      <x:c r="Q162" s="19" t="str">
        <x:v>开关/自动施放</x:v>
      </x:c>
      <x:c r="R162" s="19" t="str">
        <x:v>无目标/范围</x:v>
      </x:c>
      <x:c r="S162" s="19" t="str">
        <x:v>软控</x:v>
      </x:c>
      <x:c r="T162" s="19" t="str">
        <x:v>伤害、软控、隐身、持续施法、范围效果</x:v>
      </x:c>
      <x:c r="U162" s="48" t="str">
        <x:v>开关/自动施放；无目标/范围；主分类：软控；标签：伤害、软控、隐身、持续施法、范围效果</x:v>
      </x:c>
      <x:c r="V162" s="48" t="str">
        <x:v>60/50/40/30</x:v>
      </x:c>
      <x:c r="W162" s="48" t="str">
        <x:v>40/40/40/40</x:v>
      </x:c>
      <x:c r="X162" s="48" t="str">
        <x:v>500/500/500/500</x:v>
      </x:c>
      <x:c r="Y162" s="48" t="str">
        <x:v>—/—/—/—</x:v>
      </x:c>
      <x:c r="Z162" s="48" t="str">
        <x:v>—/—/—/—</x:v>
      </x:c>
      <x:c r="AA162" s="48" t="str">
        <x:v>—/—/—/—</x:v>
      </x:c>
      <x:c r="AB162" s="48" t="str">
        <x:v>—/—/—/—</x:v>
      </x:c>
      <x:c r="AC162" s="48" t="str">
        <x:v>开关/自动施放；无目标/范围；主分类：软控；标签：伤害、软控、隐身、持续施法、范围效果；等级：4；魔耗：60/50/40/30；冷却：40/40/40/40；施法距离：500/500/500/500；作用范围：—/—/—/—；持续时间：—/—/—/—。</x:v>
      </x:c>
      <x:c r="AD162" s="48" t="str">
        <x:v>1 / 20 / 200 / 0.3 / 2 / 40 / 250 / 0.6 / 3 / 60 / 300 / 0.9 / 4 / 80 / 350 / 1.2</x:v>
      </x:c>
      <x:c r="AE162" s="48" t="str">
        <x:v>A</x:v>
      </x:c>
      <x:c r="AF162" s="48" t="str">
        <x:v>6.48b 地图内 UnitAbilities/AbilityData/AbilityStrings 与对象修改表</x:v>
      </x:c>
      <x:c r="AG162" s="18" t="str">
        <x:v>S1</x:v>
      </x:c>
    </x:row>
    <x:row r="163" ht="48" customHeight="1">
      <x:c r="A163" s="19" t="str">
        <x:v>U00K-2</x:v>
      </x:c>
      <x:c r="B163" s="19" t="str">
        <x:v>天灾军团</x:v>
      </x:c>
      <x:c r="C163" s="19" t="str">
        <x:v>暮光酒馆</x:v>
      </x:c>
      <x:c r="D163" s="19" t="str">
        <x:v>沙王</x:v>
      </x:c>
      <x:c r="E163" s="19" t="str">
        <x:v>Sand King</x:v>
      </x:c>
      <x:c r="F163" s="19" t="str">
        <x:v>U00K</x:v>
      </x:c>
      <x:c r="G163" s="19" t="str">
        <x:v>Crixalis</x:v>
      </x:c>
      <x:c r="H163" s="19" t="str">
        <x:v>STR</x:v>
      </x:c>
      <x:c r="I163" s="19" t="str">
        <x:v>近战</x:v>
      </x:c>
      <x:c r="J163" s="19" t="n">
        <x:v>2</x:v>
      </x:c>
      <x:c r="K163" s="19" t="str">
        <x:v>Caustic Finale</x:v>
      </x:c>
      <x:c r="L163" s="19" t="str">
        <x:v>A0FA</x:v>
      </x:c>
      <x:c r="M163" s="49" t="str">
        <x:v>否</x:v>
      </x:c>
      <x:c r="N163" s="49" t="n">
        <x:v>4</x:v>
      </x:c>
      <x:c r="O163" s="49" t="n">
        <x:v>1</x:v>
      </x:c>
      <x:c r="P163" s="49" t="n">
        <x:v>2</x:v>
      </x:c>
      <x:c r="Q163" s="19" t="str">
        <x:v>被动</x:v>
      </x:c>
      <x:c r="R163" s="19" t="str">
        <x:v>被动</x:v>
      </x:c>
      <x:c r="S163" s="19" t="str">
        <x:v>伤害</x:v>
      </x:c>
      <x:c r="T163" s="19" t="str">
        <x:v>伤害、范围效果、被动触发</x:v>
      </x:c>
      <x:c r="U163" s="48" t="str">
        <x:v>被动；被动；主分类：伤害；标签：伤害、范围效果、被动触发</x:v>
      </x:c>
      <x:c r="V163" s="48" t="str">
        <x:v>—/—/—/—</x:v>
      </x:c>
      <x:c r="W163" s="48" t="str">
        <x:v>—/—/—/—</x:v>
      </x:c>
      <x:c r="X163" s="48" t="str">
        <x:v>—/—/—/—</x:v>
      </x:c>
      <x:c r="Y163" s="48" t="str">
        <x:v>—/—/—/—</x:v>
      </x:c>
      <x:c r="Z163" s="48" t="str">
        <x:v>0.25/0.25/0.25/0.25</x:v>
      </x:c>
      <x:c r="AA163" s="48" t="str">
        <x:v>0.25/0.25/0.25/0.25</x:v>
      </x:c>
      <x:c r="AB163" s="48" t="str">
        <x:v>enemies,neutral,organic/enemies,neutral,organic/enemies,neutral,organic/enemies,neutral,organic</x:v>
      </x:c>
      <x:c r="AC163" s="48" t="str">
        <x:v>被动；被动；主分类：伤害；标签：伤害、范围效果、被动触发；等级：4；魔耗：—/—/—/—；冷却：—/—/—/—；施法距离：—/—/—/—；作用范围：—/—/—/—；持续时间：0.25/0.25/0.25/0.25。</x:v>
      </x:c>
      <x:c r="AD163" s="48" t="str">
        <x:v>1 / 90 / 2 / 130 / 3 / 170 / 4 / 220</x:v>
      </x:c>
      <x:c r="AE163" s="48" t="str">
        <x:v>A</x:v>
      </x:c>
      <x:c r="AF163" s="48" t="str">
        <x:v>6.48b 地图内 UnitAbilities/AbilityData/AbilityStrings 与对象修改表</x:v>
      </x:c>
      <x:c r="AG163" s="18" t="str">
        <x:v>S1</x:v>
      </x:c>
    </x:row>
    <x:row r="164" ht="48" customHeight="1">
      <x:c r="A164" s="19" t="str">
        <x:v>U00K-3</x:v>
      </x:c>
      <x:c r="B164" s="19" t="str">
        <x:v>天灾军团</x:v>
      </x:c>
      <x:c r="C164" s="19" t="str">
        <x:v>暮光酒馆</x:v>
      </x:c>
      <x:c r="D164" s="19" t="str">
        <x:v>沙王</x:v>
      </x:c>
      <x:c r="E164" s="19" t="str">
        <x:v>Sand King</x:v>
      </x:c>
      <x:c r="F164" s="19" t="str">
        <x:v>U00K</x:v>
      </x:c>
      <x:c r="G164" s="19" t="str">
        <x:v>Crixalis</x:v>
      </x:c>
      <x:c r="H164" s="19" t="str">
        <x:v>STR</x:v>
      </x:c>
      <x:c r="I164" s="19" t="str">
        <x:v>近战</x:v>
      </x:c>
      <x:c r="J164" s="19" t="n">
        <x:v>3</x:v>
      </x:c>
      <x:c r="K164" s="19" t="str">
        <x:v>Epicenter</x:v>
      </x:c>
      <x:c r="L164" s="19" t="str">
        <x:v>A06R</x:v>
      </x:c>
      <x:c r="M164" s="49" t="str">
        <x:v>是</x:v>
      </x:c>
      <x:c r="N164" s="49" t="n">
        <x:v>3</x:v>
      </x:c>
      <x:c r="O164" s="49" t="n">
        <x:v>6</x:v>
      </x:c>
      <x:c r="P164" s="49" t="n">
        <x:v>5</x:v>
      </x:c>
      <x:c r="Q164" s="19" t="str">
        <x:v>主动</x:v>
      </x:c>
      <x:c r="R164" s="19" t="str">
        <x:v>无目标或脚本目标</x:v>
      </x:c>
      <x:c r="S164" s="19" t="str">
        <x:v>召唤</x:v>
      </x:c>
      <x:c r="T164" s="19" t="str">
        <x:v>伤害、软控、召唤、强化</x:v>
      </x:c>
      <x:c r="U164" s="48" t="str">
        <x:v>主动；无目标或脚本目标；主分类：召唤；标签：伤害、软控、召唤、强化</x:v>
      </x:c>
      <x:c r="V164" s="48" t="str">
        <x:v>175/250/325</x:v>
      </x:c>
      <x:c r="W164" s="48" t="str">
        <x:v>140/120/100</x:v>
      </x:c>
      <x:c r="X164" s="48" t="str">
        <x:v>500/500/500</x:v>
      </x:c>
      <x:c r="Y164" s="48" t="str">
        <x:v>—/—/—</x:v>
      </x:c>
      <x:c r="Z164" s="48" t="str">
        <x:v>—/—/—</x:v>
      </x:c>
      <x:c r="AA164" s="48" t="str">
        <x:v>—/—/—</x:v>
      </x:c>
      <x:c r="AB164" s="48" t="str">
        <x:v>—/—/—</x:v>
      </x:c>
      <x:c r="AC164" s="48" t="str">
        <x:v>主动；无目标或脚本目标；主分类：召唤；标签：伤害、软控、召唤、强化；等级：3；魔耗：175/250/325；冷却：140/120/100；施法距离：500/500/500；作用范围：—/—/—；持续时间：—/—/—。</x:v>
      </x:c>
      <x:c r="AD164" s="48" t="str">
        <x:v>1 / 2.0 / 6 / 110 / 2 / 8 / 3 / 10 / 140 / 120 / 100 / 40% / 4</x:v>
      </x:c>
      <x:c r="AE164" s="48" t="str">
        <x:v>A</x:v>
      </x:c>
      <x:c r="AF164" s="48" t="str">
        <x:v>6.48b 地图内 UnitAbilities/AbilityData/AbilityStrings 与对象修改表</x:v>
      </x:c>
      <x:c r="AG164" s="18" t="str">
        <x:v>S1</x:v>
      </x:c>
    </x:row>
    <x:row r="165" ht="48" customHeight="1">
      <x:c r="A165" s="19" t="str">
        <x:v>U00K-4</x:v>
      </x:c>
      <x:c r="B165" s="19" t="str">
        <x:v>天灾军团</x:v>
      </x:c>
      <x:c r="C165" s="19" t="str">
        <x:v>暮光酒馆</x:v>
      </x:c>
      <x:c r="D165" s="19" t="str">
        <x:v>沙王</x:v>
      </x:c>
      <x:c r="E165" s="19" t="str">
        <x:v>Sand King</x:v>
      </x:c>
      <x:c r="F165" s="19" t="str">
        <x:v>U00K</x:v>
      </x:c>
      <x:c r="G165" s="19" t="str">
        <x:v>Crixalis</x:v>
      </x:c>
      <x:c r="H165" s="19" t="str">
        <x:v>STR</x:v>
      </x:c>
      <x:c r="I165" s="19" t="str">
        <x:v>近战</x:v>
      </x:c>
      <x:c r="J165" s="19" t="n">
        <x:v>4</x:v>
      </x:c>
      <x:c r="K165" s="19" t="str">
        <x:v>Burrowstrike</x:v>
      </x:c>
      <x:c r="L165" s="19" t="str">
        <x:v>A06O</x:v>
      </x:c>
      <x:c r="M165" s="49" t="str">
        <x:v>否</x:v>
      </x:c>
      <x:c r="N165" s="49" t="n">
        <x:v>4</x:v>
      </x:c>
      <x:c r="O165" s="49" t="n">
        <x:v>1</x:v>
      </x:c>
      <x:c r="P165" s="49" t="n">
        <x:v>2</x:v>
      </x:c>
      <x:c r="Q165" s="19" t="str">
        <x:v>主动</x:v>
      </x:c>
      <x:c r="R165" s="19" t="str">
        <x:v>无目标或脚本目标</x:v>
      </x:c>
      <x:c r="S165" s="19" t="str">
        <x:v>召唤</x:v>
      </x:c>
      <x:c r="T165" s="19" t="str">
        <x:v>伤害、硬控、召唤</x:v>
      </x:c>
      <x:c r="U165" s="48" t="str">
        <x:v>主动；无目标或脚本目标；主分类：召唤；标签：伤害、硬控、召唤</x:v>
      </x:c>
      <x:c r="V165" s="48" t="str">
        <x:v>140/140/140/140</x:v>
      </x:c>
      <x:c r="W165" s="48" t="str">
        <x:v>11/11/11/11</x:v>
      </x:c>
      <x:c r="X165" s="48" t="str">
        <x:v>350/450/550/650</x:v>
      </x:c>
      <x:c r="Y165" s="48" t="str">
        <x:v>—/—/—/—</x:v>
      </x:c>
      <x:c r="Z165" s="48" t="str">
        <x:v>—/—/—/—</x:v>
      </x:c>
      <x:c r="AA165" s="48" t="str">
        <x:v>—/—/—/—</x:v>
      </x:c>
      <x:c r="AB165" s="48" t="str">
        <x:v>organic/organic/organic/organic</x:v>
      </x:c>
      <x:c r="AC165" s="48" t="str">
        <x:v>主动；无目标或脚本目标；主分类：召唤；标签：伤害、硬控、召唤；等级：4；魔耗：140/140/140/140；冷却：11/11/11/11；施法距离：350/450/550/650；作用范围：—/—/—/—；持续时间：—/—/—/—。</x:v>
      </x:c>
      <x:c r="AD165" s="48" t="str">
        <x:v>1 / 100 / 400 / 2 / 160 / 500 / 3 / 220 / 600 / 4 / 280 / 700 / 11 / 1.65</x:v>
      </x:c>
      <x:c r="AE165" s="48" t="str">
        <x:v>A</x:v>
      </x:c>
      <x:c r="AF165" s="48" t="str">
        <x:v>6.48b 地图内 UnitAbilities/AbilityData/AbilityStrings 与对象修改表</x:v>
      </x:c>
      <x:c r="AG165" s="18" t="str">
        <x:v>S1</x:v>
      </x:c>
    </x:row>
    <x:row r="166" ht="48" customHeight="1">
      <x:c r="A166" s="19" t="str">
        <x:v>Nfir-1</x:v>
      </x:c>
      <x:c r="B166" s="19" t="str">
        <x:v>天灾军团</x:v>
      </x:c>
      <x:c r="C166" s="19" t="str">
        <x:v>暮光酒馆</x:v>
      </x:c>
      <x:c r="D166" s="19" t="str">
        <x:v>影魔</x:v>
      </x:c>
      <x:c r="E166" s="19" t="str">
        <x:v>Shadow Fiend</x:v>
      </x:c>
      <x:c r="F166" s="19" t="str">
        <x:v>Nfir</x:v>
      </x:c>
      <x:c r="G166" s="19" t="str">
        <x:v>Nevermore</x:v>
      </x:c>
      <x:c r="H166" s="19" t="str">
        <x:v>AGI</x:v>
      </x:c>
      <x:c r="I166" s="19" t="str">
        <x:v>远程</x:v>
      </x:c>
      <x:c r="J166" s="19" t="n">
        <x:v>1</x:v>
      </x:c>
      <x:c r="K166" s="19" t="str">
        <x:v>Necromastery</x:v>
      </x:c>
      <x:c r="L166" s="19" t="str">
        <x:v>A0BR</x:v>
      </x:c>
      <x:c r="M166" s="49" t="str">
        <x:v>否</x:v>
      </x:c>
      <x:c r="N166" s="49" t="n">
        <x:v>4</x:v>
      </x:c>
      <x:c r="O166" s="49" t="n">
        <x:v>1</x:v>
      </x:c>
      <x:c r="P166" s="49" t="n">
        <x:v>2</x:v>
      </x:c>
      <x:c r="Q166" s="19" t="str">
        <x:v>被动</x:v>
      </x:c>
      <x:c r="R166" s="19" t="str">
        <x:v>被动</x:v>
      </x:c>
      <x:c r="S166" s="19" t="str">
        <x:v>强化</x:v>
      </x:c>
      <x:c r="T166" s="19" t="str">
        <x:v>伤害、强化、资源机制、被动触发</x:v>
      </x:c>
      <x:c r="U166" s="48" t="str">
        <x:v>被动；被动；主分类：强化；标签：伤害、强化、资源机制、被动触发</x:v>
      </x:c>
      <x:c r="V166" s="48" t="str">
        <x:v>—/—/—/—</x:v>
      </x:c>
      <x:c r="W166" s="48" t="str">
        <x:v>—/—/—/—</x:v>
      </x:c>
      <x:c r="X166" s="48" t="str">
        <x:v>—/—/—/—</x:v>
      </x:c>
      <x:c r="Y166" s="48" t="str">
        <x:v>—/—/—/—</x:v>
      </x:c>
      <x:c r="Z166" s="48" t="str">
        <x:v>—/—/—/—</x:v>
      </x:c>
      <x:c r="AA166" s="48" t="str">
        <x:v>—/—/—/—</x:v>
      </x:c>
      <x:c r="AB166" s="48" t="str">
        <x:v>—/—/—/—</x:v>
      </x:c>
      <x:c r="AC166" s="48" t="str">
        <x:v>被动；被动；主分类：强化；标签：伤害、强化、资源机制、被动触发；等级：4；魔耗：—/—/—/—；冷却：—/—/—/—；施法距离：—/—/—/—；作用范围：—/—/—/—；持续时间：—/—/—/—。</x:v>
      </x:c>
      <x:c r="AD166" s="48" t="str">
        <x:v>2 / 16 / 30 / 46 / 60 / 1 / 3 / 4</x:v>
      </x:c>
      <x:c r="AE166" s="48" t="str">
        <x:v>A</x:v>
      </x:c>
      <x:c r="AF166" s="48" t="str">
        <x:v>Name and full behavior come from the custom war3map.w3a object; the level caps are retained verbatim as values.</x:v>
      </x:c>
      <x:c r="AG166" s="18" t="str">
        <x:v>S1</x:v>
      </x:c>
    </x:row>
    <x:row r="167" ht="48" customHeight="1">
      <x:c r="A167" s="19" t="str">
        <x:v>Nfir-2</x:v>
      </x:c>
      <x:c r="B167" s="19" t="str">
        <x:v>天灾军团</x:v>
      </x:c>
      <x:c r="C167" s="19" t="str">
        <x:v>暮光酒馆</x:v>
      </x:c>
      <x:c r="D167" s="19" t="str">
        <x:v>影魔</x:v>
      </x:c>
      <x:c r="E167" s="19" t="str">
        <x:v>Shadow Fiend</x:v>
      </x:c>
      <x:c r="F167" s="19" t="str">
        <x:v>Nfir</x:v>
      </x:c>
      <x:c r="G167" s="19" t="str">
        <x:v>Nevermore</x:v>
      </x:c>
      <x:c r="H167" s="19" t="str">
        <x:v>AGI</x:v>
      </x:c>
      <x:c r="I167" s="19" t="str">
        <x:v>远程</x:v>
      </x:c>
      <x:c r="J167" s="19" t="n">
        <x:v>2</x:v>
      </x:c>
      <x:c r="K167" s="19" t="str">
        <x:v>Presence of the Dark Lord</x:v>
      </x:c>
      <x:c r="L167" s="19" t="str">
        <x:v>A0FU</x:v>
      </x:c>
      <x:c r="M167" s="49" t="str">
        <x:v>否</x:v>
      </x:c>
      <x:c r="N167" s="49" t="n">
        <x:v>4</x:v>
      </x:c>
      <x:c r="O167" s="49" t="n">
        <x:v>1</x:v>
      </x:c>
      <x:c r="P167" s="49" t="n">
        <x:v>2</x:v>
      </x:c>
      <x:c r="Q167" s="19" t="str">
        <x:v>被动/脚本触发</x:v>
      </x:c>
      <x:c r="R167" s="19" t="str">
        <x:v>被动</x:v>
      </x:c>
      <x:c r="S167" s="19" t="str">
        <x:v>防御/生存</x:v>
      </x:c>
      <x:c r="T167" s="19" t="str">
        <x:v>防御/生存、范围效果、被动触发</x:v>
      </x:c>
      <x:c r="U167" s="48" t="str">
        <x:v>被动/脚本触发；被动；主分类：防御/生存；标签：防御/生存、范围效果、被动触发</x:v>
      </x:c>
      <x:c r="V167" s="48" t="str">
        <x:v>—/—/—/—</x:v>
      </x:c>
      <x:c r="W167" s="48" t="str">
        <x:v>—/—/—/—</x:v>
      </x:c>
      <x:c r="X167" s="48" t="str">
        <x:v>—/—/—/—</x:v>
      </x:c>
      <x:c r="Y167" s="48" t="str">
        <x:v>900/900/900/900</x:v>
      </x:c>
      <x:c r="Z167" s="48" t="str">
        <x:v>4/4/4/4</x:v>
      </x:c>
      <x:c r="AA167" s="48" t="str">
        <x:v>2/2/2/2</x:v>
      </x:c>
      <x:c r="AB167" s="48" t="str">
        <x:v>air,enemies,ground,invulnerable,vulnerable/air,enemies,ground,invulnerable,vulnerable/air,enemies,ground,invulnerable,vulnerable/air,enemies,ground,invulnerable,vulnerable</x:v>
      </x:c>
      <x:c r="AC167" s="48" t="str">
        <x:v>被动/脚本触发；被动；主分类：防御/生存；标签：防御/生存、范围效果、被动触发；等级：4；魔耗：—/—/—/—；冷却：—/—/—/—；施法距离：—/—/—/—；作用范围：900/900/900/900；持续时间：4/4/4/4。</x:v>
      </x:c>
      <x:c r="AD167" s="48" t="str">
        <x:v>1 / 2 / 3 / 4</x:v>
      </x:c>
      <x:c r="AE167" s="48" t="str">
        <x:v>A</x:v>
      </x:c>
      <x:c r="AF167" s="48" t="str">
        <x:v>6.48b 地图内 UnitAbilities/AbilityData/AbilityStrings 与对象修改表</x:v>
      </x:c>
      <x:c r="AG167" s="18" t="str">
        <x:v>S1</x:v>
      </x:c>
    </x:row>
    <x:row r="168" ht="48" customHeight="1">
      <x:c r="A168" s="19" t="str">
        <x:v>Nfir-3</x:v>
      </x:c>
      <x:c r="B168" s="19" t="str">
        <x:v>天灾军团</x:v>
      </x:c>
      <x:c r="C168" s="19" t="str">
        <x:v>暮光酒馆</x:v>
      </x:c>
      <x:c r="D168" s="19" t="str">
        <x:v>影魔</x:v>
      </x:c>
      <x:c r="E168" s="19" t="str">
        <x:v>Shadow Fiend</x:v>
      </x:c>
      <x:c r="F168" s="19" t="str">
        <x:v>Nfir</x:v>
      </x:c>
      <x:c r="G168" s="19" t="str">
        <x:v>Nevermore</x:v>
      </x:c>
      <x:c r="H168" s="19" t="str">
        <x:v>AGI</x:v>
      </x:c>
      <x:c r="I168" s="19" t="str">
        <x:v>远程</x:v>
      </x:c>
      <x:c r="J168" s="19" t="n">
        <x:v>3</x:v>
      </x:c>
      <x:c r="K168" s="19" t="str">
        <x:v>Requiem of Souls</x:v>
      </x:c>
      <x:c r="L168" s="19" t="str">
        <x:v>A0HE</x:v>
      </x:c>
      <x:c r="M168" s="49" t="str">
        <x:v>是</x:v>
      </x:c>
      <x:c r="N168" s="49" t="n">
        <x:v>3</x:v>
      </x:c>
      <x:c r="O168" s="49" t="n">
        <x:v>6</x:v>
      </x:c>
      <x:c r="P168" s="49" t="n">
        <x:v>5</x:v>
      </x:c>
      <x:c r="Q168" s="19" t="str">
        <x:v>主动</x:v>
      </x:c>
      <x:c r="R168" s="19" t="str">
        <x:v>无目标/范围</x:v>
      </x:c>
      <x:c r="S168" s="19" t="str">
        <x:v>召唤</x:v>
      </x:c>
      <x:c r="T168" s="19" t="str">
        <x:v>伤害、软控、召唤、强化、资源机制、范围效果</x:v>
      </x:c>
      <x:c r="U168" s="48" t="str">
        <x:v>主动；无目标/范围；主分类：召唤；标签：伤害、软控、召唤、强化、资源机制、范围效果</x:v>
      </x:c>
      <x:c r="V168" s="48" t="str">
        <x:v>150/175/200</x:v>
      </x:c>
      <x:c r="W168" s="48" t="str">
        <x:v>120/110/100</x:v>
      </x:c>
      <x:c r="X168" s="48" t="str">
        <x:v>—/—/—</x:v>
      </x:c>
      <x:c r="Y168" s="48" t="str">
        <x:v>—/—/—</x:v>
      </x:c>
      <x:c r="Z168" s="48" t="str">
        <x:v>0.01/0.01/0.01</x:v>
      </x:c>
      <x:c r="AA168" s="48" t="str">
        <x:v>0.01/0.01/0.01</x:v>
      </x:c>
      <x:c r="AB168" s="48" t="str">
        <x:v>ground,organic/ground,organic/ground,organic</x:v>
      </x:c>
      <x:c r="AC168" s="48" t="str">
        <x:v>主动；无目标/范围；主分类：召唤；标签：伤害、软控、召唤、强化、资源机制、范围效果；等级：3；魔耗：150/175/200；冷却：120/110/100；施法距离：—/—/—；作用范围：—/—/—；持续时间：0.01/0.01/0.01。</x:v>
      </x:c>
      <x:c r="AD168" s="48" t="str">
        <x:v>120 / 110 / 100 / 1 / 80 / 2 / 3 / 160</x:v>
      </x:c>
      <x:c r="AE168" s="48" t="str">
        <x:v>A</x:v>
      </x:c>
      <x:c r="AF168" s="48" t="str">
        <x:v>6.48b 地图内 UnitAbilities/AbilityData/AbilityStrings 与对象修改表</x:v>
      </x:c>
      <x:c r="AG168" s="18" t="str">
        <x:v>S1</x:v>
      </x:c>
    </x:row>
    <x:row r="169" ht="48" customHeight="1">
      <x:c r="A169" s="19" t="str">
        <x:v>Nfir-4</x:v>
      </x:c>
      <x:c r="B169" s="19" t="str">
        <x:v>天灾军团</x:v>
      </x:c>
      <x:c r="C169" s="19" t="str">
        <x:v>暮光酒馆</x:v>
      </x:c>
      <x:c r="D169" s="19" t="str">
        <x:v>影魔</x:v>
      </x:c>
      <x:c r="E169" s="19" t="str">
        <x:v>Shadow Fiend</x:v>
      </x:c>
      <x:c r="F169" s="19" t="str">
        <x:v>Nfir</x:v>
      </x:c>
      <x:c r="G169" s="19" t="str">
        <x:v>Nevermore</x:v>
      </x:c>
      <x:c r="H169" s="19" t="str">
        <x:v>AGI</x:v>
      </x:c>
      <x:c r="I169" s="19" t="str">
        <x:v>远程</x:v>
      </x:c>
      <x:c r="J169" s="19" t="n">
        <x:v>4</x:v>
      </x:c>
      <x:c r="K169" s="19" t="str">
        <x:v>Shadowraze</x:v>
      </x:c>
      <x:c r="L169" s="19" t="str">
        <x:v>A0EY</x:v>
      </x:c>
      <x:c r="M169" s="49" t="str">
        <x:v>否</x:v>
      </x:c>
      <x:c r="N169" s="49" t="n">
        <x:v>4</x:v>
      </x:c>
      <x:c r="O169" s="49" t="n">
        <x:v>1</x:v>
      </x:c>
      <x:c r="P169" s="49" t="n">
        <x:v>2</x:v>
      </x:c>
      <x:c r="Q169" s="19" t="str">
        <x:v>主动</x:v>
      </x:c>
      <x:c r="R169" s="19" t="str">
        <x:v>无目标或脚本目标</x:v>
      </x:c>
      <x:c r="S169" s="19" t="str">
        <x:v>伤害</x:v>
      </x:c>
      <x:c r="T169" s="19" t="str">
        <x:v>伤害、范围效果</x:v>
      </x:c>
      <x:c r="U169" s="48" t="str">
        <x:v>主动；无目标或脚本目标；主分类：伤害；标签：伤害、范围效果</x:v>
      </x:c>
      <x:c r="V169" s="48" t="str">
        <x:v>75/75/75/75</x:v>
      </x:c>
      <x:c r="W169" s="48" t="str">
        <x:v>10/10/10/10</x:v>
      </x:c>
      <x:c r="X169" s="48" t="str">
        <x:v>—/—/—/—</x:v>
      </x:c>
      <x:c r="Y169" s="48" t="str">
        <x:v>—/—/—/—</x:v>
      </x:c>
      <x:c r="Z169" s="48" t="str">
        <x:v>0.01/0.01/0.01/0.01</x:v>
      </x:c>
      <x:c r="AA169" s="48" t="str">
        <x:v>0.01/0.01/0.01/0.01</x:v>
      </x:c>
      <x:c r="AB169" s="48" t="str">
        <x:v>none/none/none/none</x:v>
      </x:c>
      <x:c r="AC169" s="48" t="str">
        <x:v>主动；无目标或脚本目标；主分类：伤害；标签：伤害、范围效果；等级：4；魔耗：75/75/75/75；冷却：10/10/10/10；施法距离：—/—/—/—；作用范围：—/—/—/—；持续时间：0.01/0.01/0.01/0.01。</x:v>
      </x:c>
      <x:c r="AD169" s="48" t="str">
        <x:v>1 / 75 / 2 / 150 / 3 / 225 / 4 / 300 / 10 / 200</x:v>
      </x:c>
      <x:c r="AE169" s="48" t="str">
        <x:v>A</x:v>
      </x:c>
      <x:c r="AF169" s="48" t="str">
        <x:v>6.48b 地图内 UnitAbilities/AbilityData/AbilityStrings 与对象修改表</x:v>
      </x:c>
      <x:c r="AG169" s="18" t="str">
        <x:v>S1</x:v>
      </x:c>
    </x:row>
    <x:row r="170" ht="48" customHeight="1">
      <x:c r="A170" s="19" t="str">
        <x:v>O00J-1</x:v>
      </x:c>
      <x:c r="B170" s="19" t="str">
        <x:v>天灾军团</x:v>
      </x:c>
      <x:c r="C170" s="19" t="str">
        <x:v>暮光酒馆</x:v>
      </x:c>
      <x:c r="D170" s="19" t="str">
        <x:v>裂魂人</x:v>
      </x:c>
      <x:c r="E170" s="19" t="str">
        <x:v>Spiritbreaker</x:v>
      </x:c>
      <x:c r="F170" s="19" t="str">
        <x:v>O00J</x:v>
      </x:c>
      <x:c r="G170" s="19" t="str">
        <x:v>Barathrum</x:v>
      </x:c>
      <x:c r="H170" s="19" t="str">
        <x:v>STR</x:v>
      </x:c>
      <x:c r="I170" s="19" t="str">
        <x:v>近战</x:v>
      </x:c>
      <x:c r="J170" s="19" t="n">
        <x:v>1</x:v>
      </x:c>
      <x:c r="K170" s="19" t="str">
        <x:v>Charge of Darkness</x:v>
      </x:c>
      <x:c r="L170" s="19" t="str">
        <x:v>A0ML</x:v>
      </x:c>
      <x:c r="M170" s="49" t="str">
        <x:v>否</x:v>
      </x:c>
      <x:c r="N170" s="49" t="n">
        <x:v>4</x:v>
      </x:c>
      <x:c r="O170" s="49" t="n">
        <x:v>1</x:v>
      </x:c>
      <x:c r="P170" s="49" t="n">
        <x:v>2</x:v>
      </x:c>
      <x:c r="Q170" s="19" t="str">
        <x:v>主动</x:v>
      </x:c>
      <x:c r="R170" s="19" t="str">
        <x:v>无目标或脚本目标</x:v>
      </x:c>
      <x:c r="S170" s="19" t="str">
        <x:v>召唤</x:v>
      </x:c>
      <x:c r="T170" s="19" t="str">
        <x:v>硬控、软控、召唤、位移</x:v>
      </x:c>
      <x:c r="U170" s="48" t="str">
        <x:v>主动；无目标或脚本目标；主分类：召唤；标签：硬控、软控、召唤、位移</x:v>
      </x:c>
      <x:c r="V170" s="48" t="str">
        <x:v>120/120/120/120</x:v>
      </x:c>
      <x:c r="W170" s="48" t="str">
        <x:v>40/40/40/40</x:v>
      </x:c>
      <x:c r="X170" s="48" t="str">
        <x:v>99999/99999/99999/99999</x:v>
      </x:c>
      <x:c r="Y170" s="48" t="str">
        <x:v>500/500/500/500</x:v>
      </x:c>
      <x:c r="Z170" s="48" t="str">
        <x:v>—/—/—/—</x:v>
      </x:c>
      <x:c r="AA170" s="48" t="str">
        <x:v>—/—/—/—</x:v>
      </x:c>
      <x:c r="AB170" s="48" t="str">
        <x:v>air,ground,enemy,neutral/air,ground,enemy,neutral/air,ground,enemy,neutral/air,ground,enemy,neutral</x:v>
      </x:c>
      <x:c r="AC170" s="48" t="str">
        <x:v>主动；无目标或脚本目标；主分类：召唤；标签：硬控、软控、召唤、位移；等级：4；魔耗：120/120/120/120；冷却：40/40/40/40；施法距离：99999/99999/99999/99999；作用范围：500/500/500/500；持续时间：—/—/—/—。</x:v>
      </x:c>
      <x:c r="AD170" s="48" t="str">
        <x:v>1 / 2 / 1.5 / 3 / 4 / 2.5 / 40</x:v>
      </x:c>
      <x:c r="AE170" s="48" t="str">
        <x:v>A</x:v>
      </x:c>
      <x:c r="AF170" s="48" t="str">
        <x:v>6.48b 地图内 UnitAbilities/AbilityData/AbilityStrings 与对象修改表</x:v>
      </x:c>
      <x:c r="AG170" s="18" t="str">
        <x:v>S1</x:v>
      </x:c>
    </x:row>
    <x:row r="171" ht="48" customHeight="1">
      <x:c r="A171" s="19" t="str">
        <x:v>O00J-2</x:v>
      </x:c>
      <x:c r="B171" s="19" t="str">
        <x:v>天灾军团</x:v>
      </x:c>
      <x:c r="C171" s="19" t="str">
        <x:v>暮光酒馆</x:v>
      </x:c>
      <x:c r="D171" s="19" t="str">
        <x:v>裂魂人</x:v>
      </x:c>
      <x:c r="E171" s="19" t="str">
        <x:v>Spiritbreaker</x:v>
      </x:c>
      <x:c r="F171" s="19" t="str">
        <x:v>O00J</x:v>
      </x:c>
      <x:c r="G171" s="19" t="str">
        <x:v>Barathrum</x:v>
      </x:c>
      <x:c r="H171" s="19" t="str">
        <x:v>STR</x:v>
      </x:c>
      <x:c r="I171" s="19" t="str">
        <x:v>近战</x:v>
      </x:c>
      <x:c r="J171" s="19" t="n">
        <x:v>2</x:v>
      </x:c>
      <x:c r="K171" s="19" t="str">
        <x:v>Empowering Haste</x:v>
      </x:c>
      <x:c r="L171" s="19" t="str">
        <x:v>A0ES</x:v>
      </x:c>
      <x:c r="M171" s="49" t="str">
        <x:v>否</x:v>
      </x:c>
      <x:c r="N171" s="49" t="n">
        <x:v>4</x:v>
      </x:c>
      <x:c r="O171" s="49" t="n">
        <x:v>1</x:v>
      </x:c>
      <x:c r="P171" s="49" t="n">
        <x:v>2</x:v>
      </x:c>
      <x:c r="Q171" s="19" t="str">
        <x:v>被动</x:v>
      </x:c>
      <x:c r="R171" s="19" t="str">
        <x:v>被动</x:v>
      </x:c>
      <x:c r="S171" s="19" t="str">
        <x:v>软控</x:v>
      </x:c>
      <x:c r="T171" s="19" t="str">
        <x:v>伤害、软控、强化、光环、范围效果、被动触发</x:v>
      </x:c>
      <x:c r="U171" s="48" t="str">
        <x:v>被动；被动；主分类：软控；标签：伤害、软控、强化、光环、范围效果、被动触发</x:v>
      </x:c>
      <x:c r="V171" s="48" t="str">
        <x:v>—/—/—/—</x:v>
      </x:c>
      <x:c r="W171" s="48" t="str">
        <x:v>—/—/—/—</x:v>
      </x:c>
      <x:c r="X171" s="48" t="str">
        <x:v>—/—/—/—</x:v>
      </x:c>
      <x:c r="Y171" s="48" t="str">
        <x:v>300/300/300/300</x:v>
      </x:c>
      <x:c r="Z171" s="48" t="str">
        <x:v>0.1/0.1/0.1/0.1</x:v>
      </x:c>
      <x:c r="AA171" s="48" t="str">
        <x:v>0.1/0.1/0.1/0.1</x:v>
      </x:c>
      <x:c r="AB171" s="48" t="str">
        <x:v>air,ground,friend,self,vuln,invu/air,ground,friend,self,vuln,invu/air,ground,friend,self,vuln,invu/air,ground,friend,self,vuln,invu</x:v>
      </x:c>
      <x:c r="AC171" s="48" t="str">
        <x:v>被动；被动；主分类：软控；标签：伤害、软控、强化、光环、范围效果、被动触发；等级：4；魔耗：—/—/—/—；冷却：—/—/—/—；施法距离：—/—/—/—；作用范围：300/300/300/300；持续时间：0.1/0.1/0.1/0.1。</x:v>
      </x:c>
      <x:c r="AD171" s="48" t="str">
        <x:v>300 / 1 / 2% / 4% / 2 / 8% / 3 / 6% / 12% / 4 / 16%</x:v>
      </x:c>
      <x:c r="AE171" s="48" t="str">
        <x:v>A</x:v>
      </x:c>
      <x:c r="AF171" s="48" t="str">
        <x:v>6.48b 地图内 UnitAbilities/AbilityData/AbilityStrings 与对象修改表</x:v>
      </x:c>
      <x:c r="AG171" s="18" t="str">
        <x:v>S1</x:v>
      </x:c>
    </x:row>
    <x:row r="172" ht="48" customHeight="1">
      <x:c r="A172" s="19" t="str">
        <x:v>O00J-3</x:v>
      </x:c>
      <x:c r="B172" s="19" t="str">
        <x:v>天灾军团</x:v>
      </x:c>
      <x:c r="C172" s="19" t="str">
        <x:v>暮光酒馆</x:v>
      </x:c>
      <x:c r="D172" s="19" t="str">
        <x:v>裂魂人</x:v>
      </x:c>
      <x:c r="E172" s="19" t="str">
        <x:v>Spiritbreaker</x:v>
      </x:c>
      <x:c r="F172" s="19" t="str">
        <x:v>O00J</x:v>
      </x:c>
      <x:c r="G172" s="19" t="str">
        <x:v>Barathrum</x:v>
      </x:c>
      <x:c r="H172" s="19" t="str">
        <x:v>STR</x:v>
      </x:c>
      <x:c r="I172" s="19" t="str">
        <x:v>近战</x:v>
      </x:c>
      <x:c r="J172" s="19" t="n">
        <x:v>3</x:v>
      </x:c>
      <x:c r="K172" s="19" t="str">
        <x:v>Greater Bash</x:v>
      </x:c>
      <x:c r="L172" s="19" t="str">
        <x:v>A0G5</x:v>
      </x:c>
      <x:c r="M172" s="49" t="str">
        <x:v>否</x:v>
      </x:c>
      <x:c r="N172" s="49" t="n">
        <x:v>4</x:v>
      </x:c>
      <x:c r="O172" s="49" t="n">
        <x:v>1</x:v>
      </x:c>
      <x:c r="P172" s="49" t="n">
        <x:v>2</x:v>
      </x:c>
      <x:c r="Q172" s="19" t="str">
        <x:v>被动</x:v>
      </x:c>
      <x:c r="R172" s="19" t="str">
        <x:v>被动</x:v>
      </x:c>
      <x:c r="S172" s="19" t="str">
        <x:v>强化</x:v>
      </x:c>
      <x:c r="T172" s="19" t="str">
        <x:v>伤害、强化、被动触发</x:v>
      </x:c>
      <x:c r="U172" s="48" t="str">
        <x:v>被动；被动；主分类：强化；标签：伤害、强化、被动触发</x:v>
      </x:c>
      <x:c r="V172" s="48" t="str">
        <x:v>—/—/—/—</x:v>
      </x:c>
      <x:c r="W172" s="48" t="str">
        <x:v>—/—/—/—</x:v>
      </x:c>
      <x:c r="X172" s="48" t="str">
        <x:v>—/—/—/—</x:v>
      </x:c>
      <x:c r="Y172" s="48" t="str">
        <x:v>—/—/—/—</x:v>
      </x:c>
      <x:c r="Z172" s="48" t="str">
        <x:v>—/—/—/—</x:v>
      </x:c>
      <x:c r="AA172" s="48" t="str">
        <x:v>—/—/—/—</x:v>
      </x:c>
      <x:c r="AB172" s="48" t="str">
        <x:v>air,ground,enemy,neutral/air,ground,enemy,neutral/air,ground,enemy,neutral/air,ground,enemy,neutral</x:v>
      </x:c>
      <x:c r="AC172" s="48" t="str">
        <x:v>被动；被动；主分类：强化；标签：伤害、强化、被动触发；等级：4；魔耗：—/—/—/—；冷却：—/—/—/—；施法距离：—/—/—/—；作用范围：—/—/—/—；持续时间：—/—/—/—。</x:v>
      </x:c>
      <x:c r="AD172" s="48" t="str">
        <x:v>17% / 1 / 25 / 140 / 2 / 50 / 180 / 3 / 75 / 220 / 4 / 100 / 260</x:v>
      </x:c>
      <x:c r="AE172" s="48" t="str">
        <x:v>A</x:v>
      </x:c>
      <x:c r="AF172" s="48" t="str">
        <x:v>6.48b 地图内 UnitAbilities/AbilityData/AbilityStrings 与对象修改表</x:v>
      </x:c>
      <x:c r="AG172" s="18" t="str">
        <x:v>S1</x:v>
      </x:c>
    </x:row>
    <x:row r="173" ht="48" customHeight="1">
      <x:c r="A173" s="19" t="str">
        <x:v>O00J-4</x:v>
      </x:c>
      <x:c r="B173" s="19" t="str">
        <x:v>天灾军团</x:v>
      </x:c>
      <x:c r="C173" s="19" t="str">
        <x:v>暮光酒馆</x:v>
      </x:c>
      <x:c r="D173" s="19" t="str">
        <x:v>裂魂人</x:v>
      </x:c>
      <x:c r="E173" s="19" t="str">
        <x:v>Spiritbreaker</x:v>
      </x:c>
      <x:c r="F173" s="19" t="str">
        <x:v>O00J</x:v>
      </x:c>
      <x:c r="G173" s="19" t="str">
        <x:v>Barathrum</x:v>
      </x:c>
      <x:c r="H173" s="19" t="str">
        <x:v>STR</x:v>
      </x:c>
      <x:c r="I173" s="19" t="str">
        <x:v>近战</x:v>
      </x:c>
      <x:c r="J173" s="19" t="n">
        <x:v>4</x:v>
      </x:c>
      <x:c r="K173" s="19" t="str">
        <x:v>Nether Strike</x:v>
      </x:c>
      <x:c r="L173" s="19" t="str">
        <x:v>A0G4</x:v>
      </x:c>
      <x:c r="M173" s="49" t="str">
        <x:v>是</x:v>
      </x:c>
      <x:c r="N173" s="49" t="n">
        <x:v>3</x:v>
      </x:c>
      <x:c r="O173" s="49" t="n">
        <x:v>6</x:v>
      </x:c>
      <x:c r="P173" s="49" t="n">
        <x:v>5</x:v>
      </x:c>
      <x:c r="Q173" s="19" t="str">
        <x:v>主动</x:v>
      </x:c>
      <x:c r="R173" s="19" t="str">
        <x:v>无目标或脚本目标</x:v>
      </x:c>
      <x:c r="S173" s="19" t="str">
        <x:v>强化</x:v>
      </x:c>
      <x:c r="T173" s="19" t="str">
        <x:v>伤害、强化</x:v>
      </x:c>
      <x:c r="U173" s="48" t="str">
        <x:v>主动；无目标或脚本目标；主分类：强化；标签：伤害、强化</x:v>
      </x:c>
      <x:c r="V173" s="48" t="str">
        <x:v>200/250/300</x:v>
      </x:c>
      <x:c r="W173" s="48" t="str">
        <x:v>75/75/75</x:v>
      </x:c>
      <x:c r="X173" s="48" t="str">
        <x:v>400/550/700</x:v>
      </x:c>
      <x:c r="Y173" s="48" t="str">
        <x:v>—/—/—</x:v>
      </x:c>
      <x:c r="Z173" s="48" t="str">
        <x:v>—/—/—</x:v>
      </x:c>
      <x:c r="AA173" s="48" t="str">
        <x:v>—/—/—</x:v>
      </x:c>
      <x:c r="AB173" s="48" t="str">
        <x:v>air,enemies,ground,neutral,nonancient,organic/air,enemies,ground,neutral,nonancient,organic/air,enemies,ground,neutral,nonancient,organic</x:v>
      </x:c>
      <x:c r="AC173" s="48" t="str">
        <x:v>主动；无目标或脚本目标；主分类：强化；标签：伤害、强化；等级：3；魔耗：200/250/300；冷却：75/75/75；施法距离：400/550/700；作用范围：—/—/—；持续时间：—/—/—。</x:v>
      </x:c>
      <x:c r="AD173" s="48" t="str">
        <x:v>1 / 100 / 2 / 200 / 3 / 300 / 75 / 400 / 550 / 700</x:v>
      </x:c>
      <x:c r="AE173" s="48" t="str">
        <x:v>A</x:v>
      </x:c>
      <x:c r="AF173" s="48" t="str">
        <x:v>6.48b 地图内 UnitAbilities/AbilityData/AbilityStrings 与对象修改表</x:v>
      </x:c>
      <x:c r="AG173" s="18" t="str">
        <x:v>S1</x:v>
      </x:c>
    </x:row>
    <x:row r="174" ht="48" customHeight="1">
      <x:c r="A174" s="19" t="str">
        <x:v>U00F-1</x:v>
      </x:c>
      <x:c r="B174" s="19" t="str">
        <x:v>天灾军团</x:v>
      </x:c>
      <x:c r="C174" s="19" t="str">
        <x:v>暮光酒馆</x:v>
      </x:c>
      <x:c r="D174" s="19" t="str">
        <x:v>屠夫</x:v>
      </x:c>
      <x:c r="E174" s="19" t="str">
        <x:v>Butcher</x:v>
      </x:c>
      <x:c r="F174" s="19" t="str">
        <x:v>U00F</x:v>
      </x:c>
      <x:c r="G174" s="19" t="str">
        <x:v>Pudge</x:v>
      </x:c>
      <x:c r="H174" s="19" t="str">
        <x:v>STR</x:v>
      </x:c>
      <x:c r="I174" s="19" t="str">
        <x:v>近战</x:v>
      </x:c>
      <x:c r="J174" s="19" t="n">
        <x:v>1</x:v>
      </x:c>
      <x:c r="K174" s="19" t="str">
        <x:v>Rot</x:v>
      </x:c>
      <x:c r="L174" s="19" t="str">
        <x:v>A06K</x:v>
      </x:c>
      <x:c r="M174" s="49" t="str">
        <x:v>否</x:v>
      </x:c>
      <x:c r="N174" s="49" t="n">
        <x:v>4</x:v>
      </x:c>
      <x:c r="O174" s="49" t="n">
        <x:v>1</x:v>
      </x:c>
      <x:c r="P174" s="49" t="n">
        <x:v>2</x:v>
      </x:c>
      <x:c r="Q174" s="19" t="str">
        <x:v>主动</x:v>
      </x:c>
      <x:c r="R174" s="19" t="str">
        <x:v>无目标/范围</x:v>
      </x:c>
      <x:c r="S174" s="19" t="str">
        <x:v>软控</x:v>
      </x:c>
      <x:c r="T174" s="19" t="str">
        <x:v>伤害、软控、范围效果</x:v>
      </x:c>
      <x:c r="U174" s="48" t="str">
        <x:v>主动；无目标/范围；主分类：软控；标签：伤害、软控、范围效果</x:v>
      </x:c>
      <x:c r="V174" s="48" t="str">
        <x:v>—/—/—/—</x:v>
      </x:c>
      <x:c r="W174" s="48" t="str">
        <x:v>—/—/—/—</x:v>
      </x:c>
      <x:c r="X174" s="48" t="str">
        <x:v>—/—/—/—</x:v>
      </x:c>
      <x:c r="Y174" s="48" t="str">
        <x:v>250/250/250/250</x:v>
      </x:c>
      <x:c r="Z174" s="48" t="str">
        <x:v>0.2/0.2/0.2/0.2</x:v>
      </x:c>
      <x:c r="AA174" s="48" t="str">
        <x:v>0.2/0.2/0.2/0.2</x:v>
      </x:c>
      <x:c r="AB174" s="48" t="str">
        <x:v>enemies,ground,neutral,organic,self/enemies,ground,neutral,organic,self/enemies,ground,neutral,organic,self/enemies,ground,neutral,organic,self</x:v>
      </x:c>
      <x:c r="AC174" s="48" t="str">
        <x:v>主动；无目标/范围；主分类：软控；标签：伤害、软控、范围效果；等级：4；魔耗：—/—/—/—；冷却：—/—/—/—；施法距离：—/—/—/—；作用范围：250/250/250/250；持续时间：0.2/0.2/0.2/0.2。</x:v>
      </x:c>
      <x:c r="AD174" s="48" t="str">
        <x:v>1 / 25 / 2 / 50 / 3 / 75 / 4 / 100 / 20%</x:v>
      </x:c>
      <x:c r="AE174" s="48" t="str">
        <x:v>A</x:v>
      </x:c>
      <x:c r="AF174" s="48" t="str">
        <x:v>6.48b 地图内 UnitAbilities/AbilityData/AbilityStrings 与对象修改表</x:v>
      </x:c>
      <x:c r="AG174" s="18" t="str">
        <x:v>S1</x:v>
      </x:c>
    </x:row>
    <x:row r="175" ht="48" customHeight="1">
      <x:c r="A175" s="19" t="str">
        <x:v>U00F-2</x:v>
      </x:c>
      <x:c r="B175" s="19" t="str">
        <x:v>天灾军团</x:v>
      </x:c>
      <x:c r="C175" s="19" t="str">
        <x:v>暮光酒馆</x:v>
      </x:c>
      <x:c r="D175" s="19" t="str">
        <x:v>屠夫</x:v>
      </x:c>
      <x:c r="E175" s="19" t="str">
        <x:v>Butcher</x:v>
      </x:c>
      <x:c r="F175" s="19" t="str">
        <x:v>U00F</x:v>
      </x:c>
      <x:c r="G175" s="19" t="str">
        <x:v>Pudge</x:v>
      </x:c>
      <x:c r="H175" s="19" t="str">
        <x:v>STR</x:v>
      </x:c>
      <x:c r="I175" s="19" t="str">
        <x:v>近战</x:v>
      </x:c>
      <x:c r="J175" s="19" t="n">
        <x:v>2</x:v>
      </x:c>
      <x:c r="K175" s="19" t="str">
        <x:v>Flesh Heap</x:v>
      </x:c>
      <x:c r="L175" s="19" t="str">
        <x:v>A06D</x:v>
      </x:c>
      <x:c r="M175" s="49" t="str">
        <x:v>否</x:v>
      </x:c>
      <x:c r="N175" s="49" t="n">
        <x:v>4</x:v>
      </x:c>
      <x:c r="O175" s="49" t="n">
        <x:v>1</x:v>
      </x:c>
      <x:c r="P175" s="49" t="n">
        <x:v>2</x:v>
      </x:c>
      <x:c r="Q175" s="19" t="str">
        <x:v>被动</x:v>
      </x:c>
      <x:c r="R175" s="19" t="str">
        <x:v>被动</x:v>
      </x:c>
      <x:c r="S175" s="19" t="str">
        <x:v>防御/生存</x:v>
      </x:c>
      <x:c r="T175" s="19" t="str">
        <x:v>伤害、防御/生存、强化、削弱、被动触发</x:v>
      </x:c>
      <x:c r="U175" s="48" t="str">
        <x:v>被动；被动；主分类：防御/生存；标签：伤害、防御/生存、强化、削弱、被动触发</x:v>
      </x:c>
      <x:c r="V175" s="48" t="str">
        <x:v>—/—/—/—</x:v>
      </x:c>
      <x:c r="W175" s="48" t="str">
        <x:v>—/—/—/—</x:v>
      </x:c>
      <x:c r="X175" s="48" t="str">
        <x:v>—/—/—/—</x:v>
      </x:c>
      <x:c r="Y175" s="48" t="str">
        <x:v>—/—/—/—</x:v>
      </x:c>
      <x:c r="Z175" s="48" t="str">
        <x:v>—/—/—/—</x:v>
      </x:c>
      <x:c r="AA175" s="48" t="str">
        <x:v>—/—/—/—</x:v>
      </x:c>
      <x:c r="AB175" s="48" t="str">
        <x:v>vuln,invu/vuln,invu/vuln,invu/vuln,invu</x:v>
      </x:c>
      <x:c r="AC175" s="48" t="str">
        <x:v>被动；被动；主分类：防御/生存；标签：伤害、防御/生存、强化、削弱、被动触发；等级：4；魔耗：—/—/—/—；冷却：—/—/—/—；施法距离：—/—/—/—；作用范围：—/—/—/—；持续时间：—/—/—/—。</x:v>
      </x:c>
      <x:c r="AD175" s="48" t="str">
        <x:v>1 / 4% / 2 / 8% / 3 / 12% / 4 / 16% / 03 / 06 / 6 / 09 / 9 / 12 / 1.2</x:v>
      </x:c>
      <x:c r="AE175" s="48" t="str">
        <x:v>A</x:v>
      </x:c>
      <x:c r="AF175" s="48" t="str">
        <x:v>6.48b 地图内 UnitAbilities/AbilityData/AbilityStrings 与对象修改表</x:v>
      </x:c>
      <x:c r="AG175" s="18" t="str">
        <x:v>S1</x:v>
      </x:c>
    </x:row>
    <x:row r="176" ht="48" customHeight="1">
      <x:c r="A176" s="19" t="str">
        <x:v>U00F-3</x:v>
      </x:c>
      <x:c r="B176" s="19" t="str">
        <x:v>天灾军团</x:v>
      </x:c>
      <x:c r="C176" s="19" t="str">
        <x:v>暮光酒馆</x:v>
      </x:c>
      <x:c r="D176" s="19" t="str">
        <x:v>屠夫</x:v>
      </x:c>
      <x:c r="E176" s="19" t="str">
        <x:v>Butcher</x:v>
      </x:c>
      <x:c r="F176" s="19" t="str">
        <x:v>U00F</x:v>
      </x:c>
      <x:c r="G176" s="19" t="str">
        <x:v>Pudge</x:v>
      </x:c>
      <x:c r="H176" s="19" t="str">
        <x:v>STR</x:v>
      </x:c>
      <x:c r="I176" s="19" t="str">
        <x:v>近战</x:v>
      </x:c>
      <x:c r="J176" s="19" t="n">
        <x:v>3</x:v>
      </x:c>
      <x:c r="K176" s="19" t="str">
        <x:v>Dismember</x:v>
      </x:c>
      <x:c r="L176" s="19" t="str">
        <x:v>A0FL</x:v>
      </x:c>
      <x:c r="M176" s="49" t="str">
        <x:v>是</x:v>
      </x:c>
      <x:c r="N176" s="49" t="n">
        <x:v>3</x:v>
      </x:c>
      <x:c r="O176" s="49" t="n">
        <x:v>6</x:v>
      </x:c>
      <x:c r="P176" s="49" t="n">
        <x:v>5</x:v>
      </x:c>
      <x:c r="Q176" s="19" t="str">
        <x:v>主动</x:v>
      </x:c>
      <x:c r="R176" s="19" t="str">
        <x:v>单位目标</x:v>
      </x:c>
      <x:c r="S176" s="19" t="str">
        <x:v>伤害</x:v>
      </x:c>
      <x:c r="T176" s="19" t="str">
        <x:v>伤害、持续施法</x:v>
      </x:c>
      <x:c r="U176" s="48" t="str">
        <x:v>主动；单位目标；主分类：伤害；标签：伤害、持续施法</x:v>
      </x:c>
      <x:c r="V176" s="48" t="str">
        <x:v>100/130/170</x:v>
      </x:c>
      <x:c r="W176" s="48" t="str">
        <x:v>30/30/30</x:v>
      </x:c>
      <x:c r="X176" s="48" t="str">
        <x:v>160/160/160</x:v>
      </x:c>
      <x:c r="Y176" s="48" t="str">
        <x:v>—/—/—</x:v>
      </x:c>
      <x:c r="Z176" s="48" t="str">
        <x:v>6/6/6</x:v>
      </x:c>
      <x:c r="AA176" s="48" t="str">
        <x:v>3/3/3</x:v>
      </x:c>
      <x:c r="AB176" s="48" t="str">
        <x:v>air,enemies,ground,organic/air,enemies,ground,organic/air,enemies,ground,organic</x:v>
      </x:c>
      <x:c r="AC176" s="48" t="str">
        <x:v>主动；单位目标；主分类：伤害；标签：伤害、持续施法；等级：3；魔耗：100/130/170；冷却：30/30/30；施法距离：160/160/160；作用范围：—/—/—；持续时间：6/6/6。</x:v>
      </x:c>
      <x:c r="AD176" s="48" t="str">
        <x:v>3 / 1 / 75 / 2 / 125 / 175 / 30</x:v>
      </x:c>
      <x:c r="AE176" s="48" t="str">
        <x:v>A</x:v>
      </x:c>
      <x:c r="AF176" s="48" t="str">
        <x:v>6.48b 地图内 UnitAbilities/AbilityData/AbilityStrings 与对象修改表</x:v>
      </x:c>
      <x:c r="AG176" s="18" t="str">
        <x:v>S1</x:v>
      </x:c>
    </x:row>
    <x:row r="177" ht="48" customHeight="1">
      <x:c r="A177" s="19" t="str">
        <x:v>U00F-4</x:v>
      </x:c>
      <x:c r="B177" s="19" t="str">
        <x:v>天灾军团</x:v>
      </x:c>
      <x:c r="C177" s="19" t="str">
        <x:v>暮光酒馆</x:v>
      </x:c>
      <x:c r="D177" s="19" t="str">
        <x:v>屠夫</x:v>
      </x:c>
      <x:c r="E177" s="19" t="str">
        <x:v>Butcher</x:v>
      </x:c>
      <x:c r="F177" s="19" t="str">
        <x:v>U00F</x:v>
      </x:c>
      <x:c r="G177" s="19" t="str">
        <x:v>Pudge</x:v>
      </x:c>
      <x:c r="H177" s="19" t="str">
        <x:v>STR</x:v>
      </x:c>
      <x:c r="I177" s="19" t="str">
        <x:v>近战</x:v>
      </x:c>
      <x:c r="J177" s="19" t="n">
        <x:v>4</x:v>
      </x:c>
      <x:c r="K177" s="19" t="str">
        <x:v>Meat Hook</x:v>
      </x:c>
      <x:c r="L177" s="19" t="str">
        <x:v>A06I</x:v>
      </x:c>
      <x:c r="M177" s="49" t="str">
        <x:v>否</x:v>
      </x:c>
      <x:c r="N177" s="49" t="n">
        <x:v>4</x:v>
      </x:c>
      <x:c r="O177" s="49" t="n">
        <x:v>1</x:v>
      </x:c>
      <x:c r="P177" s="49" t="n">
        <x:v>2</x:v>
      </x:c>
      <x:c r="Q177" s="19" t="str">
        <x:v>主动</x:v>
      </x:c>
      <x:c r="R177" s="19" t="str">
        <x:v>无目标或脚本目标</x:v>
      </x:c>
      <x:c r="S177" s="19" t="str">
        <x:v>伤害</x:v>
      </x:c>
      <x:c r="T177" s="19" t="str">
        <x:v>伤害</x:v>
      </x:c>
      <x:c r="U177" s="48" t="str">
        <x:v>主动；无目标或脚本目标；主分类：伤害；标签：伤害</x:v>
      </x:c>
      <x:c r="V177" s="48" t="str">
        <x:v>140/140/140/140</x:v>
      </x:c>
      <x:c r="W177" s="48" t="str">
        <x:v>14/14/14/14</x:v>
      </x:c>
      <x:c r="X177" s="48" t="str">
        <x:v>400/600/800/1000</x:v>
      </x:c>
      <x:c r="Y177" s="48" t="str">
        <x:v>—/—/—/—</x:v>
      </x:c>
      <x:c r="Z177" s="48" t="str">
        <x:v>—/—/—/—</x:v>
      </x:c>
      <x:c r="AA177" s="48" t="str">
        <x:v>—/—/—/—</x:v>
      </x:c>
      <x:c r="AB177" s="48" t="str">
        <x:v>enemies,friend,ground,invulnerable,nonancient,terrain,vulnerable/enemies,friend,ground,invulnerable,nonancient,terrain,vulnerable/enemies,friend,ground,invulnerable,nonancient,terrain,vulnerable/enemies,friend,ground,invulnerable,nonancient,terrain,vulnerable</x:v>
      </x:c>
      <x:c r="AC177" s="48" t="str">
        <x:v>主动；无目标或脚本目标；主分类：伤害；标签：伤害；等级：4；魔耗：140/140/140/140；冷却：14/14/14/14；施法距离：400/600/800/1000；作用范围：—/—/—/—；持续时间：—/—/—/—。</x:v>
      </x:c>
      <x:c r="AD177" s="48" t="str">
        <x:v>1 / 400 / 100 / 2 / 600 / 200 / 3 / 800 / 300 / 4 / 1000 / 14</x:v>
      </x:c>
      <x:c r="AE177" s="48" t="str">
        <x:v>A</x:v>
      </x:c>
      <x:c r="AF177" s="48" t="str">
        <x:v>6.48b 地图内 UnitAbilities/AbilityData/AbilityStrings 与对象修改表</x:v>
      </x:c>
      <x:c r="AG177" s="18" t="str">
        <x:v>S1</x:v>
      </x:c>
    </x:row>
    <x:row r="178" ht="48" customHeight="1">
      <x:c r="A178" s="19" t="str">
        <x:v>U00E-1</x:v>
      </x:c>
      <x:c r="B178" s="19" t="str">
        <x:v>天灾军团</x:v>
      </x:c>
      <x:c r="C178" s="19" t="str">
        <x:v>暮光酒馆</x:v>
      </x:c>
      <x:c r="D178" s="19" t="str">
        <x:v>死灵法师</x:v>
      </x:c>
      <x:c r="E178" s="19" t="str">
        <x:v>Necrolyte</x:v>
      </x:c>
      <x:c r="F178" s="19" t="str">
        <x:v>U00E</x:v>
      </x:c>
      <x:c r="G178" s="19" t="str">
        <x:v>Rotund'jere</x:v>
      </x:c>
      <x:c r="H178" s="19" t="str">
        <x:v>INT</x:v>
      </x:c>
      <x:c r="I178" s="19" t="str">
        <x:v>远程</x:v>
      </x:c>
      <x:c r="J178" s="19" t="n">
        <x:v>1</x:v>
      </x:c>
      <x:c r="K178" s="19" t="str">
        <x:v>Death Pulse</x:v>
      </x:c>
      <x:c r="L178" s="19" t="str">
        <x:v>A05V</x:v>
      </x:c>
      <x:c r="M178" s="49" t="str">
        <x:v>否</x:v>
      </x:c>
      <x:c r="N178" s="49" t="n">
        <x:v>4</x:v>
      </x:c>
      <x:c r="O178" s="49" t="n">
        <x:v>1</x:v>
      </x:c>
      <x:c r="P178" s="49" t="n">
        <x:v>2</x:v>
      </x:c>
      <x:c r="Q178" s="19" t="str">
        <x:v>主动</x:v>
      </x:c>
      <x:c r="R178" s="19" t="str">
        <x:v>无目标或脚本目标</x:v>
      </x:c>
      <x:c r="S178" s="19" t="str">
        <x:v>治疗/回复</x:v>
      </x:c>
      <x:c r="T178" s="19" t="str">
        <x:v>伤害、治疗/回复</x:v>
      </x:c>
      <x:c r="U178" s="48" t="str">
        <x:v>主动；无目标或脚本目标；主分类：治疗/回复；标签：伤害、治疗/回复</x:v>
      </x:c>
      <x:c r="V178" s="48" t="str">
        <x:v>125/145/165/185</x:v>
      </x:c>
      <x:c r="W178" s="48" t="str">
        <x:v>8/7/6/5</x:v>
      </x:c>
      <x:c r="X178" s="48" t="str">
        <x:v>—/—/—/—</x:v>
      </x:c>
      <x:c r="Y178" s="48" t="str">
        <x:v>400/450/475/500</x:v>
      </x:c>
      <x:c r="Z178" s="48" t="str">
        <x:v>—/—/—/—</x:v>
      </x:c>
      <x:c r="AA178" s="48" t="str">
        <x:v>—/—/—/—</x:v>
      </x:c>
      <x:c r="AB178" s="48" t="str">
        <x:v>none/none/none/none</x:v>
      </x:c>
      <x:c r="AC178" s="48" t="str">
        <x:v>主动；无目标或脚本目标；主分类：治疗/回复；标签：伤害、治疗/回复；等级：4；魔耗：125/145/165/185；冷却：8/7/6/5；施法距离：—/—/—/—；作用范围：400/450/475/500；持续时间：—/—/—/—。</x:v>
      </x:c>
      <x:c r="AD178" s="48" t="str">
        <x:v>1 / 75 / 50 / 2 / 125 / 3 / 200 / 100 / 4 / 275 / 130 / 8 / 7 / 6 / 5</x:v>
      </x:c>
      <x:c r="AE178" s="48" t="str">
        <x:v>A</x:v>
      </x:c>
      <x:c r="AF178" s="48" t="str">
        <x:v>6.48b 地图内 UnitAbilities/AbilityData/AbilityStrings 与对象修改表</x:v>
      </x:c>
      <x:c r="AG178" s="18" t="str">
        <x:v>S1</x:v>
      </x:c>
    </x:row>
    <x:row r="179" ht="48" customHeight="1">
      <x:c r="A179" s="19" t="str">
        <x:v>U00E-2</x:v>
      </x:c>
      <x:c r="B179" s="19" t="str">
        <x:v>天灾军团</x:v>
      </x:c>
      <x:c r="C179" s="19" t="str">
        <x:v>暮光酒馆</x:v>
      </x:c>
      <x:c r="D179" s="19" t="str">
        <x:v>死灵法师</x:v>
      </x:c>
      <x:c r="E179" s="19" t="str">
        <x:v>Necrolyte</x:v>
      </x:c>
      <x:c r="F179" s="19" t="str">
        <x:v>U00E</x:v>
      </x:c>
      <x:c r="G179" s="19" t="str">
        <x:v>Rotund'jere</x:v>
      </x:c>
      <x:c r="H179" s="19" t="str">
        <x:v>INT</x:v>
      </x:c>
      <x:c r="I179" s="19" t="str">
        <x:v>远程</x:v>
      </x:c>
      <x:c r="J179" s="19" t="n">
        <x:v>2</x:v>
      </x:c>
      <x:c r="K179" s="19" t="str">
        <x:v>Diffusion Aura</x:v>
      </x:c>
      <x:c r="L179" s="19" t="str">
        <x:v>A0MC</x:v>
      </x:c>
      <x:c r="M179" s="49" t="str">
        <x:v>否</x:v>
      </x:c>
      <x:c r="N179" s="49" t="n">
        <x:v>4</x:v>
      </x:c>
      <x:c r="O179" s="49" t="n">
        <x:v>1</x:v>
      </x:c>
      <x:c r="P179" s="49" t="n">
        <x:v>2</x:v>
      </x:c>
      <x:c r="Q179" s="19" t="str">
        <x:v>被动</x:v>
      </x:c>
      <x:c r="R179" s="19" t="str">
        <x:v>被动</x:v>
      </x:c>
      <x:c r="S179" s="19" t="str">
        <x:v>削弱</x:v>
      </x:c>
      <x:c r="T179" s="19" t="str">
        <x:v>伤害、削弱、光环、被动触发</x:v>
      </x:c>
      <x:c r="U179" s="48" t="str">
        <x:v>被动；被动；主分类：削弱；标签：伤害、削弱、光环、被动触发</x:v>
      </x:c>
      <x:c r="V179" s="48" t="str">
        <x:v>—/—/—/—</x:v>
      </x:c>
      <x:c r="W179" s="48" t="str">
        <x:v>—/—/—/—</x:v>
      </x:c>
      <x:c r="X179" s="48" t="str">
        <x:v>—/—/—/—</x:v>
      </x:c>
      <x:c r="Y179" s="48" t="str">
        <x:v>450/450/450/450</x:v>
      </x:c>
      <x:c r="Z179" s="48" t="str">
        <x:v>—/—/—/—</x:v>
      </x:c>
      <x:c r="AA179" s="48" t="str">
        <x:v>—/—/—/—</x:v>
      </x:c>
      <x:c r="AB179" s="48" t="str">
        <x:v>air,enemies,ground,nonancient/air,enemies,ground,nonancient/air,enemies,ground,nonancient/air,enemies,ground,nonancient</x:v>
      </x:c>
      <x:c r="AC179" s="48" t="str">
        <x:v>被动；被动；主分类：削弱；标签：伤害、削弱、光环、被动触发；等级：4；魔耗：—/—/—/—；冷却：—/—/—/—；施法距离：—/—/—/—；作用范围：450/450/450/450；持续时间：—/—/—/—。</x:v>
      </x:c>
      <x:c r="AD179" s="48" t="str">
        <x:v>450 / 1 / 9% / 2 / 18% / 3 / 27% / 4 / 36%</x:v>
      </x:c>
      <x:c r="AE179" s="48" t="str">
        <x:v>A</x:v>
      </x:c>
      <x:c r="AF179" s="48" t="str">
        <x:v>6.48b 地图内 UnitAbilities/AbilityData/AbilityStrings 与对象修改表</x:v>
      </x:c>
      <x:c r="AG179" s="18" t="str">
        <x:v>S1</x:v>
      </x:c>
    </x:row>
    <x:row r="180" ht="48" customHeight="1">
      <x:c r="A180" s="19" t="str">
        <x:v>U00E-3</x:v>
      </x:c>
      <x:c r="B180" s="19" t="str">
        <x:v>天灾军团</x:v>
      </x:c>
      <x:c r="C180" s="19" t="str">
        <x:v>暮光酒馆</x:v>
      </x:c>
      <x:c r="D180" s="19" t="str">
        <x:v>死灵法师</x:v>
      </x:c>
      <x:c r="E180" s="19" t="str">
        <x:v>Necrolyte</x:v>
      </x:c>
      <x:c r="F180" s="19" t="str">
        <x:v>U00E</x:v>
      </x:c>
      <x:c r="G180" s="19" t="str">
        <x:v>Rotund'jere</x:v>
      </x:c>
      <x:c r="H180" s="19" t="str">
        <x:v>INT</x:v>
      </x:c>
      <x:c r="I180" s="19" t="str">
        <x:v>远程</x:v>
      </x:c>
      <x:c r="J180" s="19" t="n">
        <x:v>3</x:v>
      </x:c>
      <x:c r="K180" s="19" t="str">
        <x:v>Sadist</x:v>
      </x:c>
      <x:c r="L180" s="19" t="str">
        <x:v>A060</x:v>
      </x:c>
      <x:c r="M180" s="49" t="str">
        <x:v>否</x:v>
      </x:c>
      <x:c r="N180" s="49" t="n">
        <x:v>4</x:v>
      </x:c>
      <x:c r="O180" s="49" t="n">
        <x:v>1</x:v>
      </x:c>
      <x:c r="P180" s="49" t="n">
        <x:v>2</x:v>
      </x:c>
      <x:c r="Q180" s="19" t="str">
        <x:v>被动/脚本触发</x:v>
      </x:c>
      <x:c r="R180" s="19" t="str">
        <x:v>被动</x:v>
      </x:c>
      <x:c r="S180" s="19" t="str">
        <x:v>强化</x:v>
      </x:c>
      <x:c r="T180" s="19" t="str">
        <x:v>强化、资源机制、被动触发</x:v>
      </x:c>
      <x:c r="U180" s="48" t="str">
        <x:v>被动/脚本触发；被动；主分类：强化；标签：强化、资源机制、被动触发</x:v>
      </x:c>
      <x:c r="V180" s="48" t="str">
        <x:v>—/—/—/—</x:v>
      </x:c>
      <x:c r="W180" s="48" t="str">
        <x:v>—/—/—/—</x:v>
      </x:c>
      <x:c r="X180" s="48" t="str">
        <x:v>—/—/—/—</x:v>
      </x:c>
      <x:c r="Y180" s="48" t="str">
        <x:v>900/900/900/900</x:v>
      </x:c>
      <x:c r="Z180" s="48" t="str">
        <x:v>—/—/—/—</x:v>
      </x:c>
      <x:c r="AA180" s="48" t="str">
        <x:v>—/—/—/—</x:v>
      </x:c>
      <x:c r="AB180" s="48" t="str">
        <x:v>self/self/self/self</x:v>
      </x:c>
      <x:c r="AC180" s="48" t="str">
        <x:v>被动/脚本触发；被动；主分类：强化；标签：强化、资源机制、被动触发；等级：4；魔耗：—/—/—/—；冷却：—/—/—/—；施法距离：—/—/—/—；作用范围：900/900/900/900；持续时间：—/—/—/—。</x:v>
      </x:c>
      <x:c r="AD180" s="48" t="str">
        <x:v>1 / 12 / 2 / 24 / 3 / 36 / 4 / 48</x:v>
      </x:c>
      <x:c r="AE180" s="48" t="str">
        <x:v>A</x:v>
      </x:c>
      <x:c r="AF180" s="48" t="str">
        <x:v>6.48b 地图内 UnitAbilities/AbilityData/AbilityStrings 与对象修改表</x:v>
      </x:c>
      <x:c r="AG180" s="18" t="str">
        <x:v>S1</x:v>
      </x:c>
    </x:row>
    <x:row r="181" ht="48" customHeight="1">
      <x:c r="A181" s="19" t="str">
        <x:v>U00E-4</x:v>
      </x:c>
      <x:c r="B181" s="19" t="str">
        <x:v>天灾军团</x:v>
      </x:c>
      <x:c r="C181" s="19" t="str">
        <x:v>暮光酒馆</x:v>
      </x:c>
      <x:c r="D181" s="19" t="str">
        <x:v>死灵法师</x:v>
      </x:c>
      <x:c r="E181" s="19" t="str">
        <x:v>Necrolyte</x:v>
      </x:c>
      <x:c r="F181" s="19" t="str">
        <x:v>U00E</x:v>
      </x:c>
      <x:c r="G181" s="19" t="str">
        <x:v>Rotund'jere</x:v>
      </x:c>
      <x:c r="H181" s="19" t="str">
        <x:v>INT</x:v>
      </x:c>
      <x:c r="I181" s="19" t="str">
        <x:v>远程</x:v>
      </x:c>
      <x:c r="J181" s="19" t="n">
        <x:v>4</x:v>
      </x:c>
      <x:c r="K181" s="19" t="str">
        <x:v>Reaper's Scythe</x:v>
      </x:c>
      <x:c r="L181" s="19" t="str">
        <x:v>A067</x:v>
      </x:c>
      <x:c r="M181" s="49" t="str">
        <x:v>是</x:v>
      </x:c>
      <x:c r="N181" s="49" t="n">
        <x:v>3</x:v>
      </x:c>
      <x:c r="O181" s="49" t="n">
        <x:v>6</x:v>
      </x:c>
      <x:c r="P181" s="49" t="n">
        <x:v>5</x:v>
      </x:c>
      <x:c r="Q181" s="19" t="str">
        <x:v>主动</x:v>
      </x:c>
      <x:c r="R181" s="19" t="str">
        <x:v>单位目标</x:v>
      </x:c>
      <x:c r="S181" s="19" t="str">
        <x:v>硬控</x:v>
      </x:c>
      <x:c r="T181" s="19" t="str">
        <x:v>伤害、硬控</x:v>
      </x:c>
      <x:c r="U181" s="48" t="str">
        <x:v>主动；单位目标；主分类：硬控；标签：伤害、硬控</x:v>
      </x:c>
      <x:c r="V181" s="48" t="str">
        <x:v>200/340/500</x:v>
      </x:c>
      <x:c r="W181" s="48" t="str">
        <x:v>150/120/70</x:v>
      </x:c>
      <x:c r="X181" s="48" t="str">
        <x:v>600/600/600</x:v>
      </x:c>
      <x:c r="Y181" s="48" t="str">
        <x:v>—/—/—</x:v>
      </x:c>
      <x:c r="Z181" s="48" t="str">
        <x:v>1.5/1.5/1.5</x:v>
      </x:c>
      <x:c r="AA181" s="48" t="str">
        <x:v>1.5/1.5/1.5</x:v>
      </x:c>
      <x:c r="AB181" s="48" t="str">
        <x:v>air,enemies,ground,neutral,nonancient,organic/air,enemies,ground,neutral,nonancient,organic/air,enemies,ground,neutral,nonancient,organic</x:v>
      </x:c>
      <x:c r="AC181" s="48" t="str">
        <x:v>主动；单位目标；主分类：硬控；标签：伤害、硬控；等级：3；魔耗：200/340/500；冷却：150/120/70；施法距离：600/600/600；作用范围：—/—/—；持续时间：1.5/1.5/1.5。</x:v>
      </x:c>
      <x:c r="AD181" s="48" t="str">
        <x:v>1.5 / 1 / 4 / 2 / 6 / 3 / 9 / 150 / 120 / 75 / 70</x:v>
      </x:c>
      <x:c r="AE181" s="48" t="str">
        <x:v>A</x:v>
      </x:c>
      <x:c r="AF181" s="48" t="str">
        <x:v>6.48b 地图内 UnitAbilities/AbilityData/AbilityStrings 与对象修改表</x:v>
      </x:c>
      <x:c r="AG181" s="18" t="str">
        <x:v>S1</x:v>
      </x:c>
    </x:row>
    <x:row r="182" ht="48" customHeight="1">
      <x:c r="A182" s="19" t="str">
        <x:v>Oshd-1</x:v>
      </x:c>
      <x:c r="B182" s="19" t="str">
        <x:v>天灾军团</x:v>
      </x:c>
      <x:c r="C182" s="19" t="str">
        <x:v>暮光酒馆</x:v>
      </x:c>
      <x:c r="D182" s="19" t="str">
        <x:v>痛苦之源</x:v>
      </x:c>
      <x:c r="E182" s="19" t="str">
        <x:v>Bane Elemental</x:v>
      </x:c>
      <x:c r="F182" s="19" t="str">
        <x:v>Oshd</x:v>
      </x:c>
      <x:c r="G182" s="19" t="str">
        <x:v>Atropos</x:v>
      </x:c>
      <x:c r="H182" s="19" t="str">
        <x:v>INT</x:v>
      </x:c>
      <x:c r="I182" s="19" t="str">
        <x:v>远程</x:v>
      </x:c>
      <x:c r="J182" s="19" t="n">
        <x:v>1</x:v>
      </x:c>
      <x:c r="K182" s="19" t="str">
        <x:v>Brain Sap</x:v>
      </x:c>
      <x:c r="L182" s="19" t="str">
        <x:v>A0GK</x:v>
      </x:c>
      <x:c r="M182" s="49" t="str">
        <x:v>否</x:v>
      </x:c>
      <x:c r="N182" s="49" t="n">
        <x:v>4</x:v>
      </x:c>
      <x:c r="O182" s="49" t="n">
        <x:v>1</x:v>
      </x:c>
      <x:c r="P182" s="49" t="n">
        <x:v>2</x:v>
      </x:c>
      <x:c r="Q182" s="19" t="str">
        <x:v>主动</x:v>
      </x:c>
      <x:c r="R182" s="19" t="str">
        <x:v>无目标或脚本目标</x:v>
      </x:c>
      <x:c r="S182" s="19" t="str">
        <x:v>防御/生存</x:v>
      </x:c>
      <x:c r="T182" s="19" t="str">
        <x:v>防御/生存</x:v>
      </x:c>
      <x:c r="U182" s="48" t="str">
        <x:v>主动；无目标或脚本目标；主分类：防御/生存；标签：防御/生存</x:v>
      </x:c>
      <x:c r="V182" s="48" t="str">
        <x:v>125/150/175/200</x:v>
      </x:c>
      <x:c r="W182" s="48" t="str">
        <x:v>20/20/20/20</x:v>
      </x:c>
      <x:c r="X182" s="48" t="str">
        <x:v>600/600/600/600</x:v>
      </x:c>
      <x:c r="Y182" s="48" t="str">
        <x:v>500/500/500/500</x:v>
      </x:c>
      <x:c r="Z182" s="48" t="str">
        <x:v>—/—/—/—</x:v>
      </x:c>
      <x:c r="AA182" s="48" t="str">
        <x:v>—/—/—/—</x:v>
      </x:c>
      <x:c r="AB182" s="48" t="str">
        <x:v>air,enemies,ground,organic/air,enemies,ground,organic/air,enemies,ground,organic/air,enemies,ground,organic</x:v>
      </x:c>
      <x:c r="AC182" s="48" t="str">
        <x:v>主动；无目标或脚本目标；主分类：防御/生存；标签：防御/生存；等级：4；魔耗：125/150/175/200；冷却：20/20/20/20；施法距离：600/600/600/600；作用范围：500/500/500/500；持续时间：—/—/—/—。</x:v>
      </x:c>
      <x:c r="AD182" s="48" t="str">
        <x:v>1 / 75 / 2 / 150 / 3 / 225 / 4 / 300 / 20</x:v>
      </x:c>
      <x:c r="AE182" s="48" t="str">
        <x:v>A</x:v>
      </x:c>
      <x:c r="AF182" s="48" t="str">
        <x:v>6.48b 地图内 UnitAbilities/AbilityData/AbilityStrings 与对象修改表</x:v>
      </x:c>
      <x:c r="AG182" s="18" t="str">
        <x:v>S1</x:v>
      </x:c>
    </x:row>
    <x:row r="183" ht="48" customHeight="1">
      <x:c r="A183" s="19" t="str">
        <x:v>Oshd-2</x:v>
      </x:c>
      <x:c r="B183" s="19" t="str">
        <x:v>天灾军团</x:v>
      </x:c>
      <x:c r="C183" s="19" t="str">
        <x:v>暮光酒馆</x:v>
      </x:c>
      <x:c r="D183" s="19" t="str">
        <x:v>痛苦之源</x:v>
      </x:c>
      <x:c r="E183" s="19" t="str">
        <x:v>Bane Elemental</x:v>
      </x:c>
      <x:c r="F183" s="19" t="str">
        <x:v>Oshd</x:v>
      </x:c>
      <x:c r="G183" s="19" t="str">
        <x:v>Atropos</x:v>
      </x:c>
      <x:c r="H183" s="19" t="str">
        <x:v>INT</x:v>
      </x:c>
      <x:c r="I183" s="19" t="str">
        <x:v>远程</x:v>
      </x:c>
      <x:c r="J183" s="19" t="n">
        <x:v>2</x:v>
      </x:c>
      <x:c r="K183" s="19" t="str">
        <x:v>Nightmare</x:v>
      </x:c>
      <x:c r="L183" s="19" t="str">
        <x:v>A04Y</x:v>
      </x:c>
      <x:c r="M183" s="49" t="str">
        <x:v>否</x:v>
      </x:c>
      <x:c r="N183" s="49" t="n">
        <x:v>4</x:v>
      </x:c>
      <x:c r="O183" s="49" t="n">
        <x:v>1</x:v>
      </x:c>
      <x:c r="P183" s="49" t="n">
        <x:v>2</x:v>
      </x:c>
      <x:c r="Q183" s="19" t="str">
        <x:v>主动</x:v>
      </x:c>
      <x:c r="R183" s="19" t="str">
        <x:v>无目标或脚本目标</x:v>
      </x:c>
      <x:c r="S183" s="19" t="str">
        <x:v>伤害</x:v>
      </x:c>
      <x:c r="T183" s="19" t="str">
        <x:v>伤害</x:v>
      </x:c>
      <x:c r="U183" s="48" t="str">
        <x:v>主动；无目标或脚本目标；主分类：伤害；标签：伤害</x:v>
      </x:c>
      <x:c r="V183" s="48" t="str">
        <x:v>165/165/165/165</x:v>
      </x:c>
      <x:c r="W183" s="48" t="str">
        <x:v>15/15/15/15</x:v>
      </x:c>
      <x:c r="X183" s="48" t="str">
        <x:v>500/550/600/650</x:v>
      </x:c>
      <x:c r="Y183" s="48" t="str">
        <x:v>—/—/—/—</x:v>
      </x:c>
      <x:c r="Z183" s="48" t="str">
        <x:v>4/5/6/7</x:v>
      </x:c>
      <x:c r="AA183" s="48" t="str">
        <x:v>4/5/6/7</x:v>
      </x:c>
      <x:c r="AB183" s="48" t="str">
        <x:v>air,ground,organic/air,ground,organic/air,ground,organic/air,ground,organic</x:v>
      </x:c>
      <x:c r="AC183" s="48" t="str">
        <x:v>主动；无目标或脚本目标；主分类：伤害；标签：伤害；等级：4；魔耗：165/165/165/165；冷却：15/15/15/15；施法距离：500/550/600/650；作用范围：—/—/—/—；持续时间：4/5/6/7。</x:v>
      </x:c>
      <x:c r="AD183" s="48" t="str">
        <x:v>20 / 1 / 4 / 2 / 5 / 3 / 6 / 7 / 15</x:v>
      </x:c>
      <x:c r="AE183" s="48" t="str">
        <x:v>A</x:v>
      </x:c>
      <x:c r="AF183" s="48" t="str">
        <x:v>6.48b 地图内 UnitAbilities/AbilityData/AbilityStrings 与对象修改表</x:v>
      </x:c>
      <x:c r="AG183" s="18" t="str">
        <x:v>S1</x:v>
      </x:c>
    </x:row>
    <x:row r="184" ht="48" customHeight="1">
      <x:c r="A184" s="19" t="str">
        <x:v>Oshd-3</x:v>
      </x:c>
      <x:c r="B184" s="19" t="str">
        <x:v>天灾军团</x:v>
      </x:c>
      <x:c r="C184" s="19" t="str">
        <x:v>暮光酒馆</x:v>
      </x:c>
      <x:c r="D184" s="19" t="str">
        <x:v>痛苦之源</x:v>
      </x:c>
      <x:c r="E184" s="19" t="str">
        <x:v>Bane Elemental</x:v>
      </x:c>
      <x:c r="F184" s="19" t="str">
        <x:v>Oshd</x:v>
      </x:c>
      <x:c r="G184" s="19" t="str">
        <x:v>Atropos</x:v>
      </x:c>
      <x:c r="H184" s="19" t="str">
        <x:v>INT</x:v>
      </x:c>
      <x:c r="I184" s="19" t="str">
        <x:v>远程</x:v>
      </x:c>
      <x:c r="J184" s="19" t="n">
        <x:v>3</x:v>
      </x:c>
      <x:c r="K184" s="19" t="str">
        <x:v>Fiend's Grip</x:v>
      </x:c>
      <x:c r="L184" s="19" t="str">
        <x:v>A02Q</x:v>
      </x:c>
      <x:c r="M184" s="49" t="str">
        <x:v>是</x:v>
      </x:c>
      <x:c r="N184" s="49" t="n">
        <x:v>3</x:v>
      </x:c>
      <x:c r="O184" s="49" t="n">
        <x:v>6</x:v>
      </x:c>
      <x:c r="P184" s="49" t="n">
        <x:v>5</x:v>
      </x:c>
      <x:c r="Q184" s="19" t="str">
        <x:v>主动</x:v>
      </x:c>
      <x:c r="R184" s="19" t="str">
        <x:v>单位目标</x:v>
      </x:c>
      <x:c r="S184" s="19" t="str">
        <x:v>召唤</x:v>
      </x:c>
      <x:c r="T184" s="19" t="str">
        <x:v>伤害、硬控、召唤、资源机制、持续施法</x:v>
      </x:c>
      <x:c r="U184" s="48" t="str">
        <x:v>主动；单位目标；主分类：召唤；标签：伤害、硬控、召唤、资源机制、持续施法</x:v>
      </x:c>
      <x:c r="V184" s="48" t="str">
        <x:v>100/175/250</x:v>
      </x:c>
      <x:c r="W184" s="48" t="str">
        <x:v>120/120/120</x:v>
      </x:c>
      <x:c r="X184" s="48" t="str">
        <x:v>625/625/625</x:v>
      </x:c>
      <x:c r="Y184" s="48" t="str">
        <x:v>—/—/—</x:v>
      </x:c>
      <x:c r="Z184" s="48" t="str">
        <x:v>5/5/5</x:v>
      </x:c>
      <x:c r="AA184" s="48" t="str">
        <x:v>5/5/5</x:v>
      </x:c>
      <x:c r="AB184" s="48" t="str">
        <x:v>air,enemies,ground,organic/air,enemies,ground,organic/air,enemies,ground,organic</x:v>
      </x:c>
      <x:c r="AC184" s="48" t="str">
        <x:v>主动；单位目标；主分类：召唤；标签：伤害、硬控、召唤、资源机制、持续施法；等级：3；魔耗：100/175/250；冷却：120/120/120；施法距离：625/625/625；作用范围：—/—/—；持续时间：5/5/5。</x:v>
      </x:c>
      <x:c r="AD184" s="48" t="str">
        <x:v>5 / 1 / 100 / 40 / 2 / 155 / 60 / 3 / 215 / 80 / 120</x:v>
      </x:c>
      <x:c r="AE184" s="48" t="str">
        <x:v>A</x:v>
      </x:c>
      <x:c r="AF184" s="48" t="str">
        <x:v>6.48b 地图内 UnitAbilities/AbilityData/AbilityStrings 与对象修改表</x:v>
      </x:c>
      <x:c r="AG184" s="18" t="str">
        <x:v>S1</x:v>
      </x:c>
    </x:row>
    <x:row r="185" ht="48" customHeight="1">
      <x:c r="A185" s="19" t="str">
        <x:v>Oshd-4</x:v>
      </x:c>
      <x:c r="B185" s="19" t="str">
        <x:v>天灾军团</x:v>
      </x:c>
      <x:c r="C185" s="19" t="str">
        <x:v>暮光酒馆</x:v>
      </x:c>
      <x:c r="D185" s="19" t="str">
        <x:v>痛苦之源</x:v>
      </x:c>
      <x:c r="E185" s="19" t="str">
        <x:v>Bane Elemental</x:v>
      </x:c>
      <x:c r="F185" s="19" t="str">
        <x:v>Oshd</x:v>
      </x:c>
      <x:c r="G185" s="19" t="str">
        <x:v>Atropos</x:v>
      </x:c>
      <x:c r="H185" s="19" t="str">
        <x:v>INT</x:v>
      </x:c>
      <x:c r="I185" s="19" t="str">
        <x:v>远程</x:v>
      </x:c>
      <x:c r="J185" s="19" t="n">
        <x:v>4</x:v>
      </x:c>
      <x:c r="K185" s="19" t="str">
        <x:v>Enfeeble</x:v>
      </x:c>
      <x:c r="L185" s="19" t="str">
        <x:v>A04V</x:v>
      </x:c>
      <x:c r="M185" s="49" t="str">
        <x:v>否</x:v>
      </x:c>
      <x:c r="N185" s="49" t="n">
        <x:v>4</x:v>
      </x:c>
      <x:c r="O185" s="49" t="n">
        <x:v>1</x:v>
      </x:c>
      <x:c r="P185" s="49" t="n">
        <x:v>2</x:v>
      </x:c>
      <x:c r="Q185" s="19" t="str">
        <x:v>开关/自动施放</x:v>
      </x:c>
      <x:c r="R185" s="19" t="str">
        <x:v>—</x:v>
      </x:c>
      <x:c r="S185" s="19" t="str">
        <x:v>治疗/回复</x:v>
      </x:c>
      <x:c r="T185" s="19" t="str">
        <x:v>伤害、治疗/回复、削弱</x:v>
      </x:c>
      <x:c r="U185" s="48" t="str">
        <x:v>开关/自动施放；—；主分类：治疗/回复；标签：伤害、治疗/回复、削弱</x:v>
      </x:c>
      <x:c r="V185" s="48" t="str">
        <x:v>125/125/125/125</x:v>
      </x:c>
      <x:c r="W185" s="48" t="str">
        <x:v>15/15/15/15</x:v>
      </x:c>
      <x:c r="X185" s="48" t="str">
        <x:v>500/500/500/500</x:v>
      </x:c>
      <x:c r="Y185" s="48" t="str">
        <x:v>—/—/—/—</x:v>
      </x:c>
      <x:c r="Z185" s="48" t="str">
        <x:v>20/20/20/20</x:v>
      </x:c>
      <x:c r="AA185" s="48" t="str">
        <x:v>20/20/20/20</x:v>
      </x:c>
      <x:c r="AB185" s="48" t="str">
        <x:v>air,enemies,ground,neutral,nonancient,organic/air,enemies,ground,neutral,nonancient,organic/air,enemies,ground,neutral,nonancient,organic/air,enemies,ground,neutral,nonancient,organic</x:v>
      </x:c>
      <x:c r="AC185" s="48" t="str">
        <x:v>开关/自动施放；—；主分类：治疗/回复；标签：伤害、治疗/回复、削弱；等级：4；魔耗：125/125/125/125；冷却：15/15/15/15；施法距离：500/500/500/500；作用范围：—/—/—/—；持续时间：20/20/20/20。</x:v>
      </x:c>
      <x:c r="AD185" s="48" t="str">
        <x:v>20 / 1 / 20% / 2 / 40% / 3 / 60% / 4 / 80% / 15</x:v>
      </x:c>
      <x:c r="AE185" s="48" t="str">
        <x:v>A</x:v>
      </x:c>
      <x:c r="AF185" s="48" t="str">
        <x:v>6.48b 地图内 UnitAbilities/AbilityData/AbilityStrings 与对象修改表</x:v>
      </x:c>
      <x:c r="AG185" s="18" t="str">
        <x:v>S1</x:v>
      </x:c>
    </x:row>
    <x:row r="186" ht="48" customHeight="1">
      <x:c r="A186" s="19" t="str">
        <x:v>Ofar-1</x:v>
      </x:c>
      <x:c r="B186" s="19" t="str">
        <x:v>天灾军团</x:v>
      </x:c>
      <x:c r="C186" s="19" t="str">
        <x:v>暮光酒馆</x:v>
      </x:c>
      <x:c r="D186" s="19" t="str">
        <x:v>潮汐猎人</x:v>
      </x:c>
      <x:c r="E186" s="19" t="str">
        <x:v>Tidehunter</x:v>
      </x:c>
      <x:c r="F186" s="19" t="str">
        <x:v>Ofar</x:v>
      </x:c>
      <x:c r="G186" s="19" t="str">
        <x:v>Leviathan</x:v>
      </x:c>
      <x:c r="H186" s="19" t="str">
        <x:v>STR</x:v>
      </x:c>
      <x:c r="I186" s="19" t="str">
        <x:v>近战</x:v>
      </x:c>
      <x:c r="J186" s="19" t="n">
        <x:v>1</x:v>
      </x:c>
      <x:c r="K186" s="19" t="str">
        <x:v>Gush</x:v>
      </x:c>
      <x:c r="L186" s="19" t="str">
        <x:v>A046</x:v>
      </x:c>
      <x:c r="M186" s="49" t="str">
        <x:v>否</x:v>
      </x:c>
      <x:c r="N186" s="49" t="n">
        <x:v>4</x:v>
      </x:c>
      <x:c r="O186" s="49" t="n">
        <x:v>1</x:v>
      </x:c>
      <x:c r="P186" s="49" t="n">
        <x:v>2</x:v>
      </x:c>
      <x:c r="Q186" s="19" t="str">
        <x:v>主动</x:v>
      </x:c>
      <x:c r="R186" s="19" t="str">
        <x:v>无目标或脚本目标</x:v>
      </x:c>
      <x:c r="S186" s="19" t="str">
        <x:v>召唤</x:v>
      </x:c>
      <x:c r="T186" s="19" t="str">
        <x:v>伤害、软控、防御/生存、召唤、强化、削弱</x:v>
      </x:c>
      <x:c r="U186" s="48" t="str">
        <x:v>主动；无目标或脚本目标；主分类：召唤；标签：伤害、软控、防御/生存、召唤、强化、削弱</x:v>
      </x:c>
      <x:c r="V186" s="48" t="str">
        <x:v>120/120/120/120</x:v>
      </x:c>
      <x:c r="W186" s="48" t="str">
        <x:v>12/12/12/12</x:v>
      </x:c>
      <x:c r="X186" s="48" t="str">
        <x:v>700/700/700/700</x:v>
      </x:c>
      <x:c r="Y186" s="48" t="str">
        <x:v>—/—/—/—</x:v>
      </x:c>
      <x:c r="Z186" s="48" t="str">
        <x:v>4/4/4/4</x:v>
      </x:c>
      <x:c r="AA186" s="48" t="str">
        <x:v>4/4/4/4</x:v>
      </x:c>
      <x:c r="AB186" s="48" t="str">
        <x:v>ground,enemy,neutral,organic,air/ground,enemy,neutral,organic,air/ground,enemy,neutral,organic,air/ground,enemy,neutral,organic,air</x:v>
      </x:c>
      <x:c r="AC186" s="48" t="str">
        <x:v>主动；无目标或脚本目标；主分类：召唤；标签：伤害、软控、防御/生存、召唤、强化、削弱；等级：4；魔耗：120/120/120/120；冷却：12/12/12/12；施法距离：700/700/700/700；作用范围：—/—/—/—；持续时间：4/4/4/4。</x:v>
      </x:c>
      <x:c r="AD186" s="48" t="str">
        <x:v>40% / 4 / 1 / 2 / 110 / 3 / 160 / 210 / 5 / 260 / 12</x:v>
      </x:c>
      <x:c r="AE186" s="48" t="str">
        <x:v>A</x:v>
      </x:c>
      <x:c r="AF186" s="48" t="str">
        <x:v>6.48b 地图内 UnitAbilities/AbilityData/AbilityStrings 与对象修改表</x:v>
      </x:c>
      <x:c r="AG186" s="18" t="str">
        <x:v>S1</x:v>
      </x:c>
    </x:row>
    <x:row r="187" ht="48" customHeight="1">
      <x:c r="A187" s="19" t="str">
        <x:v>Ofar-2</x:v>
      </x:c>
      <x:c r="B187" s="19" t="str">
        <x:v>天灾军团</x:v>
      </x:c>
      <x:c r="C187" s="19" t="str">
        <x:v>暮光酒馆</x:v>
      </x:c>
      <x:c r="D187" s="19" t="str">
        <x:v>潮汐猎人</x:v>
      </x:c>
      <x:c r="E187" s="19" t="str">
        <x:v>Tidehunter</x:v>
      </x:c>
      <x:c r="F187" s="19" t="str">
        <x:v>Ofar</x:v>
      </x:c>
      <x:c r="G187" s="19" t="str">
        <x:v>Leviathan</x:v>
      </x:c>
      <x:c r="H187" s="19" t="str">
        <x:v>STR</x:v>
      </x:c>
      <x:c r="I187" s="19" t="str">
        <x:v>近战</x:v>
      </x:c>
      <x:c r="J187" s="19" t="n">
        <x:v>2</x:v>
      </x:c>
      <x:c r="K187" s="19" t="str">
        <x:v>Kraken Shell</x:v>
      </x:c>
      <x:c r="L187" s="19" t="str">
        <x:v>A04E</x:v>
      </x:c>
      <x:c r="M187" s="49" t="str">
        <x:v>否</x:v>
      </x:c>
      <x:c r="N187" s="49" t="n">
        <x:v>4</x:v>
      </x:c>
      <x:c r="O187" s="49" t="n">
        <x:v>1</x:v>
      </x:c>
      <x:c r="P187" s="49" t="n">
        <x:v>2</x:v>
      </x:c>
      <x:c r="Q187" s="19" t="str">
        <x:v>被动/脚本触发</x:v>
      </x:c>
      <x:c r="R187" s="19" t="str">
        <x:v>被动</x:v>
      </x:c>
      <x:c r="S187" s="19" t="str">
        <x:v>防御/生存</x:v>
      </x:c>
      <x:c r="T187" s="19" t="str">
        <x:v>伤害、防御/生存、强化、削弱、被动触发</x:v>
      </x:c>
      <x:c r="U187" s="48" t="str">
        <x:v>被动/脚本触发；被动；主分类：防御/生存；标签：伤害、防御/生存、强化、削弱、被动触发</x:v>
      </x:c>
      <x:c r="V187" s="48" t="str">
        <x:v>—/—/—/—</x:v>
      </x:c>
      <x:c r="W187" s="48" t="str">
        <x:v>—/—/—/—</x:v>
      </x:c>
      <x:c r="X187" s="48" t="str">
        <x:v>—/—/—/—</x:v>
      </x:c>
      <x:c r="Y187" s="48" t="str">
        <x:v>—/—/—/—</x:v>
      </x:c>
      <x:c r="Z187" s="48" t="str">
        <x:v>—/—/—/—</x:v>
      </x:c>
      <x:c r="AA187" s="48" t="str">
        <x:v>—/—/—/—</x:v>
      </x:c>
      <x:c r="AB187" s="48" t="str">
        <x:v>enemy,ally/enemy,ally/enemy,ally/enemy,ally</x:v>
      </x:c>
      <x:c r="AC187" s="48" t="str">
        <x:v>被动/脚本触发；被动；主分类：防御/生存；标签：伤害、防御/生存、强化、削弱、被动触发；等级：4；魔耗：—/—/—/—；冷却：—/—/—/—；施法距离：—/—/—/—；作用范围：—/—/—/—；持续时间：—/—/—/—。</x:v>
      </x:c>
      <x:c r="AD187" s="48" t="str">
        <x:v>1 / 7 / 11 / 2 / 14 / 10 / 3 / 21 / 9 / 4 / 28 / 8</x:v>
      </x:c>
      <x:c r="AE187" s="48" t="str">
        <x:v>A</x:v>
      </x:c>
      <x:c r="AF187" s="48" t="str">
        <x:v>6.48b 地图内 UnitAbilities/AbilityData/AbilityStrings 与对象修改表</x:v>
      </x:c>
      <x:c r="AG187" s="18" t="str">
        <x:v>S1</x:v>
      </x:c>
    </x:row>
    <x:row r="188" ht="48" customHeight="1">
      <x:c r="A188" s="19" t="str">
        <x:v>Ofar-3</x:v>
      </x:c>
      <x:c r="B188" s="19" t="str">
        <x:v>天灾军团</x:v>
      </x:c>
      <x:c r="C188" s="19" t="str">
        <x:v>暮光酒馆</x:v>
      </x:c>
      <x:c r="D188" s="19" t="str">
        <x:v>潮汐猎人</x:v>
      </x:c>
      <x:c r="E188" s="19" t="str">
        <x:v>Tidehunter</x:v>
      </x:c>
      <x:c r="F188" s="19" t="str">
        <x:v>Ofar</x:v>
      </x:c>
      <x:c r="G188" s="19" t="str">
        <x:v>Leviathan</x:v>
      </x:c>
      <x:c r="H188" s="19" t="str">
        <x:v>STR</x:v>
      </x:c>
      <x:c r="I188" s="19" t="str">
        <x:v>近战</x:v>
      </x:c>
      <x:c r="J188" s="19" t="n">
        <x:v>3</x:v>
      </x:c>
      <x:c r="K188" s="19" t="str">
        <x:v>Anchor Smash</x:v>
      </x:c>
      <x:c r="L188" s="19" t="str">
        <x:v>A044</x:v>
      </x:c>
      <x:c r="M188" s="49" t="str">
        <x:v>否</x:v>
      </x:c>
      <x:c r="N188" s="49" t="n">
        <x:v>4</x:v>
      </x:c>
      <x:c r="O188" s="49" t="n">
        <x:v>1</x:v>
      </x:c>
      <x:c r="P188" s="49" t="n">
        <x:v>2</x:v>
      </x:c>
      <x:c r="Q188" s="19" t="str">
        <x:v>被动</x:v>
      </x:c>
      <x:c r="R188" s="19" t="str">
        <x:v>被动</x:v>
      </x:c>
      <x:c r="S188" s="19" t="str">
        <x:v>强化</x:v>
      </x:c>
      <x:c r="T188" s="19" t="str">
        <x:v>伤害、强化、范围效果、被动触发</x:v>
      </x:c>
      <x:c r="U188" s="48" t="str">
        <x:v>被动；被动；主分类：强化；标签：伤害、强化、范围效果、被动触发</x:v>
      </x:c>
      <x:c r="V188" s="48" t="str">
        <x:v>—/—/—/—</x:v>
      </x:c>
      <x:c r="W188" s="48" t="str">
        <x:v>—/—/—/—</x:v>
      </x:c>
      <x:c r="X188" s="48" t="str">
        <x:v>—/—/—/—</x:v>
      </x:c>
      <x:c r="Y188" s="48" t="str">
        <x:v>—/—/—/—</x:v>
      </x:c>
      <x:c r="Z188" s="48" t="str">
        <x:v>—/—/—/—</x:v>
      </x:c>
      <x:c r="AA188" s="48" t="str">
        <x:v>—/—/—/—</x:v>
      </x:c>
      <x:c r="AB188" s="48" t="str">
        <x:v>ground,enemy,neutral/ground,enemy,neutral/ground,enemy,neutral/ground,enemy,neutral</x:v>
      </x:c>
      <x:c r="AC188" s="48" t="str">
        <x:v>被动；被动；主分类：强化；标签：伤害、强化、范围效果、被动触发；等级：4；魔耗：—/—/—/—；冷却：—/—/—/—；施法距离：—/—/—/—；作用范围：—/—/—/—；持续时间：—/—/—/—。</x:v>
      </x:c>
      <x:c r="AD188" s="48" t="str">
        <x:v>20% / 1 / 75 / 2 / 115 / 3 / 155 / 4 / 200</x:v>
      </x:c>
      <x:c r="AE188" s="48" t="str">
        <x:v>A</x:v>
      </x:c>
      <x:c r="AF188" s="48" t="str">
        <x:v>6.48b 地图内 UnitAbilities/AbilityData/AbilityStrings 与对象修改表</x:v>
      </x:c>
      <x:c r="AG188" s="18" t="str">
        <x:v>S1</x:v>
      </x:c>
    </x:row>
    <x:row r="189" ht="48" customHeight="1">
      <x:c r="A189" s="19" t="str">
        <x:v>Ofar-4</x:v>
      </x:c>
      <x:c r="B189" s="19" t="str">
        <x:v>天灾军团</x:v>
      </x:c>
      <x:c r="C189" s="19" t="str">
        <x:v>暮光酒馆</x:v>
      </x:c>
      <x:c r="D189" s="19" t="str">
        <x:v>潮汐猎人</x:v>
      </x:c>
      <x:c r="E189" s="19" t="str">
        <x:v>Tidehunter</x:v>
      </x:c>
      <x:c r="F189" s="19" t="str">
        <x:v>Ofar</x:v>
      </x:c>
      <x:c r="G189" s="19" t="str">
        <x:v>Leviathan</x:v>
      </x:c>
      <x:c r="H189" s="19" t="str">
        <x:v>STR</x:v>
      </x:c>
      <x:c r="I189" s="19" t="str">
        <x:v>近战</x:v>
      </x:c>
      <x:c r="J189" s="19" t="n">
        <x:v>4</x:v>
      </x:c>
      <x:c r="K189" s="19" t="str">
        <x:v>Ravage</x:v>
      </x:c>
      <x:c r="L189" s="19" t="str">
        <x:v>A03Z</x:v>
      </x:c>
      <x:c r="M189" s="49" t="str">
        <x:v>是</x:v>
      </x:c>
      <x:c r="N189" s="49" t="n">
        <x:v>3</x:v>
      </x:c>
      <x:c r="O189" s="49" t="n">
        <x:v>6</x:v>
      </x:c>
      <x:c r="P189" s="49" t="n">
        <x:v>5</x:v>
      </x:c>
      <x:c r="Q189" s="19" t="str">
        <x:v>主动</x:v>
      </x:c>
      <x:c r="R189" s="19" t="str">
        <x:v>无目标/范围</x:v>
      </x:c>
      <x:c r="S189" s="19" t="str">
        <x:v>硬控</x:v>
      </x:c>
      <x:c r="T189" s="19" t="str">
        <x:v>伤害、硬控、范围效果</x:v>
      </x:c>
      <x:c r="U189" s="48" t="str">
        <x:v>主动；无目标/范围；主分类：硬控；标签：伤害、硬控、范围效果</x:v>
      </x:c>
      <x:c r="V189" s="48" t="str">
        <x:v>150/225/325</x:v>
      </x:c>
      <x:c r="W189" s="48" t="str">
        <x:v>150/150/150</x:v>
      </x:c>
      <x:c r="X189" s="48" t="str">
        <x:v>—/—/—</x:v>
      </x:c>
      <x:c r="Y189" s="48" t="str">
        <x:v>1/1/1</x:v>
      </x:c>
      <x:c r="Z189" s="48" t="str">
        <x:v>0.01/0.01/0.01</x:v>
      </x:c>
      <x:c r="AA189" s="48" t="str">
        <x:v>0.01/0.01/0.01</x:v>
      </x:c>
      <x:c r="AB189" s="48" t="str">
        <x:v>ground,organic/ground,organic/ground,organic</x:v>
      </x:c>
      <x:c r="AC189" s="48" t="str">
        <x:v>主动；无目标/范围；主分类：硬控；标签：伤害、硬控、范围效果；等级：3；魔耗：150/225/325；冷却：150/150/150；施法距离：—/—/—；作用范围：1/1/1；持续时间：0.01/0.01/0.01。</x:v>
      </x:c>
      <x:c r="AD189" s="48" t="str">
        <x:v>1 / 250 / 1.2 / 2 / 350 / 1.5 / 3 / 450 / 1.8 / 150 / 4</x:v>
      </x:c>
      <x:c r="AE189" s="48" t="str">
        <x:v>A</x:v>
      </x:c>
      <x:c r="AF189" s="48" t="str">
        <x:v>6.48b 地图内 UnitAbilities/AbilityData/AbilityStrings 与对象修改表</x:v>
      </x:c>
      <x:c r="AG189" s="18" t="str">
        <x:v>S1</x:v>
      </x:c>
    </x:row>
    <x:row r="190" ht="48" customHeight="1">
      <x:c r="A190" s="19" t="str">
        <x:v>H00H-1</x:v>
      </x:c>
      <x:c r="B190" s="19" t="str">
        <x:v>天灾军团</x:v>
      </x:c>
      <x:c r="C190" s="19" t="str">
        <x:v>暮光酒馆</x:v>
      </x:c>
      <x:c r="D190" s="19" t="str">
        <x:v>遗忘法师</x:v>
      </x:c>
      <x:c r="E190" s="19" t="str">
        <x:v>Oblivion</x:v>
      </x:c>
      <x:c r="F190" s="19" t="str">
        <x:v>H00H</x:v>
      </x:c>
      <x:c r="G190" s="19" t="str">
        <x:v>Pugna</x:v>
      </x:c>
      <x:c r="H190" s="19" t="str">
        <x:v>INT</x:v>
      </x:c>
      <x:c r="I190" s="19" t="str">
        <x:v>远程</x:v>
      </x:c>
      <x:c r="J190" s="19" t="n">
        <x:v>1</x:v>
      </x:c>
      <x:c r="K190" s="19" t="str">
        <x:v>Nether Blast</x:v>
      </x:c>
      <x:c r="L190" s="19" t="str">
        <x:v>A0MT</x:v>
      </x:c>
      <x:c r="M190" s="49" t="str">
        <x:v>否</x:v>
      </x:c>
      <x:c r="N190" s="49" t="n">
        <x:v>4</x:v>
      </x:c>
      <x:c r="O190" s="49" t="n">
        <x:v>1</x:v>
      </x:c>
      <x:c r="P190" s="49" t="n">
        <x:v>2</x:v>
      </x:c>
      <x:c r="Q190" s="19" t="str">
        <x:v>主动</x:v>
      </x:c>
      <x:c r="R190" s="19" t="str">
        <x:v>无目标/范围</x:v>
      </x:c>
      <x:c r="S190" s="19" t="str">
        <x:v>伤害</x:v>
      </x:c>
      <x:c r="T190" s="19" t="str">
        <x:v>伤害、范围效果</x:v>
      </x:c>
      <x:c r="U190" s="48" t="str">
        <x:v>主动；无目标/范围；主分类：伤害；标签：伤害、范围效果</x:v>
      </x:c>
      <x:c r="V190" s="48" t="str">
        <x:v>85/105/125/145</x:v>
      </x:c>
      <x:c r="W190" s="48" t="str">
        <x:v>5.5/5.5/5.5/5.5</x:v>
      </x:c>
      <x:c r="X190" s="48" t="str">
        <x:v>400/400/400/400</x:v>
      </x:c>
      <x:c r="Y190" s="48" t="str">
        <x:v>400/400/400/400</x:v>
      </x:c>
      <x:c r="Z190" s="48" t="str">
        <x:v>—/—/—/—</x:v>
      </x:c>
      <x:c r="AA190" s="48" t="str">
        <x:v>—/—/—/—</x:v>
      </x:c>
      <x:c r="AB190" s="48" t="str">
        <x:v>enemies/enemies/enemies/enemies</x:v>
      </x:c>
      <x:c r="AC190" s="48" t="str">
        <x:v>主动；无目标/范围；主分类：伤害；标签：伤害、范围效果；等级：4；魔耗：85/105/125/145；冷却：5.5/5.5/5.5/5.5；施法距离：400/400/400/400；作用范围：400/400/400/400；持续时间：—/—/—/—。</x:v>
      </x:c>
      <x:c r="AD190" s="48" t="str">
        <x:v>1 / 100 / 2 / 175 / 3 / 250 / 4 / 325 / 5.5 / 40 / 60 / 80</x:v>
      </x:c>
      <x:c r="AE190" s="48" t="str">
        <x:v>A</x:v>
      </x:c>
      <x:c r="AF190" s="48" t="str">
        <x:v>6.48b 地图内 UnitAbilities/AbilityData/AbilityStrings 与对象修改表</x:v>
      </x:c>
      <x:c r="AG190" s="18" t="str">
        <x:v>S1</x:v>
      </x:c>
    </x:row>
    <x:row r="191" ht="48" customHeight="1">
      <x:c r="A191" s="19" t="str">
        <x:v>H00H-2</x:v>
      </x:c>
      <x:c r="B191" s="19" t="str">
        <x:v>天灾军团</x:v>
      </x:c>
      <x:c r="C191" s="19" t="str">
        <x:v>暮光酒馆</x:v>
      </x:c>
      <x:c r="D191" s="19" t="str">
        <x:v>遗忘法师</x:v>
      </x:c>
      <x:c r="E191" s="19" t="str">
        <x:v>Oblivion</x:v>
      </x:c>
      <x:c r="F191" s="19" t="str">
        <x:v>H00H</x:v>
      </x:c>
      <x:c r="G191" s="19" t="str">
        <x:v>Pugna</x:v>
      </x:c>
      <x:c r="H191" s="19" t="str">
        <x:v>INT</x:v>
      </x:c>
      <x:c r="I191" s="19" t="str">
        <x:v>远程</x:v>
      </x:c>
      <x:c r="J191" s="19" t="n">
        <x:v>2</x:v>
      </x:c>
      <x:c r="K191" s="19" t="str">
        <x:v>Decrepify</x:v>
      </x:c>
      <x:c r="L191" s="19" t="str">
        <x:v>A0CE</x:v>
      </x:c>
      <x:c r="M191" s="49" t="str">
        <x:v>否</x:v>
      </x:c>
      <x:c r="N191" s="49" t="n">
        <x:v>4</x:v>
      </x:c>
      <x:c r="O191" s="49" t="n">
        <x:v>1</x:v>
      </x:c>
      <x:c r="P191" s="49" t="n">
        <x:v>2</x:v>
      </x:c>
      <x:c r="Q191" s="19" t="str">
        <x:v>主动</x:v>
      </x:c>
      <x:c r="R191" s="19" t="str">
        <x:v>无目标或脚本目标</x:v>
      </x:c>
      <x:c r="S191" s="19" t="str">
        <x:v>软控</x:v>
      </x:c>
      <x:c r="T191" s="19" t="str">
        <x:v>伤害、软控、强化</x:v>
      </x:c>
      <x:c r="U191" s="48" t="str">
        <x:v>主动；无目标或脚本目标；主分类：软控；标签：伤害、软控、强化</x:v>
      </x:c>
      <x:c r="V191" s="48" t="str">
        <x:v>100/100/100/100</x:v>
      </x:c>
      <x:c r="W191" s="48" t="str">
        <x:v>13/11/9/7</x:v>
      </x:c>
      <x:c r="X191" s="48" t="str">
        <x:v>550/550/550/550</x:v>
      </x:c>
      <x:c r="Y191" s="48" t="str">
        <x:v>—/—/—/—</x:v>
      </x:c>
      <x:c r="Z191" s="48" t="str">
        <x:v>2/2.5/3/3.5</x:v>
      </x:c>
      <x:c r="AA191" s="48" t="str">
        <x:v>2/2.5/3/3.5</x:v>
      </x:c>
      <x:c r="AB191" s="48" t="str">
        <x:v>air,ground,nonsapper,organic/air,ground,nonsapper,organic/air,ground,nonsapper,organic/air,ground,nonsapper,organic</x:v>
      </x:c>
      <x:c r="AC191" s="48" t="str">
        <x:v>主动；无目标或脚本目标；主分类：软控；标签：伤害、软控、强化；等级：4；魔耗：100/100/100/100；冷却：13/11/9/7；施法距离：550/550/550/550；作用范围：—/—/—/—；持续时间：2/2.5/3/3.5。</x:v>
      </x:c>
      <x:c r="AD191" s="48" t="str">
        <x:v>50% / 44% / 1 / 2 / 2.5 / 3 / 4 / 3.5 / 13 / 11 / 9 / 7</x:v>
      </x:c>
      <x:c r="AE191" s="48" t="str">
        <x:v>A</x:v>
      </x:c>
      <x:c r="AF191" s="48" t="str">
        <x:v>6.48b 地图内 UnitAbilities/AbilityData/AbilityStrings 与对象修改表</x:v>
      </x:c>
      <x:c r="AG191" s="18" t="str">
        <x:v>S1</x:v>
      </x:c>
    </x:row>
    <x:row r="192" ht="48" customHeight="1">
      <x:c r="A192" s="19" t="str">
        <x:v>H00H-3</x:v>
      </x:c>
      <x:c r="B192" s="19" t="str">
        <x:v>天灾军团</x:v>
      </x:c>
      <x:c r="C192" s="19" t="str">
        <x:v>暮光酒馆</x:v>
      </x:c>
      <x:c r="D192" s="19" t="str">
        <x:v>遗忘法师</x:v>
      </x:c>
      <x:c r="E192" s="19" t="str">
        <x:v>Oblivion</x:v>
      </x:c>
      <x:c r="F192" s="19" t="str">
        <x:v>H00H</x:v>
      </x:c>
      <x:c r="G192" s="19" t="str">
        <x:v>Pugna</x:v>
      </x:c>
      <x:c r="H192" s="19" t="str">
        <x:v>INT</x:v>
      </x:c>
      <x:c r="I192" s="19" t="str">
        <x:v>远程</x:v>
      </x:c>
      <x:c r="J192" s="19" t="n">
        <x:v>3</x:v>
      </x:c>
      <x:c r="K192" s="19" t="str">
        <x:v>Nether Ward</x:v>
      </x:c>
      <x:c r="L192" s="19" t="str">
        <x:v>A09D</x:v>
      </x:c>
      <x:c r="M192" s="49" t="str">
        <x:v>否</x:v>
      </x:c>
      <x:c r="N192" s="49" t="n">
        <x:v>4</x:v>
      </x:c>
      <x:c r="O192" s="49" t="n">
        <x:v>1</x:v>
      </x:c>
      <x:c r="P192" s="49" t="n">
        <x:v>2</x:v>
      </x:c>
      <x:c r="Q192" s="19" t="str">
        <x:v>主动</x:v>
      </x:c>
      <x:c r="R192" s="19" t="str">
        <x:v>无目标或脚本目标</x:v>
      </x:c>
      <x:c r="S192" s="19" t="str">
        <x:v>召唤</x:v>
      </x:c>
      <x:c r="T192" s="19" t="str">
        <x:v>伤害、治疗/回复、召唤、强化、削弱、资源机制、范围效果</x:v>
      </x:c>
      <x:c r="U192" s="48" t="str">
        <x:v>主动；无目标或脚本目标；主分类：召唤；标签：伤害、治疗/回复、召唤、强化、削弱、资源机制、范围效果</x:v>
      </x:c>
      <x:c r="V192" s="48" t="str">
        <x:v>80/80/80/80</x:v>
      </x:c>
      <x:c r="W192" s="48" t="str">
        <x:v>35/35/35/35</x:v>
      </x:c>
      <x:c r="X192" s="48" t="str">
        <x:v>—/—/—/—</x:v>
      </x:c>
      <x:c r="Y192" s="48" t="str">
        <x:v>100/100/100/100</x:v>
      </x:c>
      <x:c r="Z192" s="48" t="str">
        <x:v>25/25/25/25</x:v>
      </x:c>
      <x:c r="AA192" s="48" t="str">
        <x:v>25/25/25/25</x:v>
      </x:c>
      <x:c r="AB192" s="48" t="str">
        <x:v>—/—/—/—</x:v>
      </x:c>
      <x:c r="AC192" s="48" t="str">
        <x:v>主动；无目标或脚本目标；主分类：召唤；标签：伤害、治疗/回复、召唤、强化、削弱、资源机制、范围效果；等级：4；魔耗：80/80/80/80；冷却：35/35/35/35；施法距离：—/—/—/—；作用范围：100/100/100/100；持续时间：25/25/25/25。</x:v>
      </x:c>
      <x:c r="AD192" s="48" t="str">
        <x:v>25 / 35 / 1 / 75 / 150% / 0.75 / 700 / 2 / 150 / 300% / 1000 / 3 / 225 / 450% / 1.25 / 1300 / 4 / 300 / 600% / 1.5 / 1600</x:v>
      </x:c>
      <x:c r="AE192" s="48" t="str">
        <x:v>A</x:v>
      </x:c>
      <x:c r="AF192" s="48" t="str">
        <x:v>6.48b 地图内 UnitAbilities/AbilityData/AbilityStrings 与对象修改表</x:v>
      </x:c>
      <x:c r="AG192" s="18" t="str">
        <x:v>S1</x:v>
      </x:c>
    </x:row>
    <x:row r="193" ht="48" customHeight="1">
      <x:c r="A193" s="19" t="str">
        <x:v>H00H-4</x:v>
      </x:c>
      <x:c r="B193" s="19" t="str">
        <x:v>天灾军团</x:v>
      </x:c>
      <x:c r="C193" s="19" t="str">
        <x:v>暮光酒馆</x:v>
      </x:c>
      <x:c r="D193" s="19" t="str">
        <x:v>遗忘法师</x:v>
      </x:c>
      <x:c r="E193" s="19" t="str">
        <x:v>Oblivion</x:v>
      </x:c>
      <x:c r="F193" s="19" t="str">
        <x:v>H00H</x:v>
      </x:c>
      <x:c r="G193" s="19" t="str">
        <x:v>Pugna</x:v>
      </x:c>
      <x:c r="H193" s="19" t="str">
        <x:v>INT</x:v>
      </x:c>
      <x:c r="I193" s="19" t="str">
        <x:v>远程</x:v>
      </x:c>
      <x:c r="J193" s="19" t="n">
        <x:v>4</x:v>
      </x:c>
      <x:c r="K193" s="19" t="str">
        <x:v>Life Drain</x:v>
      </x:c>
      <x:c r="L193" s="19" t="str">
        <x:v>A0CC</x:v>
      </x:c>
      <x:c r="M193" s="49" t="str">
        <x:v>是</x:v>
      </x:c>
      <x:c r="N193" s="49" t="n">
        <x:v>3</x:v>
      </x:c>
      <x:c r="O193" s="49" t="n">
        <x:v>6</x:v>
      </x:c>
      <x:c r="P193" s="49" t="n">
        <x:v>5</x:v>
      </x:c>
      <x:c r="Q193" s="19" t="str">
        <x:v>主动</x:v>
      </x:c>
      <x:c r="R193" s="19" t="str">
        <x:v>单位目标</x:v>
      </x:c>
      <x:c r="S193" s="19" t="str">
        <x:v>召唤</x:v>
      </x:c>
      <x:c r="T193" s="19" t="str">
        <x:v>防御/生存、召唤、强化、削弱、持续施法</x:v>
      </x:c>
      <x:c r="U193" s="48" t="str">
        <x:v>主动；单位目标；主分类：召唤；标签：防御/生存、召唤、强化、削弱、持续施法</x:v>
      </x:c>
      <x:c r="V193" s="48" t="str">
        <x:v>125/175/225</x:v>
      </x:c>
      <x:c r="W193" s="48" t="str">
        <x:v>22/22/22</x:v>
      </x:c>
      <x:c r="X193" s="48" t="str">
        <x:v>500/500/500</x:v>
      </x:c>
      <x:c r="Y193" s="48" t="str">
        <x:v>800/800/800</x:v>
      </x:c>
      <x:c r="Z193" s="48" t="str">
        <x:v>9/9/9</x:v>
      </x:c>
      <x:c r="AA193" s="48" t="str">
        <x:v>9/9/9</x:v>
      </x:c>
      <x:c r="AB193" s="48" t="str">
        <x:v>air,ground,organic/air,ground,organic/air,ground,organic</x:v>
      </x:c>
      <x:c r="AC193" s="48" t="str">
        <x:v>主动；单位目标；主分类：召唤；标签：防御/生存、召唤、强化、削弱、持续施法；等级：3；魔耗：125/175/225；冷却：22/22/22；施法距离：500/500/500；作用范围：800/800/800；持续时间：9/9/9。</x:v>
      </x:c>
      <x:c r="AD193" s="48" t="str">
        <x:v>9 / 1 / 95 / 2 / 140 / 3 / 185 / 22</x:v>
      </x:c>
      <x:c r="AE193" s="48" t="str">
        <x:v>A</x:v>
      </x:c>
      <x:c r="AF193" s="48" t="str">
        <x:v>6.48b 地图内 UnitAbilities/AbilityData/AbilityStrings 与对象修改表</x:v>
      </x:c>
      <x:c r="AG193" s="18" t="str">
        <x:v>S1</x:v>
      </x:c>
    </x:row>
    <x:row r="194" ht="48" customHeight="1">
      <x:c r="A194" s="19" t="str">
        <x:v>H00K-1</x:v>
      </x:c>
      <x:c r="B194" s="19" t="str">
        <x:v>近卫军团</x:v>
      </x:c>
      <x:c r="C194" s="19" t="str">
        <x:v>日出酒馆</x:v>
      </x:c>
      <x:c r="D194" s="19" t="str">
        <x:v>哥布林工程师</x:v>
      </x:c>
      <x:c r="E194" s="19" t="str">
        <x:v>Goblin Techies</x:v>
      </x:c>
      <x:c r="F194" s="19" t="str">
        <x:v>H00K</x:v>
      </x:c>
      <x:c r="G194" s="19" t="str">
        <x:v>Squee and Spleen</x:v>
      </x:c>
      <x:c r="H194" s="19" t="str">
        <x:v>INT</x:v>
      </x:c>
      <x:c r="I194" s="19" t="str">
        <x:v>远程</x:v>
      </x:c>
      <x:c r="J194" s="19" t="n">
        <x:v>1</x:v>
      </x:c>
      <x:c r="K194" s="19" t="str">
        <x:v>Stasis Trap</x:v>
      </x:c>
      <x:c r="L194" s="19" t="str">
        <x:v>A06H</x:v>
      </x:c>
      <x:c r="M194" s="49" t="str">
        <x:v>否</x:v>
      </x:c>
      <x:c r="N194" s="49" t="n">
        <x:v>4</x:v>
      </x:c>
      <x:c r="O194" s="49" t="n">
        <x:v>1</x:v>
      </x:c>
      <x:c r="P194" s="49" t="n">
        <x:v>2</x:v>
      </x:c>
      <x:c r="Q194" s="19" t="str">
        <x:v>主动</x:v>
      </x:c>
      <x:c r="R194" s="19" t="str">
        <x:v>无目标/范围</x:v>
      </x:c>
      <x:c r="S194" s="19" t="str">
        <x:v>召唤</x:v>
      </x:c>
      <x:c r="T194" s="19" t="str">
        <x:v>硬控、召唤、隐身、范围效果</x:v>
      </x:c>
      <x:c r="U194" s="48" t="str">
        <x:v>主动；无目标/范围；主分类：召唤；标签：硬控、召唤、隐身、范围效果</x:v>
      </x:c>
      <x:c r="V194" s="48" t="str">
        <x:v>80/110/140/160</x:v>
      </x:c>
      <x:c r="W194" s="48" t="str">
        <x:v>20/16/13/10</x:v>
      </x:c>
      <x:c r="X194" s="48" t="str">
        <x:v>150/150/150/150</x:v>
      </x:c>
      <x:c r="Y194" s="48" t="str">
        <x:v>—/—/—/—</x:v>
      </x:c>
      <x:c r="Z194" s="48" t="str">
        <x:v>270/300/330/360</x:v>
      </x:c>
      <x:c r="AA194" s="48" t="str">
        <x:v>3/4/5/6</x:v>
      </x:c>
      <x:c r="AB194" s="48" t="str">
        <x:v>air,enemies,ground,neutral/air,enemies,ground,neutral/air,enemies,ground,neutral/air,enemies,ground,neutral</x:v>
      </x:c>
      <x:c r="AC194" s="48" t="str">
        <x:v>主动；无目标/范围；主分类：召唤；标签：硬控、召唤、隐身、范围效果；等级：4；魔耗：80/110/140/160；冷却：20/16/13/10；施法距离：150/150/150/150；作用范围：—/—/—/—；持续时间：270/300/330/360。</x:v>
      </x:c>
      <x:c r="AD194" s="48" t="str">
        <x:v>1 / 3 / 2 / 4 / 5 / 6 / 20 / 16 / 13 / 10</x:v>
      </x:c>
      <x:c r="AE194" s="48" t="str">
        <x:v>A</x:v>
      </x:c>
      <x:c r="AF194" s="48" t="str">
        <x:v>6.48b 地图内 UnitAbilities/AbilityData/AbilityStrings 与对象修改表</x:v>
      </x:c>
      <x:c r="AG194" s="18" t="str">
        <x:v>S1</x:v>
      </x:c>
    </x:row>
    <x:row r="195" ht="48" customHeight="1">
      <x:c r="A195" s="19" t="str">
        <x:v>H00K-2</x:v>
      </x:c>
      <x:c r="B195" s="19" t="str">
        <x:v>近卫军团</x:v>
      </x:c>
      <x:c r="C195" s="19" t="str">
        <x:v>日出酒馆</x:v>
      </x:c>
      <x:c r="D195" s="19" t="str">
        <x:v>哥布林工程师</x:v>
      </x:c>
      <x:c r="E195" s="19" t="str">
        <x:v>Goblin Techies</x:v>
      </x:c>
      <x:c r="F195" s="19" t="str">
        <x:v>H00K</x:v>
      </x:c>
      <x:c r="G195" s="19" t="str">
        <x:v>Squee and Spleen</x:v>
      </x:c>
      <x:c r="H195" s="19" t="str">
        <x:v>INT</x:v>
      </x:c>
      <x:c r="I195" s="19" t="str">
        <x:v>远程</x:v>
      </x:c>
      <x:c r="J195" s="19" t="n">
        <x:v>2</x:v>
      </x:c>
      <x:c r="K195" s="19" t="str">
        <x:v>Suicide Squad, Attack!</x:v>
      </x:c>
      <x:c r="L195" s="19" t="str">
        <x:v>A06B</x:v>
      </x:c>
      <x:c r="M195" s="49" t="str">
        <x:v>否</x:v>
      </x:c>
      <x:c r="N195" s="49" t="n">
        <x:v>4</x:v>
      </x:c>
      <x:c r="O195" s="49" t="n">
        <x:v>1</x:v>
      </x:c>
      <x:c r="P195" s="49" t="n">
        <x:v>2</x:v>
      </x:c>
      <x:c r="Q195" s="19" t="str">
        <x:v>主动</x:v>
      </x:c>
      <x:c r="R195" s="19" t="str">
        <x:v>无目标/范围</x:v>
      </x:c>
      <x:c r="S195" s="19" t="str">
        <x:v>伤害</x:v>
      </x:c>
      <x:c r="T195" s="19" t="str">
        <x:v>伤害、范围效果</x:v>
      </x:c>
      <x:c r="U195" s="48" t="str">
        <x:v>主动；无目标/范围；主分类：伤害；标签：伤害、范围效果</x:v>
      </x:c>
      <x:c r="V195" s="48" t="str">
        <x:v>100/125/150/175</x:v>
      </x:c>
      <x:c r="W195" s="48" t="str">
        <x:v>75/75/75/75</x:v>
      </x:c>
      <x:c r="X195" s="48" t="str">
        <x:v>—/—/—/—</x:v>
      </x:c>
      <x:c r="Y195" s="48" t="str">
        <x:v>—/—/—/—</x:v>
      </x:c>
      <x:c r="Z195" s="48" t="str">
        <x:v>0.1/0.1/0.1/0.1</x:v>
      </x:c>
      <x:c r="AA195" s="48" t="str">
        <x:v>0.1/0.1/0.1/0.1</x:v>
      </x:c>
      <x:c r="AB195" s="48" t="str">
        <x:v>debris,enemies,ground,neutral,nonancient,structure,tree/debris,enemies,ground,neutral,nonancient,structure,tree/debris,enemies,ground,neutral,nonancient,structure,tree/debris,enemies,ground,neutral,nonancient,structure,tree</x:v>
      </x:c>
      <x:c r="AC195" s="48" t="str">
        <x:v>主动；无目标/范围；主分类：伤害；标签：伤害、范围效果；等级：4；魔耗：100/125/150/175；冷却：75/75/75/75；施法距离：—/—/—/—；作用范围：—/—/—/—；持续时间：0.1/0.1/0.1/0.1。</x:v>
      </x:c>
      <x:c r="AD195" s="48" t="str">
        <x:v>1 / 650 / 2 / 850 / 3 / 1150 / 4 / 1550 / 75</x:v>
      </x:c>
      <x:c r="AE195" s="48" t="str">
        <x:v>A</x:v>
      </x:c>
      <x:c r="AF195" s="48" t="str">
        <x:v>6.48b 地图内 UnitAbilities/AbilityData/AbilityStrings 与对象修改表</x:v>
      </x:c>
      <x:c r="AG195" s="18" t="str">
        <x:v>S1</x:v>
      </x:c>
    </x:row>
    <x:row r="196" ht="48" customHeight="1">
      <x:c r="A196" s="19" t="str">
        <x:v>H00K-3</x:v>
      </x:c>
      <x:c r="B196" s="19" t="str">
        <x:v>近卫军团</x:v>
      </x:c>
      <x:c r="C196" s="19" t="str">
        <x:v>日出酒馆</x:v>
      </x:c>
      <x:c r="D196" s="19" t="str">
        <x:v>哥布林工程师</x:v>
      </x:c>
      <x:c r="E196" s="19" t="str">
        <x:v>Goblin Techies</x:v>
      </x:c>
      <x:c r="F196" s="19" t="str">
        <x:v>H00K</x:v>
      </x:c>
      <x:c r="G196" s="19" t="str">
        <x:v>Squee and Spleen</x:v>
      </x:c>
      <x:c r="H196" s="19" t="str">
        <x:v>INT</x:v>
      </x:c>
      <x:c r="I196" s="19" t="str">
        <x:v>远程</x:v>
      </x:c>
      <x:c r="J196" s="19" t="n">
        <x:v>3</x:v>
      </x:c>
      <x:c r="K196" s="19" t="str">
        <x:v>Remote Mines</x:v>
      </x:c>
      <x:c r="L196" s="19" t="str">
        <x:v>A0AK</x:v>
      </x:c>
      <x:c r="M196" s="49" t="str">
        <x:v>是</x:v>
      </x:c>
      <x:c r="N196" s="49" t="n">
        <x:v>3</x:v>
      </x:c>
      <x:c r="O196" s="49" t="n">
        <x:v>6</x:v>
      </x:c>
      <x:c r="P196" s="49" t="n">
        <x:v>5</x:v>
      </x:c>
      <x:c r="Q196" s="19" t="str">
        <x:v>主动</x:v>
      </x:c>
      <x:c r="R196" s="19" t="str">
        <x:v>无目标或脚本目标</x:v>
      </x:c>
      <x:c r="S196" s="19" t="str">
        <x:v>伤害</x:v>
      </x:c>
      <x:c r="T196" s="19" t="str">
        <x:v>伤害、隐身</x:v>
      </x:c>
      <x:c r="U196" s="48" t="str">
        <x:v>主动；无目标或脚本目标；主分类：伤害；标签：伤害、隐身</x:v>
      </x:c>
      <x:c r="V196" s="48" t="str">
        <x:v>200/240/300</x:v>
      </x:c>
      <x:c r="W196" s="48" t="str">
        <x:v>10/10/10</x:v>
      </x:c>
      <x:c r="X196" s="48" t="str">
        <x:v>500/500/500</x:v>
      </x:c>
      <x:c r="Y196" s="48" t="str">
        <x:v>—/—/—</x:v>
      </x:c>
      <x:c r="Z196" s="48" t="str">
        <x:v>480/480/480</x:v>
      </x:c>
      <x:c r="AA196" s="48" t="str">
        <x:v>480/480/480</x:v>
      </x:c>
      <x:c r="AB196" s="48" t="str">
        <x:v>—/—/—</x:v>
      </x:c>
      <x:c r="AC196" s="48" t="str">
        <x:v>主动；无目标或脚本目标；主分类：伤害；标签：伤害、隐身；等级：3；魔耗：200/240/300；冷却：10/10/10；施法距离：500/500/500；作用范围：—/—/—；持续时间：480/480/480。</x:v>
      </x:c>
      <x:c r="AD196" s="48" t="str">
        <x:v>8 / 1 / 300 / 2 / 450 / 3 / 600 / 10</x:v>
      </x:c>
      <x:c r="AE196" s="48" t="str">
        <x:v>A</x:v>
      </x:c>
      <x:c r="AF196" s="48" t="str">
        <x:v>6.48b 地图内 UnitAbilities/AbilityData/AbilityStrings 与对象修改表</x:v>
      </x:c>
      <x:c r="AG196" s="18" t="str">
        <x:v>S1</x:v>
      </x:c>
    </x:row>
    <x:row r="197" ht="48" customHeight="1">
      <x:c r="A197" s="19" t="str">
        <x:v>H00K-4</x:v>
      </x:c>
      <x:c r="B197" s="19" t="str">
        <x:v>近卫军团</x:v>
      </x:c>
      <x:c r="C197" s="19" t="str">
        <x:v>日出酒馆</x:v>
      </x:c>
      <x:c r="D197" s="19" t="str">
        <x:v>哥布林工程师</x:v>
      </x:c>
      <x:c r="E197" s="19" t="str">
        <x:v>Goblin Techies</x:v>
      </x:c>
      <x:c r="F197" s="19" t="str">
        <x:v>H00K</x:v>
      </x:c>
      <x:c r="G197" s="19" t="str">
        <x:v>Squee and Spleen</x:v>
      </x:c>
      <x:c r="H197" s="19" t="str">
        <x:v>INT</x:v>
      </x:c>
      <x:c r="I197" s="19" t="str">
        <x:v>远程</x:v>
      </x:c>
      <x:c r="J197" s="19" t="n">
        <x:v>4</x:v>
      </x:c>
      <x:c r="K197" s="19" t="str">
        <x:v>Land Mines</x:v>
      </x:c>
      <x:c r="L197" s="19" t="str">
        <x:v>A05J</x:v>
      </x:c>
      <x:c r="M197" s="49" t="str">
        <x:v>否</x:v>
      </x:c>
      <x:c r="N197" s="49" t="n">
        <x:v>4</x:v>
      </x:c>
      <x:c r="O197" s="49" t="n">
        <x:v>1</x:v>
      </x:c>
      <x:c r="P197" s="49" t="n">
        <x:v>2</x:v>
      </x:c>
      <x:c r="Q197" s="19" t="str">
        <x:v>主动</x:v>
      </x:c>
      <x:c r="R197" s="19" t="str">
        <x:v>无目标或脚本目标</x:v>
      </x:c>
      <x:c r="S197" s="19" t="str">
        <x:v>伤害</x:v>
      </x:c>
      <x:c r="T197" s="19" t="str">
        <x:v>伤害、隐身、范围效果</x:v>
      </x:c>
      <x:c r="U197" s="48" t="str">
        <x:v>主动；无目标或脚本目标；主分类：伤害；标签：伤害、隐身、范围效果</x:v>
      </x:c>
      <x:c r="V197" s="48" t="str">
        <x:v>125/150/175/205</x:v>
      </x:c>
      <x:c r="W197" s="48" t="str">
        <x:v>25/20/15/12</x:v>
      </x:c>
      <x:c r="X197" s="48" t="str">
        <x:v>100/100/100/100</x:v>
      </x:c>
      <x:c r="Y197" s="48" t="str">
        <x:v>200/200/200/200</x:v>
      </x:c>
      <x:c r="Z197" s="48" t="str">
        <x:v>—/—/—/—</x:v>
      </x:c>
      <x:c r="AA197" s="48" t="str">
        <x:v>—/—/—/—</x:v>
      </x:c>
      <x:c r="AB197" s="48" t="str">
        <x:v>enemies,hero/enemies,hero/enemies,hero/enemies,hero</x:v>
      </x:c>
      <x:c r="AC197" s="48" t="str">
        <x:v>主动；无目标或脚本目标；主分类：伤害；标签：伤害、隐身、范围效果；等级：4；魔耗：125/150/175/205；冷却：25/20/15/12；施法距离：100/100/100/100；作用范围：200/200/200/200；持续时间：—/—/—/—。</x:v>
      </x:c>
      <x:c r="AD197" s="48" t="str">
        <x:v>300 / 400 / 500 / 600 / 15 / 1 / 25 / 2 / 20 / 3 / 4 / 12</x:v>
      </x:c>
      <x:c r="AE197" s="48" t="str">
        <x:v>A</x:v>
      </x:c>
      <x:c r="AF197" s="48" t="str">
        <x:v>Level-4 text survives in war3map.w3a; cooldown/mana series and mine units are retained in the map tables.</x:v>
      </x:c>
      <x:c r="AG197" s="18" t="str">
        <x:v>S1</x:v>
      </x:c>
    </x:row>
    <x:row r="198" ht="48" customHeight="1">
      <x:c r="A198" s="19" t="str">
        <x:v>Huth-1</x:v>
      </x:c>
      <x:c r="B198" s="19" t="str">
        <x:v>近卫军团</x:v>
      </x:c>
      <x:c r="C198" s="19" t="str">
        <x:v>日出酒馆</x:v>
      </x:c>
      <x:c r="D198" s="19" t="str">
        <x:v>熊战士</x:v>
      </x:c>
      <x:c r="E198" s="19" t="str">
        <x:v>Ursa Warrior</x:v>
      </x:c>
      <x:c r="F198" s="19" t="str">
        <x:v>Huth</x:v>
      </x:c>
      <x:c r="G198" s="19" t="str">
        <x:v>Ulfsaar</x:v>
      </x:c>
      <x:c r="H198" s="19" t="str">
        <x:v>AGI</x:v>
      </x:c>
      <x:c r="I198" s="19" t="str">
        <x:v>近战</x:v>
      </x:c>
      <x:c r="J198" s="19" t="n">
        <x:v>1</x:v>
      </x:c>
      <x:c r="K198" s="19" t="str">
        <x:v>Earthshock</x:v>
      </x:c>
      <x:c r="L198" s="19" t="str">
        <x:v>A03Y</x:v>
      </x:c>
      <x:c r="M198" s="49" t="str">
        <x:v>否</x:v>
      </x:c>
      <x:c r="N198" s="49" t="n">
        <x:v>4</x:v>
      </x:c>
      <x:c r="O198" s="49" t="n">
        <x:v>1</x:v>
      </x:c>
      <x:c r="P198" s="49" t="n">
        <x:v>2</x:v>
      </x:c>
      <x:c r="Q198" s="19" t="str">
        <x:v>主动</x:v>
      </x:c>
      <x:c r="R198" s="19" t="str">
        <x:v>无目标/范围</x:v>
      </x:c>
      <x:c r="S198" s="19" t="str">
        <x:v>软控</x:v>
      </x:c>
      <x:c r="T198" s="19" t="str">
        <x:v>伤害、软控、强化、范围效果</x:v>
      </x:c>
      <x:c r="U198" s="48" t="str">
        <x:v>主动；无目标/范围；主分类：软控；标签：伤害、软控、强化、范围效果</x:v>
      </x:c>
      <x:c r="V198" s="48" t="str">
        <x:v>75/75/75/75</x:v>
      </x:c>
      <x:c r="W198" s="48" t="str">
        <x:v>7/7/7/7</x:v>
      </x:c>
      <x:c r="X198" s="48" t="str">
        <x:v>—/—/—/—</x:v>
      </x:c>
      <x:c r="Y198" s="48" t="str">
        <x:v>365/365/365/365</x:v>
      </x:c>
      <x:c r="Z198" s="48" t="str">
        <x:v>4/4/4/4</x:v>
      </x:c>
      <x:c r="AA198" s="48" t="str">
        <x:v>4/4/4/4</x:v>
      </x:c>
      <x:c r="AB198" s="48" t="str">
        <x:v>ground,neutral,organic/ground,neutral,organic/ground,neutral,organic/ground,neutral,organic</x:v>
      </x:c>
      <x:c r="AC198" s="48" t="str">
        <x:v>主动；无目标/范围；主分类：软控；标签：伤害、软控、强化、范围效果；等级：4；魔耗：75/75/75/75；冷却：7/7/7/7；施法距离：—/—/—/—；作用范围：365/365/365/365；持续时间：4/4/4/4。</x:v>
      </x:c>
      <x:c r="AD198" s="48" t="str">
        <x:v>4 / 1 / 70 / 25% / 2 / 120 / 35% / 3 / 170 / 45% / 220 / 55% / 7</x:v>
      </x:c>
      <x:c r="AE198" s="48" t="str">
        <x:v>A</x:v>
      </x:c>
      <x:c r="AF198" s="48" t="str">
        <x:v>6.48b 地图内 UnitAbilities/AbilityData/AbilityStrings 与对象修改表</x:v>
      </x:c>
      <x:c r="AG198" s="18" t="str">
        <x:v>S1</x:v>
      </x:c>
    </x:row>
    <x:row r="199" ht="48" customHeight="1">
      <x:c r="A199" s="19" t="str">
        <x:v>Huth-2</x:v>
      </x:c>
      <x:c r="B199" s="19" t="str">
        <x:v>近卫军团</x:v>
      </x:c>
      <x:c r="C199" s="19" t="str">
        <x:v>日出酒馆</x:v>
      </x:c>
      <x:c r="D199" s="19" t="str">
        <x:v>熊战士</x:v>
      </x:c>
      <x:c r="E199" s="19" t="str">
        <x:v>Ursa Warrior</x:v>
      </x:c>
      <x:c r="F199" s="19" t="str">
        <x:v>Huth</x:v>
      </x:c>
      <x:c r="G199" s="19" t="str">
        <x:v>Ulfsaar</x:v>
      </x:c>
      <x:c r="H199" s="19" t="str">
        <x:v>AGI</x:v>
      </x:c>
      <x:c r="I199" s="19" t="str">
        <x:v>近战</x:v>
      </x:c>
      <x:c r="J199" s="19" t="n">
        <x:v>2</x:v>
      </x:c>
      <x:c r="K199" s="19" t="str">
        <x:v>Overpower</x:v>
      </x:c>
      <x:c r="L199" s="19" t="str">
        <x:v>A059</x:v>
      </x:c>
      <x:c r="M199" s="49" t="str">
        <x:v>否</x:v>
      </x:c>
      <x:c r="N199" s="49" t="n">
        <x:v>4</x:v>
      </x:c>
      <x:c r="O199" s="49" t="n">
        <x:v>1</x:v>
      </x:c>
      <x:c r="P199" s="49" t="n">
        <x:v>2</x:v>
      </x:c>
      <x:c r="Q199" s="19" t="str">
        <x:v>开关/自动施放</x:v>
      </x:c>
      <x:c r="R199" s="19" t="str">
        <x:v>单位目标</x:v>
      </x:c>
      <x:c r="S199" s="19" t="str">
        <x:v>软控</x:v>
      </x:c>
      <x:c r="T199" s="19" t="str">
        <x:v>软控、强化</x:v>
      </x:c>
      <x:c r="U199" s="48" t="str">
        <x:v>开关/自动施放；单位目标；主分类：软控；标签：软控、强化</x:v>
      </x:c>
      <x:c r="V199" s="48" t="str">
        <x:v>45/55/65/75</x:v>
      </x:c>
      <x:c r="W199" s="48" t="str">
        <x:v>10/10/10/10</x:v>
      </x:c>
      <x:c r="X199" s="48" t="str">
        <x:v>800/800/800/800</x:v>
      </x:c>
      <x:c r="Y199" s="48" t="str">
        <x:v>—/—/—/—</x:v>
      </x:c>
      <x:c r="Z199" s="48" t="str">
        <x:v>—/—/—/—</x:v>
      </x:c>
      <x:c r="AA199" s="48" t="str">
        <x:v>15/15/15/15</x:v>
      </x:c>
      <x:c r="AB199" s="48" t="str">
        <x:v>air,ground,self/air,ground,self/air,ground,self/air,ground,self</x:v>
      </x:c>
      <x:c r="AC199" s="48" t="str">
        <x:v>开关/自动施放；单位目标；主分类：软控；标签：软控、强化；等级：4；魔耗：45/55/65/75；冷却：10/10/10/10；施法距离：800/800/800/800；作用范围：—/—/—/—；持续时间：—/—/—/—。</x:v>
      </x:c>
      <x:c r="AD199" s="48" t="str">
        <x:v>15 / 5 / 1 / 100% / 2 / 200% / 3 / 300% / 4 / 400% / 10</x:v>
      </x:c>
      <x:c r="AE199" s="48" t="str">
        <x:v>A</x:v>
      </x:c>
      <x:c r="AF199" s="48" t="str">
        <x:v>6.48b 地图内 UnitAbilities/AbilityData/AbilityStrings 与对象修改表</x:v>
      </x:c>
      <x:c r="AG199" s="18" t="str">
        <x:v>S1</x:v>
      </x:c>
    </x:row>
    <x:row r="200" ht="48" customHeight="1">
      <x:c r="A200" s="19" t="str">
        <x:v>Huth-3</x:v>
      </x:c>
      <x:c r="B200" s="19" t="str">
        <x:v>近卫军团</x:v>
      </x:c>
      <x:c r="C200" s="19" t="str">
        <x:v>日出酒馆</x:v>
      </x:c>
      <x:c r="D200" s="19" t="str">
        <x:v>熊战士</x:v>
      </x:c>
      <x:c r="E200" s="19" t="str">
        <x:v>Ursa Warrior</x:v>
      </x:c>
      <x:c r="F200" s="19" t="str">
        <x:v>Huth</x:v>
      </x:c>
      <x:c r="G200" s="19" t="str">
        <x:v>Ulfsaar</x:v>
      </x:c>
      <x:c r="H200" s="19" t="str">
        <x:v>AGI</x:v>
      </x:c>
      <x:c r="I200" s="19" t="str">
        <x:v>近战</x:v>
      </x:c>
      <x:c r="J200" s="19" t="n">
        <x:v>3</x:v>
      </x:c>
      <x:c r="K200" s="19" t="str">
        <x:v>Fury Swipes</x:v>
      </x:c>
      <x:c r="L200" s="19" t="str">
        <x:v>ANic</x:v>
      </x:c>
      <x:c r="M200" s="49" t="str">
        <x:v>否</x:v>
      </x:c>
      <x:c r="N200" s="49" t="n">
        <x:v>4</x:v>
      </x:c>
      <x:c r="O200" s="49" t="n">
        <x:v>1</x:v>
      </x:c>
      <x:c r="P200" s="49" t="n">
        <x:v>2</x:v>
      </x:c>
      <x:c r="Q200" s="19" t="str">
        <x:v>被动</x:v>
      </x:c>
      <x:c r="R200" s="19" t="str">
        <x:v>被动</x:v>
      </x:c>
      <x:c r="S200" s="19" t="str">
        <x:v>强化</x:v>
      </x:c>
      <x:c r="T200" s="19" t="str">
        <x:v>伤害、强化、被动触发</x:v>
      </x:c>
      <x:c r="U200" s="48" t="str">
        <x:v>被动；被动；主分类：强化；标签：伤害、强化、被动触发</x:v>
      </x:c>
      <x:c r="V200" s="48" t="str">
        <x:v>—/—/—/—</x:v>
      </x:c>
      <x:c r="W200" s="48" t="str">
        <x:v>—/—/—/—</x:v>
      </x:c>
      <x:c r="X200" s="48" t="str">
        <x:v>—/—/—/—</x:v>
      </x:c>
      <x:c r="Y200" s="48" t="str">
        <x:v>—/—/—/—</x:v>
      </x:c>
      <x:c r="Z200" s="48" t="str">
        <x:v>3/3/3/3</x:v>
      </x:c>
      <x:c r="AA200" s="48" t="str">
        <x:v>3/3/3/3</x:v>
      </x:c>
      <x:c r="AB200" s="48" t="str">
        <x:v>enemies,neutral,organic/enemies,neutral,organic/enemies,neutral,organic/enemies,neutral,organic</x:v>
      </x:c>
      <x:c r="AC200" s="48" t="str">
        <x:v>被动；被动；主分类：强化；标签：伤害、强化、被动触发；等级：4；魔耗：—/—/—/—；冷却：—/—/—/—；施法距离：—/—/—/—；作用范围：—/—/—/—；持续时间：3/3/3/3。</x:v>
      </x:c>
      <x:c r="AD200" s="48" t="str">
        <x:v>1 / 6 / 2 / 12 / 3 / 18 / 4 / 24</x:v>
      </x:c>
      <x:c r="AE200" s="48" t="str">
        <x:v>A</x:v>
      </x:c>
      <x:c r="AF200" s="48" t="str">
        <x:v>6.48b 地图内 UnitAbilities/AbilityData/AbilityStrings 与对象修改表</x:v>
      </x:c>
      <x:c r="AG200" s="18" t="str">
        <x:v>S1</x:v>
      </x:c>
    </x:row>
    <x:row r="201" ht="48" customHeight="1">
      <x:c r="A201" s="19" t="str">
        <x:v>Huth-4</x:v>
      </x:c>
      <x:c r="B201" s="19" t="str">
        <x:v>近卫军团</x:v>
      </x:c>
      <x:c r="C201" s="19" t="str">
        <x:v>日出酒馆</x:v>
      </x:c>
      <x:c r="D201" s="19" t="str">
        <x:v>熊战士</x:v>
      </x:c>
      <x:c r="E201" s="19" t="str">
        <x:v>Ursa Warrior</x:v>
      </x:c>
      <x:c r="F201" s="19" t="str">
        <x:v>Huth</x:v>
      </x:c>
      <x:c r="G201" s="19" t="str">
        <x:v>Ulfsaar</x:v>
      </x:c>
      <x:c r="H201" s="19" t="str">
        <x:v>AGI</x:v>
      </x:c>
      <x:c r="I201" s="19" t="str">
        <x:v>近战</x:v>
      </x:c>
      <x:c r="J201" s="19" t="n">
        <x:v>4</x:v>
      </x:c>
      <x:c r="K201" s="19" t="str">
        <x:v>Enrage</x:v>
      </x:c>
      <x:c r="L201" s="19" t="str">
        <x:v>A0LC</x:v>
      </x:c>
      <x:c r="M201" s="49" t="str">
        <x:v>是</x:v>
      </x:c>
      <x:c r="N201" s="49" t="n">
        <x:v>3</x:v>
      </x:c>
      <x:c r="O201" s="49" t="n">
        <x:v>6</x:v>
      </x:c>
      <x:c r="P201" s="49" t="n">
        <x:v>5</x:v>
      </x:c>
      <x:c r="Q201" s="19" t="str">
        <x:v>主动</x:v>
      </x:c>
      <x:c r="R201" s="19" t="str">
        <x:v>无目标或脚本目标</x:v>
      </x:c>
      <x:c r="S201" s="19" t="str">
        <x:v>强化</x:v>
      </x:c>
      <x:c r="T201" s="19" t="str">
        <x:v>伤害、强化</x:v>
      </x:c>
      <x:c r="U201" s="48" t="str">
        <x:v>主动；无目标或脚本目标；主分类：强化；标签：伤害、强化</x:v>
      </x:c>
      <x:c r="V201" s="48" t="str">
        <x:v>—/—/—</x:v>
      </x:c>
      <x:c r="W201" s="48" t="str">
        <x:v>25/25/25</x:v>
      </x:c>
      <x:c r="X201" s="48" t="str">
        <x:v>—/—/—</x:v>
      </x:c>
      <x:c r="Y201" s="48" t="str">
        <x:v>—/—/—</x:v>
      </x:c>
      <x:c r="Z201" s="48" t="str">
        <x:v>15/15/15</x:v>
      </x:c>
      <x:c r="AA201" s="48" t="str">
        <x:v>15/15/15</x:v>
      </x:c>
      <x:c r="AB201" s="48" t="str">
        <x:v>—/—/—</x:v>
      </x:c>
      <x:c r="AC201" s="48" t="str">
        <x:v>主动；无目标或脚本目标；主分类：强化；标签：伤害、强化；等级：3；魔耗：—/—/—；冷却：25/25/25；施法距离：—/—/—；作用范围：—/—/—；持续时间：15/15/15。</x:v>
      </x:c>
      <x:c r="AD201" s="48" t="str">
        <x:v>1 / 4% / 2 / 5% / 3 / 6% / 25 / 15</x:v>
      </x:c>
      <x:c r="AE201" s="48" t="str">
        <x:v>A</x:v>
      </x:c>
      <x:c r="AF201" s="48" t="str">
        <x:v>6.48b 地图内 UnitAbilities/AbilityData/AbilityStrings 与对象修改表</x:v>
      </x:c>
      <x:c r="AG201" s="18" t="str">
        <x:v>S1</x:v>
      </x:c>
    </x:row>
    <x:row r="202" ht="48" customHeight="1">
      <x:c r="A202" s="19" t="str">
        <x:v>Ucrl-1</x:v>
      </x:c>
      <x:c r="B202" s="19" t="str">
        <x:v>近卫军团</x:v>
      </x:c>
      <x:c r="C202" s="19" t="str">
        <x:v>日出酒馆</x:v>
      </x:c>
      <x:c r="D202" s="19" t="str">
        <x:v>山岭巨人</x:v>
      </x:c>
      <x:c r="E202" s="19" t="str">
        <x:v>Stone Giant</x:v>
      </x:c>
      <x:c r="F202" s="19" t="str">
        <x:v>Ucrl</x:v>
      </x:c>
      <x:c r="G202" s="19" t="str">
        <x:v>Tiny</x:v>
      </x:c>
      <x:c r="H202" s="19" t="str">
        <x:v>STR</x:v>
      </x:c>
      <x:c r="I202" s="19" t="str">
        <x:v>近战</x:v>
      </x:c>
      <x:c r="J202" s="19" t="n">
        <x:v>1</x:v>
      </x:c>
      <x:c r="K202" s="19" t="str">
        <x:v>Toss</x:v>
      </x:c>
      <x:c r="L202" s="19" t="str">
        <x:v>A0BZ</x:v>
      </x:c>
      <x:c r="M202" s="49" t="str">
        <x:v>否</x:v>
      </x:c>
      <x:c r="N202" s="49" t="n">
        <x:v>4</x:v>
      </x:c>
      <x:c r="O202" s="49" t="n">
        <x:v>1</x:v>
      </x:c>
      <x:c r="P202" s="49" t="n">
        <x:v>2</x:v>
      </x:c>
      <x:c r="Q202" s="19" t="str">
        <x:v>主动</x:v>
      </x:c>
      <x:c r="R202" s="19" t="str">
        <x:v>无目标/范围</x:v>
      </x:c>
      <x:c r="S202" s="19" t="str">
        <x:v>强化</x:v>
      </x:c>
      <x:c r="T202" s="19" t="str">
        <x:v>伤害、强化、范围效果</x:v>
      </x:c>
      <x:c r="U202" s="48" t="str">
        <x:v>主动；无目标/范围；主分类：强化；标签：伤害、强化、范围效果</x:v>
      </x:c>
      <x:c r="V202" s="48" t="str">
        <x:v>120/120/120/120</x:v>
      </x:c>
      <x:c r="W202" s="48" t="str">
        <x:v>15/15/15/15</x:v>
      </x:c>
      <x:c r="X202" s="48" t="str">
        <x:v>500/700/900/1100</x:v>
      </x:c>
      <x:c r="Y202" s="48" t="str">
        <x:v>300/300/300/300</x:v>
      </x:c>
      <x:c r="Z202" s="48" t="str">
        <x:v>—/—/—/—</x:v>
      </x:c>
      <x:c r="AA202" s="48" t="str">
        <x:v>—/—/—/—</x:v>
      </x:c>
      <x:c r="AB202" s="48" t="str">
        <x:v>enemies,friend,ground,nonancient,notself/enemies,friend,ground,nonancient,notself/enemies,friend,ground,nonancient,notself/enemies,friend,ground,nonancient,notself</x:v>
      </x:c>
      <x:c r="AC202" s="48" t="str">
        <x:v>主动；无目标/范围；主分类：强化；标签：伤害、强化、范围效果；等级：4；魔耗：120/120/120/120；冷却：15/15/15/15；施法距离：500/700/900/1100；作用范围：300/300/300/300；持续时间：—/—/—/—。</x:v>
      </x:c>
      <x:c r="AD202" s="48" t="str">
        <x:v>20% / 1 / 500 / 75 / 2 / 700 / 150 / 3 / 900 / 225 / 4 / 1100 / 300 / 15</x:v>
      </x:c>
      <x:c r="AE202" s="48" t="str">
        <x:v>A</x:v>
      </x:c>
      <x:c r="AF202" s="48" t="str">
        <x:v>6.48b 地图内 UnitAbilities/AbilityData/AbilityStrings 与对象修改表</x:v>
      </x:c>
      <x:c r="AG202" s="18" t="str">
        <x:v>S1</x:v>
      </x:c>
    </x:row>
    <x:row r="203" ht="48" customHeight="1">
      <x:c r="A203" s="19" t="str">
        <x:v>Ucrl-2</x:v>
      </x:c>
      <x:c r="B203" s="19" t="str">
        <x:v>近卫军团</x:v>
      </x:c>
      <x:c r="C203" s="19" t="str">
        <x:v>日出酒馆</x:v>
      </x:c>
      <x:c r="D203" s="19" t="str">
        <x:v>山岭巨人</x:v>
      </x:c>
      <x:c r="E203" s="19" t="str">
        <x:v>Stone Giant</x:v>
      </x:c>
      <x:c r="F203" s="19" t="str">
        <x:v>Ucrl</x:v>
      </x:c>
      <x:c r="G203" s="19" t="str">
        <x:v>Tiny</x:v>
      </x:c>
      <x:c r="H203" s="19" t="str">
        <x:v>STR</x:v>
      </x:c>
      <x:c r="I203" s="19" t="str">
        <x:v>近战</x:v>
      </x:c>
      <x:c r="J203" s="19" t="n">
        <x:v>2</x:v>
      </x:c>
      <x:c r="K203" s="19" t="str">
        <x:v>Craggy Exterior</x:v>
      </x:c>
      <x:c r="L203" s="19" t="str">
        <x:v>A0BU</x:v>
      </x:c>
      <x:c r="M203" s="49" t="str">
        <x:v>否</x:v>
      </x:c>
      <x:c r="N203" s="49" t="n">
        <x:v>4</x:v>
      </x:c>
      <x:c r="O203" s="49" t="n">
        <x:v>1</x:v>
      </x:c>
      <x:c r="P203" s="49" t="n">
        <x:v>2</x:v>
      </x:c>
      <x:c r="Q203" s="19" t="str">
        <x:v>被动</x:v>
      </x:c>
      <x:c r="R203" s="19" t="str">
        <x:v>被动</x:v>
      </x:c>
      <x:c r="S203" s="19" t="str">
        <x:v>硬控</x:v>
      </x:c>
      <x:c r="T203" s="19" t="str">
        <x:v>伤害、硬控、被动触发</x:v>
      </x:c>
      <x:c r="U203" s="48" t="str">
        <x:v>被动；被动；主分类：硬控；标签：伤害、硬控、被动触发</x:v>
      </x:c>
      <x:c r="V203" s="48" t="str">
        <x:v>—/—/—/—</x:v>
      </x:c>
      <x:c r="W203" s="48" t="str">
        <x:v>—/—/—/—</x:v>
      </x:c>
      <x:c r="X203" s="48" t="str">
        <x:v>—/—/—/—</x:v>
      </x:c>
      <x:c r="Y203" s="48" t="str">
        <x:v>—/—/—/—</x:v>
      </x:c>
      <x:c r="Z203" s="48" t="str">
        <x:v>—/—/—/—</x:v>
      </x:c>
      <x:c r="AA203" s="48" t="str">
        <x:v>—/—/—/—</x:v>
      </x:c>
      <x:c r="AB203" s="48" t="str">
        <x:v>—/—/—/—</x:v>
      </x:c>
      <x:c r="AC203" s="48" t="str">
        <x:v>被动；被动；主分类：硬控；标签：伤害、硬控、被动触发；等级：4；魔耗：—/—/—/—；冷却：—/—/—/—；施法距离：—/—/—/—；作用范围：—/—/—/—；持续时间：—/—/—/—。</x:v>
      </x:c>
      <x:c r="AD203" s="48" t="str">
        <x:v>1.2 / 1 / 6% / 25 / 2 / 12% / 35 / 3 / 18% / 45 / 4 / 24% / 55</x:v>
      </x:c>
      <x:c r="AE203" s="48" t="str">
        <x:v>A</x:v>
      </x:c>
      <x:c r="AF203" s="48" t="str">
        <x:v>6.48b 地图内 UnitAbilities/AbilityData/AbilityStrings 与对象修改表</x:v>
      </x:c>
      <x:c r="AG203" s="18" t="str">
        <x:v>S1</x:v>
      </x:c>
    </x:row>
    <x:row r="204" ht="48" customHeight="1">
      <x:c r="A204" s="19" t="str">
        <x:v>Ucrl-3</x:v>
      </x:c>
      <x:c r="B204" s="19" t="str">
        <x:v>近卫军团</x:v>
      </x:c>
      <x:c r="C204" s="19" t="str">
        <x:v>日出酒馆</x:v>
      </x:c>
      <x:c r="D204" s="19" t="str">
        <x:v>山岭巨人</x:v>
      </x:c>
      <x:c r="E204" s="19" t="str">
        <x:v>Stone Giant</x:v>
      </x:c>
      <x:c r="F204" s="19" t="str">
        <x:v>Ucrl</x:v>
      </x:c>
      <x:c r="G204" s="19" t="str">
        <x:v>Tiny</x:v>
      </x:c>
      <x:c r="H204" s="19" t="str">
        <x:v>STR</x:v>
      </x:c>
      <x:c r="I204" s="19" t="str">
        <x:v>近战</x:v>
      </x:c>
      <x:c r="J204" s="19" t="n">
        <x:v>3</x:v>
      </x:c>
      <x:c r="K204" s="19" t="str">
        <x:v>Grow</x:v>
      </x:c>
      <x:c r="L204" s="19" t="str">
        <x:v>A0CY</x:v>
      </x:c>
      <x:c r="M204" s="49" t="str">
        <x:v>是</x:v>
      </x:c>
      <x:c r="N204" s="49" t="n">
        <x:v>3</x:v>
      </x:c>
      <x:c r="O204" s="49" t="n">
        <x:v>6</x:v>
      </x:c>
      <x:c r="P204" s="49" t="n">
        <x:v>5</x:v>
      </x:c>
      <x:c r="Q204" s="19" t="str">
        <x:v>被动/脚本触发</x:v>
      </x:c>
      <x:c r="R204" s="19" t="str">
        <x:v>被动</x:v>
      </x:c>
      <x:c r="S204" s="19" t="str">
        <x:v>软控</x:v>
      </x:c>
      <x:c r="T204" s="19" t="str">
        <x:v>伤害、软控、强化、削弱、被动触发</x:v>
      </x:c>
      <x:c r="U204" s="48" t="str">
        <x:v>被动/脚本触发；被动；主分类：软控；标签：伤害、软控、强化、削弱、被动触发</x:v>
      </x:c>
      <x:c r="V204" s="48" t="str">
        <x:v>—/—/—</x:v>
      </x:c>
      <x:c r="W204" s="48" t="str">
        <x:v>—/—/—</x:v>
      </x:c>
      <x:c r="X204" s="48" t="str">
        <x:v>—/—/—</x:v>
      </x:c>
      <x:c r="Y204" s="48" t="str">
        <x:v>900/900/900</x:v>
      </x:c>
      <x:c r="Z204" s="48" t="str">
        <x:v>—/—/—</x:v>
      </x:c>
      <x:c r="AA204" s="48" t="str">
        <x:v>—/—/—</x:v>
      </x:c>
      <x:c r="AB204" s="48" t="str">
        <x:v>self/self/self</x:v>
      </x:c>
      <x:c r="AC204" s="48" t="str">
        <x:v>被动/脚本触发；被动；主分类：软控；标签：伤害、软控、强化、削弱、被动触发；等级：3；魔耗：—/—/—；冷却：—/—/—；施法距离：—/—/—；作用范围：900/900/900；持续时间：—/—/—。</x:v>
      </x:c>
      <x:c r="AD204" s="48" t="str">
        <x:v>1 / 40 / 20% / 2 / 80 / 35% / 3 / 120 / 50%</x:v>
      </x:c>
      <x:c r="AE204" s="48" t="str">
        <x:v>A</x:v>
      </x:c>
      <x:c r="AF204" s="48" t="str">
        <x:v>6.48b 地图内 UnitAbilities/AbilityData/AbilityStrings 与对象修改表</x:v>
      </x:c>
      <x:c r="AG204" s="18" t="str">
        <x:v>S1</x:v>
      </x:c>
    </x:row>
    <x:row r="205" ht="48" customHeight="1">
      <x:c r="A205" s="19" t="str">
        <x:v>Ucrl-4</x:v>
      </x:c>
      <x:c r="B205" s="19" t="str">
        <x:v>近卫军团</x:v>
      </x:c>
      <x:c r="C205" s="19" t="str">
        <x:v>日出酒馆</x:v>
      </x:c>
      <x:c r="D205" s="19" t="str">
        <x:v>山岭巨人</x:v>
      </x:c>
      <x:c r="E205" s="19" t="str">
        <x:v>Stone Giant</x:v>
      </x:c>
      <x:c r="F205" s="19" t="str">
        <x:v>Ucrl</x:v>
      </x:c>
      <x:c r="G205" s="19" t="str">
        <x:v>Tiny</x:v>
      </x:c>
      <x:c r="H205" s="19" t="str">
        <x:v>STR</x:v>
      </x:c>
      <x:c r="I205" s="19" t="str">
        <x:v>近战</x:v>
      </x:c>
      <x:c r="J205" s="19" t="n">
        <x:v>4</x:v>
      </x:c>
      <x:c r="K205" s="19" t="str">
        <x:v>Avalanche</x:v>
      </x:c>
      <x:c r="L205" s="19" t="str">
        <x:v>A0LL</x:v>
      </x:c>
      <x:c r="M205" s="49" t="str">
        <x:v>否</x:v>
      </x:c>
      <x:c r="N205" s="49" t="n">
        <x:v>4</x:v>
      </x:c>
      <x:c r="O205" s="49" t="n">
        <x:v>1</x:v>
      </x:c>
      <x:c r="P205" s="49" t="n">
        <x:v>2</x:v>
      </x:c>
      <x:c r="Q205" s="19" t="str">
        <x:v>主动</x:v>
      </x:c>
      <x:c r="R205" s="19" t="str">
        <x:v>无目标或脚本目标</x:v>
      </x:c>
      <x:c r="S205" s="19" t="str">
        <x:v>硬控</x:v>
      </x:c>
      <x:c r="T205" s="19" t="str">
        <x:v>伤害、硬控、范围效果</x:v>
      </x:c>
      <x:c r="U205" s="48" t="str">
        <x:v>主动；无目标或脚本目标；主分类：硬控；标签：伤害、硬控、范围效果</x:v>
      </x:c>
      <x:c r="V205" s="48" t="str">
        <x:v>120/120/120/120</x:v>
      </x:c>
      <x:c r="W205" s="48" t="str">
        <x:v>20/20/20/20</x:v>
      </x:c>
      <x:c r="X205" s="48" t="str">
        <x:v>600/600/600/600</x:v>
      </x:c>
      <x:c r="Y205" s="48" t="str">
        <x:v>200/200/200/200</x:v>
      </x:c>
      <x:c r="Z205" s="48" t="str">
        <x:v>—/—/—/—</x:v>
      </x:c>
      <x:c r="AA205" s="48" t="str">
        <x:v>—/—/—/—</x:v>
      </x:c>
      <x:c r="AB205" s="48" t="str">
        <x:v>enemies,ground,neutral,organic/enemies,ground,neutral,organic/enemies,ground,neutral,organic/enemies,ground,neutral,organic</x:v>
      </x:c>
      <x:c r="AC205" s="48" t="str">
        <x:v>主动；无目标或脚本目标；主分类：硬控；标签：伤害、硬控、范围效果；等级：4；魔耗：120/120/120/120；冷却：20/20/20/20；施法距离：600/600/600/600；作用范围：200/200/200/200；持续时间：—/—/—/—。</x:v>
      </x:c>
      <x:c r="AD205" s="48" t="str">
        <x:v>1 / 100 / 2 / 180 / 3 / 260 / 4 / 300 / 20</x:v>
      </x:c>
      <x:c r="AE205" s="48" t="str">
        <x:v>A</x:v>
      </x:c>
      <x:c r="AF205" s="48" t="str">
        <x:v>6.48b 地图内 UnitAbilities/AbilityData/AbilityStrings 与对象修改表</x:v>
      </x:c>
      <x:c r="AG205" s="18" t="str">
        <x:v>S1</x:v>
      </x:c>
    </x:row>
    <x:row r="206" ht="48" customHeight="1">
      <x:c r="A206" s="19" t="str">
        <x:v>Emns-1</x:v>
      </x:c>
      <x:c r="B206" s="19" t="str">
        <x:v>近卫军团</x:v>
      </x:c>
      <x:c r="C206" s="19" t="str">
        <x:v>日出酒馆</x:v>
      </x:c>
      <x:c r="D206" s="19" t="str">
        <x:v>先知</x:v>
      </x:c>
      <x:c r="E206" s="19" t="str">
        <x:v>Prophet</x:v>
      </x:c>
      <x:c r="F206" s="19" t="str">
        <x:v>Emns</x:v>
      </x:c>
      <x:c r="G206" s="19" t="str">
        <x:v>Furion</x:v>
      </x:c>
      <x:c r="H206" s="19" t="str">
        <x:v>INT</x:v>
      </x:c>
      <x:c r="I206" s="19" t="str">
        <x:v>远程</x:v>
      </x:c>
      <x:c r="J206" s="19" t="n">
        <x:v>1</x:v>
      </x:c>
      <x:c r="K206" s="19" t="str">
        <x:v>Teleportation</x:v>
      </x:c>
      <x:c r="L206" s="19" t="str">
        <x:v>A01O</x:v>
      </x:c>
      <x:c r="M206" s="49" t="str">
        <x:v>否</x:v>
      </x:c>
      <x:c r="N206" s="49" t="n">
        <x:v>4</x:v>
      </x:c>
      <x:c r="O206" s="49" t="n">
        <x:v>1</x:v>
      </x:c>
      <x:c r="P206" s="49" t="n">
        <x:v>2</x:v>
      </x:c>
      <x:c r="Q206" s="19" t="str">
        <x:v>主动</x:v>
      </x:c>
      <x:c r="R206" s="19" t="str">
        <x:v>无目标或脚本目标</x:v>
      </x:c>
      <x:c r="S206" s="19" t="str">
        <x:v>位移</x:v>
      </x:c>
      <x:c r="T206" s="19" t="str">
        <x:v>位移</x:v>
      </x:c>
      <x:c r="U206" s="48" t="str">
        <x:v>主动；无目标或脚本目标；主分类：位移；标签：位移</x:v>
      </x:c>
      <x:c r="V206" s="48" t="str">
        <x:v>50/45/40/35</x:v>
      </x:c>
      <x:c r="W206" s="48" t="str">
        <x:v>60/50/40/30</x:v>
      </x:c>
      <x:c r="X206" s="48" t="str">
        <x:v>99999/99999/99999/99999</x:v>
      </x:c>
      <x:c r="Y206" s="48" t="str">
        <x:v>—/—/—/—</x:v>
      </x:c>
      <x:c r="Z206" s="48" t="str">
        <x:v>0.33/0.33/0.33/0.33</x:v>
      </x:c>
      <x:c r="AA206" s="48" t="str">
        <x:v>—/—/—/—</x:v>
      </x:c>
      <x:c r="AB206" s="48" t="str">
        <x:v>—/—/—/—</x:v>
      </x:c>
      <x:c r="AC206" s="48" t="str">
        <x:v>主动；无目标或脚本目标；主分类：位移；标签：位移；等级：4；魔耗：50/45/40/35；冷却：60/50/40/30；施法距离：99999/99999/99999/99999；作用范围：—/—/—/—；持续时间：0.33/0.33/0.33/0.33。</x:v>
      </x:c>
      <x:c r="AD206" s="48" t="str">
        <x:v>60 / 50 / 40 / 30 / 1 / 2 / 3 / 4</x:v>
      </x:c>
      <x:c r="AE206" s="48" t="str">
        <x:v>A</x:v>
      </x:c>
      <x:c r="AF206" s="48" t="str">
        <x:v>6.48b 地图内 UnitAbilities/AbilityData/AbilityStrings 与对象修改表</x:v>
      </x:c>
      <x:c r="AG206" s="18" t="str">
        <x:v>S1</x:v>
      </x:c>
    </x:row>
    <x:row r="207" ht="48" customHeight="1">
      <x:c r="A207" s="19" t="str">
        <x:v>Emns-2</x:v>
      </x:c>
      <x:c r="B207" s="19" t="str">
        <x:v>近卫军团</x:v>
      </x:c>
      <x:c r="C207" s="19" t="str">
        <x:v>日出酒馆</x:v>
      </x:c>
      <x:c r="D207" s="19" t="str">
        <x:v>先知</x:v>
      </x:c>
      <x:c r="E207" s="19" t="str">
        <x:v>Prophet</x:v>
      </x:c>
      <x:c r="F207" s="19" t="str">
        <x:v>Emns</x:v>
      </x:c>
      <x:c r="G207" s="19" t="str">
        <x:v>Furion</x:v>
      </x:c>
      <x:c r="H207" s="19" t="str">
        <x:v>INT</x:v>
      </x:c>
      <x:c r="I207" s="19" t="str">
        <x:v>远程</x:v>
      </x:c>
      <x:c r="J207" s="19" t="n">
        <x:v>2</x:v>
      </x:c>
      <x:c r="K207" s="19" t="str">
        <x:v>Force of Nature</x:v>
      </x:c>
      <x:c r="L207" s="19" t="str">
        <x:v>AEfn</x:v>
      </x:c>
      <x:c r="M207" s="49" t="str">
        <x:v>否</x:v>
      </x:c>
      <x:c r="N207" s="49" t="n">
        <x:v>4</x:v>
      </x:c>
      <x:c r="O207" s="49" t="n">
        <x:v>1</x:v>
      </x:c>
      <x:c r="P207" s="49" t="n">
        <x:v>2</x:v>
      </x:c>
      <x:c r="Q207" s="19" t="str">
        <x:v>主动</x:v>
      </x:c>
      <x:c r="R207" s="19" t="str">
        <x:v>无目标或脚本目标</x:v>
      </x:c>
      <x:c r="S207" s="19" t="str">
        <x:v>伤害</x:v>
      </x:c>
      <x:c r="T207" s="19" t="str">
        <x:v>伤害、范围效果</x:v>
      </x:c>
      <x:c r="U207" s="48" t="str">
        <x:v>主动；无目标或脚本目标；主分类：伤害；标签：伤害、范围效果</x:v>
      </x:c>
      <x:c r="V207" s="48" t="str">
        <x:v>160/160/160/160</x:v>
      </x:c>
      <x:c r="W207" s="48" t="str">
        <x:v>37/37/37/37</x:v>
      </x:c>
      <x:c r="X207" s="48" t="str">
        <x:v>750/750/750/750</x:v>
      </x:c>
      <x:c r="Y207" s="48" t="str">
        <x:v>150/225/300/375</x:v>
      </x:c>
      <x:c r="Z207" s="48" t="str">
        <x:v>60/60/60/60</x:v>
      </x:c>
      <x:c r="AA207" s="48" t="str">
        <x:v>60/60/60/60</x:v>
      </x:c>
      <x:c r="AB207" s="48" t="str">
        <x:v>tree/tree/tree/tree</x:v>
      </x:c>
      <x:c r="AC207" s="48" t="str">
        <x:v>主动；无目标或脚本目标；主分类：伤害；标签：伤害、范围效果；等级：4；魔耗：160/160/160/160；冷却：37/37/37/37；施法距离：750/750/750/750；作用范围：150/225/300/375；持续时间：60/60/60/60。</x:v>
      </x:c>
      <x:c r="AD207" s="48" t="str">
        <x:v>550 / 21 / -23 / 1 / 2 / 60 / 3 / 4 / 5 / 37</x:v>
      </x:c>
      <x:c r="AE207" s="48" t="str">
        <x:v>A</x:v>
      </x:c>
      <x:c r="AF207" s="48" t="str">
        <x:v>6.48b 地图内 UnitAbilities/AbilityData/AbilityStrings 与对象修改表</x:v>
      </x:c>
      <x:c r="AG207" s="18" t="str">
        <x:v>S1</x:v>
      </x:c>
    </x:row>
    <x:row r="208" ht="48" customHeight="1">
      <x:c r="A208" s="19" t="str">
        <x:v>Emns-3</x:v>
      </x:c>
      <x:c r="B208" s="19" t="str">
        <x:v>近卫军团</x:v>
      </x:c>
      <x:c r="C208" s="19" t="str">
        <x:v>日出酒馆</x:v>
      </x:c>
      <x:c r="D208" s="19" t="str">
        <x:v>先知</x:v>
      </x:c>
      <x:c r="E208" s="19" t="str">
        <x:v>Prophet</x:v>
      </x:c>
      <x:c r="F208" s="19" t="str">
        <x:v>Emns</x:v>
      </x:c>
      <x:c r="G208" s="19" t="str">
        <x:v>Furion</x:v>
      </x:c>
      <x:c r="H208" s="19" t="str">
        <x:v>INT</x:v>
      </x:c>
      <x:c r="I208" s="19" t="str">
        <x:v>远程</x:v>
      </x:c>
      <x:c r="J208" s="19" t="n">
        <x:v>3</x:v>
      </x:c>
      <x:c r="K208" s="19" t="str">
        <x:v>Wrath of Nature</x:v>
      </x:c>
      <x:c r="L208" s="19" t="str">
        <x:v>A07X</x:v>
      </x:c>
      <x:c r="M208" s="49" t="str">
        <x:v>是</x:v>
      </x:c>
      <x:c r="N208" s="49" t="n">
        <x:v>3</x:v>
      </x:c>
      <x:c r="O208" s="49" t="n">
        <x:v>6</x:v>
      </x:c>
      <x:c r="P208" s="49" t="n">
        <x:v>5</x:v>
      </x:c>
      <x:c r="Q208" s="19" t="str">
        <x:v>主动</x:v>
      </x:c>
      <x:c r="R208" s="19" t="str">
        <x:v>无目标/范围</x:v>
      </x:c>
      <x:c r="S208" s="19" t="str">
        <x:v>召唤</x:v>
      </x:c>
      <x:c r="T208" s="19" t="str">
        <x:v>伤害、召唤、强化</x:v>
      </x:c>
      <x:c r="U208" s="48" t="str">
        <x:v>主动；无目标/范围；主分类：召唤；标签：伤害、召唤、强化</x:v>
      </x:c>
      <x:c r="V208" s="48" t="str">
        <x:v>200/380/610</x:v>
      </x:c>
      <x:c r="W208" s="48" t="str">
        <x:v>90/60/60</x:v>
      </x:c>
      <x:c r="X208" s="48" t="str">
        <x:v>650/650/650</x:v>
      </x:c>
      <x:c r="Y208" s="48" t="str">
        <x:v>99999/99999/99999</x:v>
      </x:c>
      <x:c r="Z208" s="48" t="str">
        <x:v>—/—/—</x:v>
      </x:c>
      <x:c r="AA208" s="48" t="str">
        <x:v>—/—/—</x:v>
      </x:c>
      <x:c r="AB208" s="48" t="str">
        <x:v>air,ground,enemy,neutral,organic/air,ground,enemy,neutral,organic/air,ground,enemy,neutral,organic</x:v>
      </x:c>
      <x:c r="AC208" s="48" t="str">
        <x:v>主动；无目标/范围；主分类：召唤；标签：伤害、召唤、强化；等级：3；魔耗：200/380/610；冷却：90/60/60；施法距离：650/650/650；作用范围：99999/99999/99999；持续时间：—/—/—。</x:v>
      </x:c>
      <x:c r="AD208" s="48" t="str">
        <x:v>7% / 1 / 140 / 2 / 180 / 3 / 225 / 90 / 60</x:v>
      </x:c>
      <x:c r="AE208" s="48" t="str">
        <x:v>A</x:v>
      </x:c>
      <x:c r="AF208" s="48" t="str">
        <x:v>6.48b 地图内 UnitAbilities/AbilityData/AbilityStrings 与对象修改表</x:v>
      </x:c>
      <x:c r="AG208" s="18" t="str">
        <x:v>S1</x:v>
      </x:c>
    </x:row>
    <x:row r="209" ht="48" customHeight="1">
      <x:c r="A209" s="19" t="str">
        <x:v>Emns-4</x:v>
      </x:c>
      <x:c r="B209" s="19" t="str">
        <x:v>近卫军团</x:v>
      </x:c>
      <x:c r="C209" s="19" t="str">
        <x:v>日出酒馆</x:v>
      </x:c>
      <x:c r="D209" s="19" t="str">
        <x:v>先知</x:v>
      </x:c>
      <x:c r="E209" s="19" t="str">
        <x:v>Prophet</x:v>
      </x:c>
      <x:c r="F209" s="19" t="str">
        <x:v>Emns</x:v>
      </x:c>
      <x:c r="G209" s="19" t="str">
        <x:v>Furion</x:v>
      </x:c>
      <x:c r="H209" s="19" t="str">
        <x:v>INT</x:v>
      </x:c>
      <x:c r="I209" s="19" t="str">
        <x:v>远程</x:v>
      </x:c>
      <x:c r="J209" s="19" t="n">
        <x:v>4</x:v>
      </x:c>
      <x:c r="K209" s="19" t="str">
        <x:v>Sprout</x:v>
      </x:c>
      <x:c r="L209" s="19" t="str">
        <x:v>A06Q</x:v>
      </x:c>
      <x:c r="M209" s="49" t="str">
        <x:v>否</x:v>
      </x:c>
      <x:c r="N209" s="49" t="n">
        <x:v>4</x:v>
      </x:c>
      <x:c r="O209" s="49" t="n">
        <x:v>1</x:v>
      </x:c>
      <x:c r="P209" s="49" t="n">
        <x:v>2</x:v>
      </x:c>
      <x:c r="Q209" s="19" t="str">
        <x:v>主动</x:v>
      </x:c>
      <x:c r="R209" s="19" t="str">
        <x:v>无目标或脚本目标</x:v>
      </x:c>
      <x:c r="S209" s="19" t="str">
        <x:v>功能/特殊</x:v>
      </x:c>
      <x:c r="T209" s="19" t="str"/>
      <x:c r="U209" s="48" t="str">
        <x:v>主动；无目标或脚本目标；主分类：功能/特殊</x:v>
      </x:c>
      <x:c r="V209" s="48" t="str">
        <x:v>115/140/165/205</x:v>
      </x:c>
      <x:c r="W209" s="48" t="str">
        <x:v>11/11/11/11</x:v>
      </x:c>
      <x:c r="X209" s="48" t="str">
        <x:v>600/600/600/600</x:v>
      </x:c>
      <x:c r="Y209" s="48" t="str">
        <x:v>—/—/—/—</x:v>
      </x:c>
      <x:c r="Z209" s="48" t="str">
        <x:v>0.01/0.01/0.01/0.01</x:v>
      </x:c>
      <x:c r="AA209" s="48" t="str">
        <x:v>0.01/0.01/0.01/0.01</x:v>
      </x:c>
      <x:c r="AB209" s="48" t="str">
        <x:v>air,ground,organic,notself,invu,vuln,nonancient/air,ground,organic,notself,invu,vuln,nonancient/air,ground,organic,notself,invu,vuln,nonancient/air,ground,organic,notself,invu,vuln,nonancient</x:v>
      </x:c>
      <x:c r="AC209" s="48" t="str">
        <x:v>主动；无目标或脚本目标；主分类：功能/特殊；等级：4；魔耗：115/140/165/205；冷却：11/11/11/11；施法距离：600/600/600/600；作用范围：—/—/—/—；持续时间：0.01/0.01/0.01/0.01。</x:v>
      </x:c>
      <x:c r="AD209" s="48" t="str">
        <x:v>1 / 3 / 2 / 3.75 / 4.5 / 4 / 5.25 / 11</x:v>
      </x:c>
      <x:c r="AE209" s="48" t="str">
        <x:v>A</x:v>
      </x:c>
      <x:c r="AF209" s="48" t="str">
        <x:v>6.48b 地图内 UnitAbilities/AbilityData/AbilityStrings 与对象修改表</x:v>
      </x:c>
      <x:c r="AG209" s="18" t="str">
        <x:v>S1</x:v>
      </x:c>
    </x:row>
    <x:row r="210" ht="48" customHeight="1">
      <x:c r="A210" s="19" t="str">
        <x:v>Uktl-1</x:v>
      </x:c>
      <x:c r="B210" s="19" t="str">
        <x:v>近卫军团</x:v>
      </x:c>
      <x:c r="C210" s="19" t="str">
        <x:v>日出酒馆</x:v>
      </x:c>
      <x:c r="D210" s="19" t="str">
        <x:v>谜团</x:v>
      </x:c>
      <x:c r="E210" s="19" t="str">
        <x:v>Enigma</x:v>
      </x:c>
      <x:c r="F210" s="19" t="str">
        <x:v>Uktl</x:v>
      </x:c>
      <x:c r="G210" s="19" t="str">
        <x:v>Darchrow</x:v>
      </x:c>
      <x:c r="H210" s="19" t="str">
        <x:v>INT</x:v>
      </x:c>
      <x:c r="I210" s="19" t="str">
        <x:v>远程</x:v>
      </x:c>
      <x:c r="J210" s="19" t="n">
        <x:v>1</x:v>
      </x:c>
      <x:c r="K210" s="19" t="str">
        <x:v>Conversion</x:v>
      </x:c>
      <x:c r="L210" s="19" t="str">
        <x:v>A0B7</x:v>
      </x:c>
      <x:c r="M210" s="49" t="str">
        <x:v>否</x:v>
      </x:c>
      <x:c r="N210" s="49" t="n">
        <x:v>4</x:v>
      </x:c>
      <x:c r="O210" s="49" t="n">
        <x:v>1</x:v>
      </x:c>
      <x:c r="P210" s="49" t="n">
        <x:v>2</x:v>
      </x:c>
      <x:c r="Q210" s="19" t="str">
        <x:v>主动</x:v>
      </x:c>
      <x:c r="R210" s="19" t="str">
        <x:v>无目标或脚本目标</x:v>
      </x:c>
      <x:c r="S210" s="19" t="str">
        <x:v>召唤</x:v>
      </x:c>
      <x:c r="T210" s="19" t="str">
        <x:v>伤害、召唤</x:v>
      </x:c>
      <x:c r="U210" s="48" t="str">
        <x:v>主动；无目标或脚本目标；主分类：召唤；标签：伤害、召唤</x:v>
      </x:c>
      <x:c r="V210" s="48" t="str">
        <x:v>125/125/125/125</x:v>
      </x:c>
      <x:c r="W210" s="48" t="str">
        <x:v>15/15/15/15</x:v>
      </x:c>
      <x:c r="X210" s="48" t="str">
        <x:v>700/700/700/700</x:v>
      </x:c>
      <x:c r="Y210" s="48" t="str">
        <x:v>—/—/—/—</x:v>
      </x:c>
      <x:c r="Z210" s="48" t="str">
        <x:v>—/—/—/—</x:v>
      </x:c>
      <x:c r="AA210" s="48" t="str">
        <x:v>—/—/—/—</x:v>
      </x:c>
      <x:c r="AB210" s="48" t="str">
        <x:v>air,friend,ground,nonancient,nonhero,organic/air,friend,ground,nonancient,nonhero,organic/air,friend,ground,nonancient,nonhero,organic/air,friend,ground,nonancient,nonhero,organic</x:v>
      </x:c>
      <x:c r="AC210" s="48" t="str">
        <x:v>主动；无目标或脚本目标；主分类：召唤；标签：伤害、召唤；等级：4；魔耗：125/125/125/125；冷却：15/15/15/15；施法距离：700/700/700/700；作用范围：—/—/—/—；持续时间：—/—/—/—。</x:v>
      </x:c>
      <x:c r="AD210" s="48" t="str">
        <x:v>3 / 30 / 1 / 2 / 4 / 15 / 19 / 200 / 33% / 29 / 225 / 39 / 49 / 275</x:v>
      </x:c>
      <x:c r="AE210" s="48" t="str">
        <x:v>A</x:v>
      </x:c>
      <x:c r="AF210" s="48" t="str">
        <x:v>6.48b 地图内 UnitAbilities/AbilityData/AbilityStrings 与对象修改表</x:v>
      </x:c>
      <x:c r="AG210" s="18" t="str">
        <x:v>S1</x:v>
      </x:c>
    </x:row>
    <x:row r="211" ht="48" customHeight="1">
      <x:c r="A211" s="19" t="str">
        <x:v>Uktl-2</x:v>
      </x:c>
      <x:c r="B211" s="19" t="str">
        <x:v>近卫军团</x:v>
      </x:c>
      <x:c r="C211" s="19" t="str">
        <x:v>日出酒馆</x:v>
      </x:c>
      <x:c r="D211" s="19" t="str">
        <x:v>谜团</x:v>
      </x:c>
      <x:c r="E211" s="19" t="str">
        <x:v>Enigma</x:v>
      </x:c>
      <x:c r="F211" s="19" t="str">
        <x:v>Uktl</x:v>
      </x:c>
      <x:c r="G211" s="19" t="str">
        <x:v>Darchrow</x:v>
      </x:c>
      <x:c r="H211" s="19" t="str">
        <x:v>INT</x:v>
      </x:c>
      <x:c r="I211" s="19" t="str">
        <x:v>远程</x:v>
      </x:c>
      <x:c r="J211" s="19" t="n">
        <x:v>2</x:v>
      </x:c>
      <x:c r="K211" s="19" t="str">
        <x:v>Midnight Pulse</x:v>
      </x:c>
      <x:c r="L211" s="19" t="str">
        <x:v>A0B1</x:v>
      </x:c>
      <x:c r="M211" s="49" t="str">
        <x:v>否</x:v>
      </x:c>
      <x:c r="N211" s="49" t="n">
        <x:v>4</x:v>
      </x:c>
      <x:c r="O211" s="49" t="n">
        <x:v>1</x:v>
      </x:c>
      <x:c r="P211" s="49" t="n">
        <x:v>2</x:v>
      </x:c>
      <x:c r="Q211" s="19" t="str">
        <x:v>主动</x:v>
      </x:c>
      <x:c r="R211" s="19" t="str">
        <x:v>无目标或脚本目标</x:v>
      </x:c>
      <x:c r="S211" s="19" t="str">
        <x:v>治疗/回复</x:v>
      </x:c>
      <x:c r="T211" s="19" t="str">
        <x:v>伤害、治疗/回复、范围效果</x:v>
      </x:c>
      <x:c r="U211" s="48" t="str">
        <x:v>主动；无目标或脚本目标；主分类：治疗/回复；标签：伤害、治疗/回复、范围效果</x:v>
      </x:c>
      <x:c r="V211" s="48" t="str">
        <x:v>135/150/165/180</x:v>
      </x:c>
      <x:c r="W211" s="48" t="str">
        <x:v>25/25/25/25</x:v>
      </x:c>
      <x:c r="X211" s="48" t="str">
        <x:v>500/500/500/500</x:v>
      </x:c>
      <x:c r="Y211" s="48" t="str">
        <x:v>400/400/400/400</x:v>
      </x:c>
      <x:c r="Z211" s="48" t="str">
        <x:v>—/—/—/—</x:v>
      </x:c>
      <x:c r="AA211" s="48" t="str">
        <x:v>—/—/—/—</x:v>
      </x:c>
      <x:c r="AB211" s="48" t="str">
        <x:v>air,enemies,ground/air,enemies,ground/air,enemies,ground/air,enemies,ground</x:v>
      </x:c>
      <x:c r="AC211" s="48" t="str">
        <x:v>主动；无目标或脚本目标；主分类：治疗/回复；标签：伤害、治疗/回复、范围效果；等级：4；魔耗：135/150/165/180；冷却：25/25/25/25；施法距离：500/500/500/500；作用范围：400/400/400/400；持续时间：—/—/—/—。</x:v>
      </x:c>
      <x:c r="AD211" s="48" t="str">
        <x:v>8 / 1 / 3% / 2 / 4% / 3 / 5% / 4 / 6% / 25</x:v>
      </x:c>
      <x:c r="AE211" s="48" t="str">
        <x:v>A</x:v>
      </x:c>
      <x:c r="AF211" s="48" t="str">
        <x:v>6.48b 地图内 UnitAbilities/AbilityData/AbilityStrings 与对象修改表</x:v>
      </x:c>
      <x:c r="AG211" s="18" t="str">
        <x:v>S1</x:v>
      </x:c>
    </x:row>
    <x:row r="212" ht="48" customHeight="1">
      <x:c r="A212" s="19" t="str">
        <x:v>Uktl-3</x:v>
      </x:c>
      <x:c r="B212" s="19" t="str">
        <x:v>近卫军团</x:v>
      </x:c>
      <x:c r="C212" s="19" t="str">
        <x:v>日出酒馆</x:v>
      </x:c>
      <x:c r="D212" s="19" t="str">
        <x:v>谜团</x:v>
      </x:c>
      <x:c r="E212" s="19" t="str">
        <x:v>Enigma</x:v>
      </x:c>
      <x:c r="F212" s="19" t="str">
        <x:v>Uktl</x:v>
      </x:c>
      <x:c r="G212" s="19" t="str">
        <x:v>Darchrow</x:v>
      </x:c>
      <x:c r="H212" s="19" t="str">
        <x:v>INT</x:v>
      </x:c>
      <x:c r="I212" s="19" t="str">
        <x:v>远程</x:v>
      </x:c>
      <x:c r="J212" s="19" t="n">
        <x:v>3</x:v>
      </x:c>
      <x:c r="K212" s="19" t="str">
        <x:v>Black Hole</x:v>
      </x:c>
      <x:c r="L212" s="19" t="str">
        <x:v>A0BY</x:v>
      </x:c>
      <x:c r="M212" s="49" t="str">
        <x:v>是</x:v>
      </x:c>
      <x:c r="N212" s="49" t="n">
        <x:v>3</x:v>
      </x:c>
      <x:c r="O212" s="49" t="n">
        <x:v>6</x:v>
      </x:c>
      <x:c r="P212" s="49" t="n">
        <x:v>5</x:v>
      </x:c>
      <x:c r="Q212" s="19" t="str">
        <x:v>主动</x:v>
      </x:c>
      <x:c r="R212" s="19" t="str">
        <x:v>无目标/范围</x:v>
      </x:c>
      <x:c r="S212" s="19" t="str">
        <x:v>召唤</x:v>
      </x:c>
      <x:c r="T212" s="19" t="str">
        <x:v>伤害、召唤、持续施法、范围效果</x:v>
      </x:c>
      <x:c r="U212" s="48" t="str">
        <x:v>主动；无目标/范围；主分类：召唤；标签：伤害、召唤、持续施法、范围效果</x:v>
      </x:c>
      <x:c r="V212" s="48" t="str">
        <x:v>200/300/400</x:v>
      </x:c>
      <x:c r="W212" s="48" t="str">
        <x:v>200/190/180</x:v>
      </x:c>
      <x:c r="X212" s="48" t="str">
        <x:v>250/250/250</x:v>
      </x:c>
      <x:c r="Y212" s="48" t="str">
        <x:v>—/—/—</x:v>
      </x:c>
      <x:c r="Z212" s="48" t="str">
        <x:v>4/4/4</x:v>
      </x:c>
      <x:c r="AA212" s="48" t="str">
        <x:v>4/4/4</x:v>
      </x:c>
      <x:c r="AB212" s="48" t="str">
        <x:v>—/—/—</x:v>
      </x:c>
      <x:c r="AC212" s="48" t="str">
        <x:v>主动；无目标/范围；主分类：召唤；标签：伤害、召唤、持续施法、范围效果；等级：3；魔耗：200/300/400；冷却：200/190/180；施法距离：250/250/250；作用范围：—/—/—；持续时间：4/4/4。</x:v>
      </x:c>
      <x:c r="AD212" s="48" t="str">
        <x:v>4 / 1 / 30 / 60 / 2 / 50 / 100 / 3 / 70 / 140 / 200 / 190 / 180</x:v>
      </x:c>
      <x:c r="AE212" s="48" t="str">
        <x:v>A</x:v>
      </x:c>
      <x:c r="AF212" s="48" t="str">
        <x:v>6.48b 地图内 UnitAbilities/AbilityData/AbilityStrings 与对象修改表</x:v>
      </x:c>
      <x:c r="AG212" s="18" t="str">
        <x:v>S1</x:v>
      </x:c>
    </x:row>
    <x:row r="213" ht="48" customHeight="1">
      <x:c r="A213" s="19" t="str">
        <x:v>Uktl-4</x:v>
      </x:c>
      <x:c r="B213" s="19" t="str">
        <x:v>近卫军团</x:v>
      </x:c>
      <x:c r="C213" s="19" t="str">
        <x:v>日出酒馆</x:v>
      </x:c>
      <x:c r="D213" s="19" t="str">
        <x:v>谜团</x:v>
      </x:c>
      <x:c r="E213" s="19" t="str">
        <x:v>Enigma</x:v>
      </x:c>
      <x:c r="F213" s="19" t="str">
        <x:v>Uktl</x:v>
      </x:c>
      <x:c r="G213" s="19" t="str">
        <x:v>Darchrow</x:v>
      </x:c>
      <x:c r="H213" s="19" t="str">
        <x:v>INT</x:v>
      </x:c>
      <x:c r="I213" s="19" t="str">
        <x:v>远程</x:v>
      </x:c>
      <x:c r="J213" s="19" t="n">
        <x:v>4</x:v>
      </x:c>
      <x:c r="K213" s="19" t="str">
        <x:v>Malefice</x:v>
      </x:c>
      <x:c r="L213" s="19" t="str">
        <x:v>A0I7</x:v>
      </x:c>
      <x:c r="M213" s="49" t="str">
        <x:v>否</x:v>
      </x:c>
      <x:c r="N213" s="49" t="n">
        <x:v>4</x:v>
      </x:c>
      <x:c r="O213" s="49" t="n">
        <x:v>1</x:v>
      </x:c>
      <x:c r="P213" s="49" t="n">
        <x:v>2</x:v>
      </x:c>
      <x:c r="Q213" s="19" t="str">
        <x:v>主动</x:v>
      </x:c>
      <x:c r="R213" s="19" t="str">
        <x:v>单位目标</x:v>
      </x:c>
      <x:c r="S213" s="19" t="str">
        <x:v>硬控</x:v>
      </x:c>
      <x:c r="T213" s="19" t="str">
        <x:v>伤害、硬控</x:v>
      </x:c>
      <x:c r="U213" s="48" t="str">
        <x:v>主动；单位目标；主分类：硬控；标签：伤害、硬控</x:v>
      </x:c>
      <x:c r="V213" s="48" t="str">
        <x:v>110/130/150/160</x:v>
      </x:c>
      <x:c r="W213" s="48" t="str">
        <x:v>15/15/15/15</x:v>
      </x:c>
      <x:c r="X213" s="48" t="str">
        <x:v>600/600/600/600</x:v>
      </x:c>
      <x:c r="Y213" s="48" t="str">
        <x:v>—/—/—/—</x:v>
      </x:c>
      <x:c r="Z213" s="48" t="str">
        <x:v>—/—/—/—</x:v>
      </x:c>
      <x:c r="AA213" s="48" t="str">
        <x:v>—/—/—/—</x:v>
      </x:c>
      <x:c r="AB213" s="48" t="str">
        <x:v>ground,enemy,neutral,organic,air/ground,enemy,neutral,organic,air/ground,enemy,neutral,organic,air/ground,enemy,neutral,organic,air</x:v>
      </x:c>
      <x:c r="AC213" s="48" t="str">
        <x:v>主动；单位目标；主分类：硬控；标签：伤害、硬控；等级：4；魔耗：110/130/150/160；冷却：15/15/15/15；施法距离：600/600/600/600；作用范围：—/—/—/—；持续时间：—/—/—/—。</x:v>
      </x:c>
      <x:c r="AD213" s="48" t="str">
        <x:v>2 / 4 / 6 / 1 / 30 / 40 / 3 / 65 / 80 / 15</x:v>
      </x:c>
      <x:c r="AE213" s="48" t="str">
        <x:v>A</x:v>
      </x:c>
      <x:c r="AF213" s="48" t="str">
        <x:v>6.48b 地图内 UnitAbilities/AbilityData/AbilityStrings 与对象修改表</x:v>
      </x:c>
      <x:c r="AG213" s="18" t="str">
        <x:v>S1</x:v>
      </x:c>
    </x:row>
    <x:row r="214" ht="48" customHeight="1">
      <x:c r="A214" s="19" t="str">
        <x:v>Hmkg-1</x:v>
      </x:c>
      <x:c r="B214" s="19" t="str">
        <x:v>近卫军团</x:v>
      </x:c>
      <x:c r="C214" s="19" t="str">
        <x:v>日出酒馆</x:v>
      </x:c>
      <x:c r="D214" s="19" t="str">
        <x:v>食人魔法师</x:v>
      </x:c>
      <x:c r="E214" s="19" t="str">
        <x:v>Ogre Magi</x:v>
      </x:c>
      <x:c r="F214" s="19" t="str">
        <x:v>Hmkg</x:v>
      </x:c>
      <x:c r="G214" s="19" t="str">
        <x:v>Aggron Stonebreaker</x:v>
      </x:c>
      <x:c r="H214" s="19" t="str">
        <x:v>INT</x:v>
      </x:c>
      <x:c r="I214" s="19" t="str">
        <x:v>近战</x:v>
      </x:c>
      <x:c r="J214" s="19" t="n">
        <x:v>1</x:v>
      </x:c>
      <x:c r="K214" s="19" t="str">
        <x:v>Fireblast</x:v>
      </x:c>
      <x:c r="L214" s="19" t="str">
        <x:v>A04W</x:v>
      </x:c>
      <x:c r="M214" s="49" t="str">
        <x:v>否</x:v>
      </x:c>
      <x:c r="N214" s="49" t="n">
        <x:v>4</x:v>
      </x:c>
      <x:c r="O214" s="49" t="n">
        <x:v>1</x:v>
      </x:c>
      <x:c r="P214" s="49" t="n">
        <x:v>2</x:v>
      </x:c>
      <x:c r="Q214" s="19" t="str">
        <x:v>主动</x:v>
      </x:c>
      <x:c r="R214" s="19" t="str">
        <x:v>单位目标</x:v>
      </x:c>
      <x:c r="S214" s="19" t="str">
        <x:v>硬控</x:v>
      </x:c>
      <x:c r="T214" s="19" t="str">
        <x:v>伤害、硬控</x:v>
      </x:c>
      <x:c r="U214" s="48" t="str">
        <x:v>主动；单位目标；主分类：硬控；标签：伤害、硬控</x:v>
      </x:c>
      <x:c r="V214" s="48" t="str">
        <x:v>75/85/95/105</x:v>
      </x:c>
      <x:c r="W214" s="48" t="str">
        <x:v>15/15/15/15</x:v>
      </x:c>
      <x:c r="X214" s="48" t="str">
        <x:v>600/600/600/600</x:v>
      </x:c>
      <x:c r="Y214" s="48" t="str">
        <x:v>—/—/—/—</x:v>
      </x:c>
      <x:c r="Z214" s="48" t="str">
        <x:v>1.5/1.5/1.5/1.5</x:v>
      </x:c>
      <x:c r="AA214" s="48" t="str">
        <x:v>1.5/1.5/1.5/1.5</x:v>
      </x:c>
      <x:c r="AB214" s="48" t="str">
        <x:v>air,ground,debris,enemy,neutral,organic/air,ground,debris,enemy,neutral,organic/air,ground,debris,enemy,neutral,organic/air,ground,debris,enemy,neutral,organic</x:v>
      </x:c>
      <x:c r="AC214" s="48" t="str">
        <x:v>主动；单位目标；主分类：硬控；标签：伤害、硬控；等级：4；魔耗：75/85/95/105；冷却：15/15/15/15；施法距离：600/600/600/600；作用范围：—/—/—/—；持续时间：1.5/1.5/1.5/1.5。</x:v>
      </x:c>
      <x:c r="AD214" s="48" t="str">
        <x:v>1.5 / 1 / 75 / 2 / 125 / 3 / 175 / 4 / 275 / 15</x:v>
      </x:c>
      <x:c r="AE214" s="48" t="str">
        <x:v>A</x:v>
      </x:c>
      <x:c r="AF214" s="48" t="str">
        <x:v>6.48b 地图内 UnitAbilities/AbilityData/AbilityStrings 与对象修改表</x:v>
      </x:c>
      <x:c r="AG214" s="18" t="str">
        <x:v>S1</x:v>
      </x:c>
    </x:row>
    <x:row r="215" ht="48" customHeight="1">
      <x:c r="A215" s="19" t="str">
        <x:v>Hmkg-2</x:v>
      </x:c>
      <x:c r="B215" s="19" t="str">
        <x:v>近卫军团</x:v>
      </x:c>
      <x:c r="C215" s="19" t="str">
        <x:v>日出酒馆</x:v>
      </x:c>
      <x:c r="D215" s="19" t="str">
        <x:v>食人魔法师</x:v>
      </x:c>
      <x:c r="E215" s="19" t="str">
        <x:v>Ogre Magi</x:v>
      </x:c>
      <x:c r="F215" s="19" t="str">
        <x:v>Hmkg</x:v>
      </x:c>
      <x:c r="G215" s="19" t="str">
        <x:v>Aggron Stonebreaker</x:v>
      </x:c>
      <x:c r="H215" s="19" t="str">
        <x:v>INT</x:v>
      </x:c>
      <x:c r="I215" s="19" t="str">
        <x:v>近战</x:v>
      </x:c>
      <x:c r="J215" s="19" t="n">
        <x:v>2</x:v>
      </x:c>
      <x:c r="K215" s="19" t="str">
        <x:v>Ignite</x:v>
      </x:c>
      <x:c r="L215" s="19" t="str">
        <x:v>A011</x:v>
      </x:c>
      <x:c r="M215" s="49" t="str">
        <x:v>否</x:v>
      </x:c>
      <x:c r="N215" s="49" t="n">
        <x:v>4</x:v>
      </x:c>
      <x:c r="O215" s="49" t="n">
        <x:v>1</x:v>
      </x:c>
      <x:c r="P215" s="49" t="n">
        <x:v>2</x:v>
      </x:c>
      <x:c r="Q215" s="19" t="str">
        <x:v>主动</x:v>
      </x:c>
      <x:c r="R215" s="19" t="str">
        <x:v>单位目标</x:v>
      </x:c>
      <x:c r="S215" s="19" t="str">
        <x:v>软控</x:v>
      </x:c>
      <x:c r="T215" s="19" t="str">
        <x:v>伤害、软控</x:v>
      </x:c>
      <x:c r="U215" s="48" t="str">
        <x:v>主动；单位目标；主分类：软控；标签：伤害、软控</x:v>
      </x:c>
      <x:c r="V215" s="48" t="str">
        <x:v>95/105/115/125</x:v>
      </x:c>
      <x:c r="W215" s="48" t="str">
        <x:v>15/15/15/15</x:v>
      </x:c>
      <x:c r="X215" s="48" t="str">
        <x:v>700/700/700/700</x:v>
      </x:c>
      <x:c r="Y215" s="48" t="str">
        <x:v>—/—/—/—</x:v>
      </x:c>
      <x:c r="Z215" s="48" t="str">
        <x:v>7.5/7.5/7.5/7.5</x:v>
      </x:c>
      <x:c r="AA215" s="48" t="str">
        <x:v>7.5/7.5/7.5/7.5</x:v>
      </x:c>
      <x:c r="AB215" s="48" t="str">
        <x:v>ground,enemy,neutral,organic,air/ground,enemy,neutral,organic,air/ground,enemy,neutral,organic,air/ground,enemy,neutral,organic,air</x:v>
      </x:c>
      <x:c r="AC215" s="48" t="str">
        <x:v>主动；单位目标；主分类：软控；标签：伤害、软控；等级：4；魔耗：95/105/115/125；冷却：15/15/15/15；施法距离：700/700/700/700；作用范围：—/—/—/—；持续时间：7.5/7.5/7.5/7.5。</x:v>
      </x:c>
      <x:c r="AD215" s="48" t="str">
        <x:v>7.5 / 1 / 10 / 10% / 2 / 20 / 15% / 3 / 30 / 20% / 4 / 40 / 25% / 15</x:v>
      </x:c>
      <x:c r="AE215" s="48" t="str">
        <x:v>A</x:v>
      </x:c>
      <x:c r="AF215" s="48" t="str">
        <x:v>6.48b 地图内 UnitAbilities/AbilityData/AbilityStrings 与对象修改表</x:v>
      </x:c>
      <x:c r="AG215" s="18" t="str">
        <x:v>S1</x:v>
      </x:c>
    </x:row>
    <x:row r="216" ht="48" customHeight="1">
      <x:c r="A216" s="19" t="str">
        <x:v>Hmkg-3</x:v>
      </x:c>
      <x:c r="B216" s="19" t="str">
        <x:v>近卫军团</x:v>
      </x:c>
      <x:c r="C216" s="19" t="str">
        <x:v>日出酒馆</x:v>
      </x:c>
      <x:c r="D216" s="19" t="str">
        <x:v>食人魔法师</x:v>
      </x:c>
      <x:c r="E216" s="19" t="str">
        <x:v>Ogre Magi</x:v>
      </x:c>
      <x:c r="F216" s="19" t="str">
        <x:v>Hmkg</x:v>
      </x:c>
      <x:c r="G216" s="19" t="str">
        <x:v>Aggron Stonebreaker</x:v>
      </x:c>
      <x:c r="H216" s="19" t="str">
        <x:v>INT</x:v>
      </x:c>
      <x:c r="I216" s="19" t="str">
        <x:v>近战</x:v>
      </x:c>
      <x:c r="J216" s="19" t="n">
        <x:v>3</x:v>
      </x:c>
      <x:c r="K216" s="19" t="str">
        <x:v>Bloodlust</x:v>
      </x:c>
      <x:c r="L216" s="19" t="str">
        <x:v>A083</x:v>
      </x:c>
      <x:c r="M216" s="49" t="str">
        <x:v>否</x:v>
      </x:c>
      <x:c r="N216" s="49" t="n">
        <x:v>4</x:v>
      </x:c>
      <x:c r="O216" s="49" t="n">
        <x:v>1</x:v>
      </x:c>
      <x:c r="P216" s="49" t="n">
        <x:v>2</x:v>
      </x:c>
      <x:c r="Q216" s="19" t="str">
        <x:v>开关/自动施放</x:v>
      </x:c>
      <x:c r="R216" s="19" t="str">
        <x:v>—</x:v>
      </x:c>
      <x:c r="S216" s="19" t="str">
        <x:v>软控</x:v>
      </x:c>
      <x:c r="T216" s="19" t="str">
        <x:v>软控、强化</x:v>
      </x:c>
      <x:c r="U216" s="48" t="str">
        <x:v>开关/自动施放；—；主分类：软控；标签：软控、强化</x:v>
      </x:c>
      <x:c r="V216" s="48" t="str">
        <x:v>75/75/75/75</x:v>
      </x:c>
      <x:c r="W216" s="48" t="str">
        <x:v>20/20/20/20</x:v>
      </x:c>
      <x:c r="X216" s="48" t="str">
        <x:v>600/600/600/600</x:v>
      </x:c>
      <x:c r="Y216" s="48" t="str">
        <x:v>—/—/—/—</x:v>
      </x:c>
      <x:c r="Z216" s="48" t="str">
        <x:v>30/30/30/30</x:v>
      </x:c>
      <x:c r="AA216" s="48" t="str">
        <x:v>30/30/30/30</x:v>
      </x:c>
      <x:c r="AB216" s="48" t="str">
        <x:v>air,ground,friend,organic,self,neutral/air,ground,friend,organic,self,neutral/air,ground,friend,organic,self,neutral/air,ground,friend,organic,self,neutral</x:v>
      </x:c>
      <x:c r="AC216" s="48" t="str">
        <x:v>开关/自动施放；—；主分类：软控；标签：软控、强化；等级：4；魔耗：75/75/75/75；冷却：20/20/20/20；施法距离：600/600/600/600；作用范围：—/—/—/—；持续时间：30/30/30/30。</x:v>
      </x:c>
      <x:c r="AD216" s="48" t="str">
        <x:v>30 / 1 / 20% / 6% / 2 / 30% / 9% / 3 / 40% / 12% / 4 / 50% / 15% / 20</x:v>
      </x:c>
      <x:c r="AE216" s="48" t="str">
        <x:v>A</x:v>
      </x:c>
      <x:c r="AF216" s="48" t="str">
        <x:v>6.48b 地图内 UnitAbilities/AbilityData/AbilityStrings 与对象修改表</x:v>
      </x:c>
      <x:c r="AG216" s="18" t="str">
        <x:v>S1</x:v>
      </x:c>
    </x:row>
    <x:row r="217" ht="48" customHeight="1">
      <x:c r="A217" s="19" t="str">
        <x:v>Hmkg-4</x:v>
      </x:c>
      <x:c r="B217" s="19" t="str">
        <x:v>近卫军团</x:v>
      </x:c>
      <x:c r="C217" s="19" t="str">
        <x:v>日出酒馆</x:v>
      </x:c>
      <x:c r="D217" s="19" t="str">
        <x:v>食人魔法师</x:v>
      </x:c>
      <x:c r="E217" s="19" t="str">
        <x:v>Ogre Magi</x:v>
      </x:c>
      <x:c r="F217" s="19" t="str">
        <x:v>Hmkg</x:v>
      </x:c>
      <x:c r="G217" s="19" t="str">
        <x:v>Aggron Stonebreaker</x:v>
      </x:c>
      <x:c r="H217" s="19" t="str">
        <x:v>INT</x:v>
      </x:c>
      <x:c r="I217" s="19" t="str">
        <x:v>近战</x:v>
      </x:c>
      <x:c r="J217" s="19" t="n">
        <x:v>4</x:v>
      </x:c>
      <x:c r="K217" s="19" t="str">
        <x:v>Multi Cast</x:v>
      </x:c>
      <x:c r="L217" s="19" t="str">
        <x:v>A088</x:v>
      </x:c>
      <x:c r="M217" s="49" t="str">
        <x:v>是</x:v>
      </x:c>
      <x:c r="N217" s="49" t="n">
        <x:v>3</x:v>
      </x:c>
      <x:c r="O217" s="49" t="n">
        <x:v>6</x:v>
      </x:c>
      <x:c r="P217" s="49" t="n">
        <x:v>5</x:v>
      </x:c>
      <x:c r="Q217" s="19" t="str">
        <x:v>被动</x:v>
      </x:c>
      <x:c r="R217" s="19" t="str">
        <x:v>被动</x:v>
      </x:c>
      <x:c r="S217" s="19" t="str">
        <x:v>强化</x:v>
      </x:c>
      <x:c r="T217" s="19" t="str">
        <x:v>伤害、强化、削弱、范围效果、被动触发</x:v>
      </x:c>
      <x:c r="U217" s="48" t="str">
        <x:v>被动；被动；主分类：强化；标签：伤害、强化、削弱、范围效果、被动触发</x:v>
      </x:c>
      <x:c r="V217" s="48" t="str">
        <x:v>—/—/—</x:v>
      </x:c>
      <x:c r="W217" s="48" t="str">
        <x:v>—/—/—</x:v>
      </x:c>
      <x:c r="X217" s="48" t="str">
        <x:v>—/—/—</x:v>
      </x:c>
      <x:c r="Y217" s="48" t="str">
        <x:v>—/—/—</x:v>
      </x:c>
      <x:c r="Z217" s="48" t="str">
        <x:v>—/—/—</x:v>
      </x:c>
      <x:c r="AA217" s="48" t="str">
        <x:v>—/—/—</x:v>
      </x:c>
      <x:c r="AB217" s="48" t="str">
        <x:v>—/—/—</x:v>
      </x:c>
      <x:c r="AC217" s="48" t="str">
        <x:v>被动；被动；主分类：强化；标签：伤害、强化、削弱、范围效果、被动触发；等级：3；魔耗：—/—/—；冷却：—/—/—；施法距离：—/—/—；作用范围：—/—/—；持续时间：—/—/—。</x:v>
      </x:c>
      <x:c r="AD217" s="48" t="str">
        <x:v>3 / 5 / 150 / 1 / 20% / 30% / 2</x:v>
      </x:c>
      <x:c r="AE217" s="48" t="str">
        <x:v>A</x:v>
      </x:c>
      <x:c r="AF217" s="48" t="str">
        <x:v>6.48b 地图内 UnitAbilities/AbilityData/AbilityStrings 与对象修改表</x:v>
      </x:c>
      <x:c r="AG217" s="18" t="str">
        <x:v>S1</x:v>
      </x:c>
    </x:row>
    <x:row r="218" ht="48" customHeight="1">
      <x:c r="A218" s="19" t="str">
        <x:v>Hblm-1</x:v>
      </x:c>
      <x:c r="B218" s="19" t="str">
        <x:v>近卫军团</x:v>
      </x:c>
      <x:c r="C218" s="19" t="str">
        <x:v>日出酒馆</x:v>
      </x:c>
      <x:c r="D218" s="19" t="str">
        <x:v>光之守卫</x:v>
      </x:c>
      <x:c r="E218" s="19" t="str">
        <x:v>Keeper of the Light</x:v>
      </x:c>
      <x:c r="F218" s="19" t="str">
        <x:v>Hblm</x:v>
      </x:c>
      <x:c r="G218" s="19" t="str">
        <x:v>Ezalor</x:v>
      </x:c>
      <x:c r="H218" s="19" t="str">
        <x:v>INT</x:v>
      </x:c>
      <x:c r="I218" s="19" t="str">
        <x:v>远程</x:v>
      </x:c>
      <x:c r="J218" s="19" t="n">
        <x:v>1</x:v>
      </x:c>
      <x:c r="K218" s="19" t="str">
        <x:v>Mana Leak</x:v>
      </x:c>
      <x:c r="L218" s="19" t="str">
        <x:v>A07Y</x:v>
      </x:c>
      <x:c r="M218" s="49" t="str">
        <x:v>否</x:v>
      </x:c>
      <x:c r="N218" s="49" t="n">
        <x:v>4</x:v>
      </x:c>
      <x:c r="O218" s="49" t="n">
        <x:v>1</x:v>
      </x:c>
      <x:c r="P218" s="49" t="n">
        <x:v>2</x:v>
      </x:c>
      <x:c r="Q218" s="19" t="str">
        <x:v>主动</x:v>
      </x:c>
      <x:c r="R218" s="19" t="str">
        <x:v>单位目标</x:v>
      </x:c>
      <x:c r="S218" s="19" t="str">
        <x:v>资源机制</x:v>
      </x:c>
      <x:c r="T218" s="19" t="str">
        <x:v>资源机制</x:v>
      </x:c>
      <x:c r="U218" s="48" t="str">
        <x:v>主动；单位目标；主分类：资源机制；标签：资源机制</x:v>
      </x:c>
      <x:c r="V218" s="48" t="str">
        <x:v>50/50/50/50</x:v>
      </x:c>
      <x:c r="W218" s="48" t="str">
        <x:v>15/15/15/15</x:v>
      </x:c>
      <x:c r="X218" s="48" t="str">
        <x:v>900/900/900/900</x:v>
      </x:c>
      <x:c r="Y218" s="48" t="str">
        <x:v>—/—/—/—</x:v>
      </x:c>
      <x:c r="Z218" s="48" t="str">
        <x:v>22/22/22/22</x:v>
      </x:c>
      <x:c r="AA218" s="48" t="str">
        <x:v>22/22/22/22</x:v>
      </x:c>
      <x:c r="AB218" s="48" t="str">
        <x:v>air,ground,enemy,organic,neutral/air,ground,enemy,organic,neutral/air,ground,enemy,organic,neutral/air,ground,enemy,organic,neutral</x:v>
      </x:c>
      <x:c r="AC218" s="48" t="str">
        <x:v>主动；单位目标；主分类：资源机制；标签：资源机制；等级：4；魔耗：50/50/50/50；冷却：15/15/15/15；施法距离：900/900/900/900；作用范围：—/—/—/—；持续时间：22/22/22/22。</x:v>
      </x:c>
      <x:c r="AD218" s="48" t="str">
        <x:v>22 / 1 / 20% / 2 / 40% / 3 / 60% / 4 / 80% / 15</x:v>
      </x:c>
      <x:c r="AE218" s="48" t="str">
        <x:v>A</x:v>
      </x:c>
      <x:c r="AF218" s="48" t="str">
        <x:v>6.48b 地图内 UnitAbilities/AbilityData/AbilityStrings 与对象修改表</x:v>
      </x:c>
      <x:c r="AG218" s="18" t="str">
        <x:v>S1</x:v>
      </x:c>
    </x:row>
    <x:row r="219" ht="48" customHeight="1">
      <x:c r="A219" s="19" t="str">
        <x:v>Hblm-2</x:v>
      </x:c>
      <x:c r="B219" s="19" t="str">
        <x:v>近卫军团</x:v>
      </x:c>
      <x:c r="C219" s="19" t="str">
        <x:v>日出酒馆</x:v>
      </x:c>
      <x:c r="D219" s="19" t="str">
        <x:v>光之守卫</x:v>
      </x:c>
      <x:c r="E219" s="19" t="str">
        <x:v>Keeper of the Light</x:v>
      </x:c>
      <x:c r="F219" s="19" t="str">
        <x:v>Hblm</x:v>
      </x:c>
      <x:c r="G219" s="19" t="str">
        <x:v>Ezalor</x:v>
      </x:c>
      <x:c r="H219" s="19" t="str">
        <x:v>INT</x:v>
      </x:c>
      <x:c r="I219" s="19" t="str">
        <x:v>远程</x:v>
      </x:c>
      <x:c r="J219" s="19" t="n">
        <x:v>2</x:v>
      </x:c>
      <x:c r="K219" s="19" t="str">
        <x:v>Chakra Magic</x:v>
      </x:c>
      <x:c r="L219" s="19" t="str">
        <x:v>A07N</x:v>
      </x:c>
      <x:c r="M219" s="49" t="str">
        <x:v>否</x:v>
      </x:c>
      <x:c r="N219" s="49" t="n">
        <x:v>4</x:v>
      </x:c>
      <x:c r="O219" s="49" t="n">
        <x:v>1</x:v>
      </x:c>
      <x:c r="P219" s="49" t="n">
        <x:v>2</x:v>
      </x:c>
      <x:c r="Q219" s="19" t="str">
        <x:v>开关/自动施放</x:v>
      </x:c>
      <x:c r="R219" s="19" t="str">
        <x:v>—</x:v>
      </x:c>
      <x:c r="S219" s="19" t="str">
        <x:v>治疗/回复</x:v>
      </x:c>
      <x:c r="T219" s="19" t="str">
        <x:v>伤害、治疗/回复、强化、资源机制、持续施法</x:v>
      </x:c>
      <x:c r="U219" s="48" t="str">
        <x:v>开关/自动施放；—；主分类：治疗/回复；标签：伤害、治疗/回复、强化、资源机制、持续施法</x:v>
      </x:c>
      <x:c r="V219" s="48" t="str">
        <x:v>40/80/100/120</x:v>
      </x:c>
      <x:c r="W219" s="48" t="str">
        <x:v>19/19/19/19</x:v>
      </x:c>
      <x:c r="X219" s="48" t="str">
        <x:v>500/500/500/500</x:v>
      </x:c>
      <x:c r="Y219" s="48" t="str">
        <x:v>—/—/—/—</x:v>
      </x:c>
      <x:c r="Z219" s="48" t="str">
        <x:v>30/30/30/30</x:v>
      </x:c>
      <x:c r="AA219" s="48" t="str">
        <x:v>30/30/30/30</x:v>
      </x:c>
      <x:c r="AB219" s="48" t="str">
        <x:v>air,friend,ground,invulnerable,neutral,self,vulnerable/air,friend,ground,invulnerable,neutral,self,vulnerable/air,friend,ground,invulnerable,neutral,self,vulnerable/air,friend,ground,invulnerable,neutral,self,vulnerable</x:v>
      </x:c>
      <x:c r="AC219" s="48" t="str">
        <x:v>开关/自动施放；—；主分类：治疗/回复；标签：伤害、治疗/回复、强化、资源机制、持续施法；等级：4；魔耗：40/80/100/120；冷却：19/19/19/19；施法距离：500/500/500/500；作用范围：—/—/—/—；持续时间：30/30/30/30。</x:v>
      </x:c>
      <x:c r="AD219" s="48" t="str">
        <x:v>30 / 1 / 75 / 15 / 7% / 2 / 150 / 3 / 14% / 225 / 45 / 21% / 4 / 300 / 6 / 28% / 19</x:v>
      </x:c>
      <x:c r="AE219" s="48" t="str">
        <x:v>A</x:v>
      </x:c>
      <x:c r="AF219" s="48" t="str">
        <x:v>6.48b 地图内 UnitAbilities/AbilityData/AbilityStrings 与对象修改表</x:v>
      </x:c>
      <x:c r="AG219" s="18" t="str">
        <x:v>S1</x:v>
      </x:c>
    </x:row>
    <x:row r="220" ht="48" customHeight="1">
      <x:c r="A220" s="19" t="str">
        <x:v>Hblm-3</x:v>
      </x:c>
      <x:c r="B220" s="19" t="str">
        <x:v>近卫军团</x:v>
      </x:c>
      <x:c r="C220" s="19" t="str">
        <x:v>日出酒馆</x:v>
      </x:c>
      <x:c r="D220" s="19" t="str">
        <x:v>光之守卫</x:v>
      </x:c>
      <x:c r="E220" s="19" t="str">
        <x:v>Keeper of the Light</x:v>
      </x:c>
      <x:c r="F220" s="19" t="str">
        <x:v>Hblm</x:v>
      </x:c>
      <x:c r="G220" s="19" t="str">
        <x:v>Ezalor</x:v>
      </x:c>
      <x:c r="H220" s="19" t="str">
        <x:v>INT</x:v>
      </x:c>
      <x:c r="I220" s="19" t="str">
        <x:v>远程</x:v>
      </x:c>
      <x:c r="J220" s="19" t="n">
        <x:v>3</x:v>
      </x:c>
      <x:c r="K220" s="19" t="str">
        <x:v>Ignis Fatuus</x:v>
      </x:c>
      <x:c r="L220" s="19" t="str">
        <x:v>A0MO</x:v>
      </x:c>
      <x:c r="M220" s="49" t="str">
        <x:v>是</x:v>
      </x:c>
      <x:c r="N220" s="49" t="n">
        <x:v>3</x:v>
      </x:c>
      <x:c r="O220" s="49" t="n">
        <x:v>6</x:v>
      </x:c>
      <x:c r="P220" s="49" t="n">
        <x:v>5</x:v>
      </x:c>
      <x:c r="Q220" s="19" t="str">
        <x:v>主动</x:v>
      </x:c>
      <x:c r="R220" s="19" t="str">
        <x:v>无目标或脚本目标</x:v>
      </x:c>
      <x:c r="S220" s="19" t="str">
        <x:v>召唤</x:v>
      </x:c>
      <x:c r="T220" s="19" t="str">
        <x:v>伤害、召唤、资源机制</x:v>
      </x:c>
      <x:c r="U220" s="48" t="str">
        <x:v>主动；无目标或脚本目标；主分类：召唤；标签：伤害、召唤、资源机制</x:v>
      </x:c>
      <x:c r="V220" s="48" t="str">
        <x:v>200/300/450</x:v>
      </x:c>
      <x:c r="W220" s="48" t="str">
        <x:v>60/60/60</x:v>
      </x:c>
      <x:c r="X220" s="48" t="str">
        <x:v>—/—/—</x:v>
      </x:c>
      <x:c r="Y220" s="48" t="str">
        <x:v>200/200/200</x:v>
      </x:c>
      <x:c r="Z220" s="48" t="str">
        <x:v>90/90/90</x:v>
      </x:c>
      <x:c r="AA220" s="48" t="str">
        <x:v>90/90/90</x:v>
      </x:c>
      <x:c r="AB220" s="48" t="str">
        <x:v>—/—/—</x:v>
      </x:c>
      <x:c r="AC220" s="48" t="str">
        <x:v>主动；无目标或脚本目标；主分类：召唤；标签：伤害、召唤、资源机制；等级：3；魔耗：200/300/450；冷却：60/60/60；施法距离：—/—/—；作用范围：200/200/200；持续时间：90/90/90。</x:v>
      </x:c>
      <x:c r="AD220" s="48" t="str">
        <x:v>90 / 1 / 2 / 3 / 60</x:v>
      </x:c>
      <x:c r="AE220" s="48" t="str">
        <x:v>A</x:v>
      </x:c>
      <x:c r="AF220" s="48" t="str">
        <x:v>6.48b 地图内 UnitAbilities/AbilityData/AbilityStrings 与对象修改表</x:v>
      </x:c>
      <x:c r="AG220" s="18" t="str">
        <x:v>S1</x:v>
      </x:c>
    </x:row>
    <x:row r="221" ht="48" customHeight="1">
      <x:c r="A221" s="19" t="str">
        <x:v>Hblm-4</x:v>
      </x:c>
      <x:c r="B221" s="19" t="str">
        <x:v>近卫军团</x:v>
      </x:c>
      <x:c r="C221" s="19" t="str">
        <x:v>日出酒馆</x:v>
      </x:c>
      <x:c r="D221" s="19" t="str">
        <x:v>光之守卫</x:v>
      </x:c>
      <x:c r="E221" s="19" t="str">
        <x:v>Keeper of the Light</x:v>
      </x:c>
      <x:c r="F221" s="19" t="str">
        <x:v>Hblm</x:v>
      </x:c>
      <x:c r="G221" s="19" t="str">
        <x:v>Ezalor</x:v>
      </x:c>
      <x:c r="H221" s="19" t="str">
        <x:v>INT</x:v>
      </x:c>
      <x:c r="I221" s="19" t="str">
        <x:v>远程</x:v>
      </x:c>
      <x:c r="J221" s="19" t="n">
        <x:v>4</x:v>
      </x:c>
      <x:c r="K221" s="19" t="str">
        <x:v>Illuminate</x:v>
      </x:c>
      <x:c r="L221" s="19" t="str">
        <x:v>A085</x:v>
      </x:c>
      <x:c r="M221" s="49" t="str">
        <x:v>否</x:v>
      </x:c>
      <x:c r="N221" s="49" t="n">
        <x:v>4</x:v>
      </x:c>
      <x:c r="O221" s="49" t="n">
        <x:v>1</x:v>
      </x:c>
      <x:c r="P221" s="49" t="n">
        <x:v>2</x:v>
      </x:c>
      <x:c r="Q221" s="19" t="str">
        <x:v>主动</x:v>
      </x:c>
      <x:c r="R221" s="19" t="str">
        <x:v>无目标或脚本目标</x:v>
      </x:c>
      <x:c r="S221" s="19" t="str">
        <x:v>伤害</x:v>
      </x:c>
      <x:c r="T221" s="19" t="str">
        <x:v>伤害、持续施法</x:v>
      </x:c>
      <x:c r="U221" s="48" t="str">
        <x:v>主动；无目标或脚本目标；主分类：伤害；标签：伤害、持续施法</x:v>
      </x:c>
      <x:c r="V221" s="48" t="str">
        <x:v>150/150/150/150</x:v>
      </x:c>
      <x:c r="W221" s="48" t="str">
        <x:v>10/10/10/10</x:v>
      </x:c>
      <x:c r="X221" s="48" t="str">
        <x:v>230/230/230/230</x:v>
      </x:c>
      <x:c r="Y221" s="48" t="str">
        <x:v>—/—/—/—</x:v>
      </x:c>
      <x:c r="Z221" s="48" t="str">
        <x:v>—/—/—/—</x:v>
      </x:c>
      <x:c r="AA221" s="48" t="str">
        <x:v>—/—/—/—</x:v>
      </x:c>
      <x:c r="AB221" s="48" t="str">
        <x:v>organic/organic/organic/organic</x:v>
      </x:c>
      <x:c r="AC221" s="48" t="str">
        <x:v>主动；无目标或脚本目标；主分类：伤害；标签：伤害、持续施法；等级：4；魔耗：150/150/150/150；冷却：10/10/10/10；施法距离：230/230/230/230；作用范围：—/—/—/—；持续时间：—/—/—/—。</x:v>
      </x:c>
      <x:c r="AD221" s="48" t="str">
        <x:v>100 / 1 / 2 / 500 / 3 / 600 / 4 / 700 / 5 / 800 / 10</x:v>
      </x:c>
      <x:c r="AE221" s="48" t="str">
        <x:v>A</x:v>
      </x:c>
      <x:c r="AF221" s="48" t="str">
        <x:v>6.48b 地图内 UnitAbilities/AbilityData/AbilityStrings 与对象修改表</x:v>
      </x:c>
      <x:c r="AG221" s="18" t="str">
        <x:v>S1</x:v>
      </x:c>
    </x:row>
    <x:row r="222" ht="48" customHeight="1">
      <x:c r="A222" s="19" t="str">
        <x:v>Ntin-1</x:v>
      </x:c>
      <x:c r="B222" s="19" t="str">
        <x:v>近卫军团</x:v>
      </x:c>
      <x:c r="C222" s="19" t="str">
        <x:v>日出酒馆</x:v>
      </x:c>
      <x:c r="D222" s="19" t="str">
        <x:v>修补匠</x:v>
      </x:c>
      <x:c r="E222" s="19" t="str">
        <x:v>Tinker</x:v>
      </x:c>
      <x:c r="F222" s="19" t="str">
        <x:v>Ntin</x:v>
      </x:c>
      <x:c r="G222" s="19" t="str">
        <x:v>Boush</x:v>
      </x:c>
      <x:c r="H222" s="19" t="str">
        <x:v>INT</x:v>
      </x:c>
      <x:c r="I222" s="19" t="str">
        <x:v>远程</x:v>
      </x:c>
      <x:c r="J222" s="19" t="n">
        <x:v>1</x:v>
      </x:c>
      <x:c r="K222" s="19" t="str">
        <x:v>Laser</x:v>
      </x:c>
      <x:c r="L222" s="19" t="str">
        <x:v>A049</x:v>
      </x:c>
      <x:c r="M222" s="49" t="str">
        <x:v>否</x:v>
      </x:c>
      <x:c r="N222" s="49" t="n">
        <x:v>4</x:v>
      </x:c>
      <x:c r="O222" s="49" t="n">
        <x:v>1</x:v>
      </x:c>
      <x:c r="P222" s="49" t="n">
        <x:v>2</x:v>
      </x:c>
      <x:c r="Q222" s="19" t="str">
        <x:v>主动</x:v>
      </x:c>
      <x:c r="R222" s="19" t="str">
        <x:v>单位目标</x:v>
      </x:c>
      <x:c r="S222" s="19" t="str">
        <x:v>软控</x:v>
      </x:c>
      <x:c r="T222" s="19" t="str">
        <x:v>伤害、软控、范围效果</x:v>
      </x:c>
      <x:c r="U222" s="48" t="str">
        <x:v>主动；单位目标；主分类：软控；标签：伤害、软控、范围效果</x:v>
      </x:c>
      <x:c r="V222" s="48" t="str">
        <x:v>95/120/145/170</x:v>
      </x:c>
      <x:c r="W222" s="48" t="str">
        <x:v>14/14/14/14</x:v>
      </x:c>
      <x:c r="X222" s="48" t="str">
        <x:v>550/550/550/550</x:v>
      </x:c>
      <x:c r="Y222" s="48" t="str">
        <x:v>250/250/250/250</x:v>
      </x:c>
      <x:c r="Z222" s="48" t="str">
        <x:v>18/18/18/18</x:v>
      </x:c>
      <x:c r="AA222" s="48" t="str">
        <x:v>9/9/9/9</x:v>
      </x:c>
      <x:c r="AB222" s="48" t="str">
        <x:v>air,ground,enemy,organic,neutral/air,ground,enemy,organic,neutral/air,ground,enemy,organic,neutral/air,ground,enemy,organic,neutral</x:v>
      </x:c>
      <x:c r="AC222" s="48" t="str">
        <x:v>主动；单位目标；主分类：软控；标签：伤害、软控、范围效果；等级：4；魔耗：95/120/145/170；冷却：14/14/14/14；施法距离：550/550/550/550；作用范围：250/250/250/250；持续时间：18/18/18/18。</x:v>
      </x:c>
      <x:c r="AD222" s="48" t="str">
        <x:v>9 / 1 / 80 / 10% / 2 / 160 / 15% / 3 / 240 / 20% / 4 / 320 / 25% / 14</x:v>
      </x:c>
      <x:c r="AE222" s="48" t="str">
        <x:v>A</x:v>
      </x:c>
      <x:c r="AF222" s="48" t="str">
        <x:v>6.48b 地图内 UnitAbilities/AbilityData/AbilityStrings 与对象修改表</x:v>
      </x:c>
      <x:c r="AG222" s="18" t="str">
        <x:v>S1</x:v>
      </x:c>
    </x:row>
    <x:row r="223" ht="48" customHeight="1">
      <x:c r="A223" s="19" t="str">
        <x:v>Ntin-2</x:v>
      </x:c>
      <x:c r="B223" s="19" t="str">
        <x:v>近卫军团</x:v>
      </x:c>
      <x:c r="C223" s="19" t="str">
        <x:v>日出酒馆</x:v>
      </x:c>
      <x:c r="D223" s="19" t="str">
        <x:v>修补匠</x:v>
      </x:c>
      <x:c r="E223" s="19" t="str">
        <x:v>Tinker</x:v>
      </x:c>
      <x:c r="F223" s="19" t="str">
        <x:v>Ntin</x:v>
      </x:c>
      <x:c r="G223" s="19" t="str">
        <x:v>Boush</x:v>
      </x:c>
      <x:c r="H223" s="19" t="str">
        <x:v>INT</x:v>
      </x:c>
      <x:c r="I223" s="19" t="str">
        <x:v>远程</x:v>
      </x:c>
      <x:c r="J223" s="19" t="n">
        <x:v>2</x:v>
      </x:c>
      <x:c r="K223" s="19" t="str">
        <x:v>Heat Seeking Missile</x:v>
      </x:c>
      <x:c r="L223" s="19" t="str">
        <x:v>A05E</x:v>
      </x:c>
      <x:c r="M223" s="49" t="str">
        <x:v>否</x:v>
      </x:c>
      <x:c r="N223" s="49" t="n">
        <x:v>4</x:v>
      </x:c>
      <x:c r="O223" s="49" t="n">
        <x:v>1</x:v>
      </x:c>
      <x:c r="P223" s="49" t="n">
        <x:v>2</x:v>
      </x:c>
      <x:c r="Q223" s="19" t="str">
        <x:v>主动</x:v>
      </x:c>
      <x:c r="R223" s="19" t="str">
        <x:v>无目标或脚本目标</x:v>
      </x:c>
      <x:c r="S223" s="19" t="str">
        <x:v>伤害</x:v>
      </x:c>
      <x:c r="T223" s="19" t="str">
        <x:v>伤害</x:v>
      </x:c>
      <x:c r="U223" s="48" t="str">
        <x:v>主动；无目标或脚本目标；主分类：伤害；标签：伤害</x:v>
      </x:c>
      <x:c r="V223" s="48" t="str">
        <x:v>120/140/160/180</x:v>
      </x:c>
      <x:c r="W223" s="48" t="str">
        <x:v>25/25/25/25</x:v>
      </x:c>
      <x:c r="X223" s="48" t="str">
        <x:v>—/—/—/—</x:v>
      </x:c>
      <x:c r="Y223" s="48" t="str">
        <x:v>2500/2500/2500/2500</x:v>
      </x:c>
      <x:c r="Z223" s="48" t="str">
        <x:v>—/—/—/—</x:v>
      </x:c>
      <x:c r="AA223" s="48" t="str">
        <x:v>—/—/—/—</x:v>
      </x:c>
      <x:c r="AB223" s="48" t="str">
        <x:v>air,enemies,ground,hero/air,enemies,ground,hero/air,enemies,ground,hero/air,enemies,ground,hero</x:v>
      </x:c>
      <x:c r="AC223" s="48" t="str">
        <x:v>主动；无目标或脚本目标；主分类：伤害；标签：伤害；等级：4；魔耗：120/140/160/180；冷却：25/25/25/25；施法距离：—/—/—/—；作用范围：2500/2500/2500/2500；持续时间：—/—/—/—。</x:v>
      </x:c>
      <x:c r="AD223" s="48" t="str">
        <x:v>2500 / 1 / 100 / 2 / 175 / 3 / 250 / 4 / 325 / 25</x:v>
      </x:c>
      <x:c r="AE223" s="48" t="str">
        <x:v>A</x:v>
      </x:c>
      <x:c r="AF223" s="48" t="str">
        <x:v>6.48b 地图内 UnitAbilities/AbilityData/AbilityStrings 与对象修改表</x:v>
      </x:c>
      <x:c r="AG223" s="18" t="str">
        <x:v>S1</x:v>
      </x:c>
    </x:row>
    <x:row r="224" ht="48" customHeight="1">
      <x:c r="A224" s="19" t="str">
        <x:v>Ntin-3</x:v>
      </x:c>
      <x:c r="B224" s="19" t="str">
        <x:v>近卫军团</x:v>
      </x:c>
      <x:c r="C224" s="19" t="str">
        <x:v>日出酒馆</x:v>
      </x:c>
      <x:c r="D224" s="19" t="str">
        <x:v>修补匠</x:v>
      </x:c>
      <x:c r="E224" s="19" t="str">
        <x:v>Tinker</x:v>
      </x:c>
      <x:c r="F224" s="19" t="str">
        <x:v>Ntin</x:v>
      </x:c>
      <x:c r="G224" s="19" t="str">
        <x:v>Boush</x:v>
      </x:c>
      <x:c r="H224" s="19" t="str">
        <x:v>INT</x:v>
      </x:c>
      <x:c r="I224" s="19" t="str">
        <x:v>远程</x:v>
      </x:c>
      <x:c r="J224" s="19" t="n">
        <x:v>3</x:v>
      </x:c>
      <x:c r="K224" s="19" t="str">
        <x:v>March of the Machines</x:v>
      </x:c>
      <x:c r="L224" s="19" t="str">
        <x:v>A0BQ</x:v>
      </x:c>
      <x:c r="M224" s="49" t="str">
        <x:v>否</x:v>
      </x:c>
      <x:c r="N224" s="49" t="n">
        <x:v>4</x:v>
      </x:c>
      <x:c r="O224" s="49" t="n">
        <x:v>1</x:v>
      </x:c>
      <x:c r="P224" s="49" t="n">
        <x:v>2</x:v>
      </x:c>
      <x:c r="Q224" s="19" t="str">
        <x:v>主动</x:v>
      </x:c>
      <x:c r="R224" s="19" t="str">
        <x:v>无目标或脚本目标</x:v>
      </x:c>
      <x:c r="S224" s="19" t="str">
        <x:v>召唤</x:v>
      </x:c>
      <x:c r="T224" s="19" t="str">
        <x:v>伤害、召唤</x:v>
      </x:c>
      <x:c r="U224" s="48" t="str">
        <x:v>主动；无目标或脚本目标；主分类：召唤；标签：伤害、召唤</x:v>
      </x:c>
      <x:c r="V224" s="48" t="str">
        <x:v>145/150/165/190</x:v>
      </x:c>
      <x:c r="W224" s="48" t="str">
        <x:v>35/35/35/35</x:v>
      </x:c>
      <x:c r="X224" s="48" t="str">
        <x:v>300/300/300/300</x:v>
      </x:c>
      <x:c r="Y224" s="48" t="str">
        <x:v>300/300/300/300</x:v>
      </x:c>
      <x:c r="Z224" s="48" t="str">
        <x:v>—/—/—/—</x:v>
      </x:c>
      <x:c r="AA224" s="48" t="str">
        <x:v>—/—/—/—</x:v>
      </x:c>
      <x:c r="AB224" s="48" t="str">
        <x:v>debris,enemies,ground,neutral/debris,enemies,ground,neutral/debris,enemies,ground,neutral/debris,enemies,ground,neutral</x:v>
      </x:c>
      <x:c r="AC224" s="48" t="str">
        <x:v>主动；无目标或脚本目标；主分类：召唤；标签：伤害、召唤；等级：4；魔耗：145/150/165/190；冷却：35/35/35/35；施法距离：300/300/300/300；作用范围：300/300/300/300；持续时间：—/—/—/—。</x:v>
      </x:c>
      <x:c r="AD224" s="48" t="str">
        <x:v>1 / 16 / 2 / 24 / 3 / 32 / 4 / 40 / 35</x:v>
      </x:c>
      <x:c r="AE224" s="48" t="str">
        <x:v>A</x:v>
      </x:c>
      <x:c r="AF224" s="48" t="str">
        <x:v>6.48b 地图内 UnitAbilities/AbilityData/AbilityStrings 与对象修改表</x:v>
      </x:c>
      <x:c r="AG224" s="18" t="str">
        <x:v>S1</x:v>
      </x:c>
    </x:row>
    <x:row r="225" ht="48" customHeight="1">
      <x:c r="A225" s="19" t="str">
        <x:v>Ntin-4</x:v>
      </x:c>
      <x:c r="B225" s="19" t="str">
        <x:v>近卫军团</x:v>
      </x:c>
      <x:c r="C225" s="19" t="str">
        <x:v>日出酒馆</x:v>
      </x:c>
      <x:c r="D225" s="19" t="str">
        <x:v>修补匠</x:v>
      </x:c>
      <x:c r="E225" s="19" t="str">
        <x:v>Tinker</x:v>
      </x:c>
      <x:c r="F225" s="19" t="str">
        <x:v>Ntin</x:v>
      </x:c>
      <x:c r="G225" s="19" t="str">
        <x:v>Boush</x:v>
      </x:c>
      <x:c r="H225" s="19" t="str">
        <x:v>INT</x:v>
      </x:c>
      <x:c r="I225" s="19" t="str">
        <x:v>远程</x:v>
      </x:c>
      <x:c r="J225" s="19" t="n">
        <x:v>4</x:v>
      </x:c>
      <x:c r="K225" s="19" t="str">
        <x:v>Rearm</x:v>
      </x:c>
      <x:c r="L225" s="19" t="str">
        <x:v>A065</x:v>
      </x:c>
      <x:c r="M225" s="49" t="str">
        <x:v>是</x:v>
      </x:c>
      <x:c r="N225" s="49" t="n">
        <x:v>3</x:v>
      </x:c>
      <x:c r="O225" s="49" t="n">
        <x:v>6</x:v>
      </x:c>
      <x:c r="P225" s="49" t="n">
        <x:v>5</x:v>
      </x:c>
      <x:c r="Q225" s="19" t="str">
        <x:v>主动</x:v>
      </x:c>
      <x:c r="R225" s="19" t="str">
        <x:v>无目标或脚本目标</x:v>
      </x:c>
      <x:c r="S225" s="19" t="str">
        <x:v>功能/特殊</x:v>
      </x:c>
      <x:c r="T225" s="19" t="str"/>
      <x:c r="U225" s="48" t="str">
        <x:v>主动；无目标或脚本目标；主分类：功能/特殊</x:v>
      </x:c>
      <x:c r="V225" s="48" t="str">
        <x:v>150/250/350</x:v>
      </x:c>
      <x:c r="W225" s="48" t="str">
        <x:v>—/—/—</x:v>
      </x:c>
      <x:c r="X225" s="48" t="str">
        <x:v>500/500/500</x:v>
      </x:c>
      <x:c r="Y225" s="48" t="str">
        <x:v>—/—/—</x:v>
      </x:c>
      <x:c r="Z225" s="48" t="str">
        <x:v>—/—/—</x:v>
      </x:c>
      <x:c r="AA225" s="48" t="str">
        <x:v>—/—/—</x:v>
      </x:c>
      <x:c r="AB225" s="48" t="str">
        <x:v>—/—/—</x:v>
      </x:c>
      <x:c r="AC225" s="48" t="str">
        <x:v>主动；无目标或脚本目标；主分类：功能/特殊；等级：3；魔耗：150/250/350；冷却：—/—/—；施法距离：500/500/500；作用范围：—/—/—；持续时间：—/—/—。</x:v>
      </x:c>
      <x:c r="AD225" s="48" t="str">
        <x:v>1 / 3 / 2</x:v>
      </x:c>
      <x:c r="AE225" s="48" t="str">
        <x:v>A</x:v>
      </x:c>
      <x:c r="AF225" s="48" t="str">
        <x:v>6.48b 地图内 UnitAbilities/AbilityData/AbilityStrings 与对象修改表</x:v>
      </x:c>
      <x:c r="AG225" s="18" t="str">
        <x:v>S1</x:v>
      </x:c>
    </x:row>
    <x:row r="226" ht="48" customHeight="1">
      <x:c r="A226" s="19" t="str">
        <x:v>Ogrh-1</x:v>
      </x:c>
      <x:c r="B226" s="19" t="str">
        <x:v>近卫军团</x:v>
      </x:c>
      <x:c r="C226" s="19" t="str">
        <x:v>日出酒馆</x:v>
      </x:c>
      <x:c r="D226" s="19" t="str">
        <x:v>幻影长矛手</x:v>
      </x:c>
      <x:c r="E226" s="19" t="str">
        <x:v>Phantom Lancer</x:v>
      </x:c>
      <x:c r="F226" s="19" t="str">
        <x:v>Ogrh</x:v>
      </x:c>
      <x:c r="G226" s="19" t="str">
        <x:v>Azwraith</x:v>
      </x:c>
      <x:c r="H226" s="19" t="str">
        <x:v>AGI</x:v>
      </x:c>
      <x:c r="I226" s="19" t="str">
        <x:v>近战</x:v>
      </x:c>
      <x:c r="J226" s="19" t="n">
        <x:v>1</x:v>
      </x:c>
      <x:c r="K226" s="19" t="str">
        <x:v>Spirit Lance</x:v>
      </x:c>
      <x:c r="L226" s="19" t="str">
        <x:v>A0DA</x:v>
      </x:c>
      <x:c r="M226" s="49" t="str">
        <x:v>否</x:v>
      </x:c>
      <x:c r="N226" s="49" t="n">
        <x:v>4</x:v>
      </x:c>
      <x:c r="O226" s="49" t="n">
        <x:v>1</x:v>
      </x:c>
      <x:c r="P226" s="49" t="n">
        <x:v>2</x:v>
      </x:c>
      <x:c r="Q226" s="19" t="str">
        <x:v>主动</x:v>
      </x:c>
      <x:c r="R226" s="19" t="str">
        <x:v>单位目标</x:v>
      </x:c>
      <x:c r="S226" s="19" t="str">
        <x:v>软控</x:v>
      </x:c>
      <x:c r="T226" s="19" t="str">
        <x:v>伤害、软控</x:v>
      </x:c>
      <x:c r="U226" s="48" t="str">
        <x:v>主动；单位目标；主分类：软控；标签：伤害、软控</x:v>
      </x:c>
      <x:c r="V226" s="48" t="str">
        <x:v>140/140/140/140</x:v>
      </x:c>
      <x:c r="W226" s="48" t="str">
        <x:v>9/9/9/9</x:v>
      </x:c>
      <x:c r="X226" s="48" t="str">
        <x:v>600/600/600/600</x:v>
      </x:c>
      <x:c r="Y226" s="48" t="str">
        <x:v>—/—/—/—</x:v>
      </x:c>
      <x:c r="Z226" s="48" t="str">
        <x:v>0.01/0.01/0.01/0.01</x:v>
      </x:c>
      <x:c r="AA226" s="48" t="str">
        <x:v>0.01/0.01/0.01/0.01</x:v>
      </x:c>
      <x:c r="AB226" s="48" t="str">
        <x:v>air,ground,debris,enemy,neutral,organic/air,ground,debris,enemy,neutral,organic/air,ground,debris,enemy,neutral,organic/air,ground,debris,enemy,neutral,organic</x:v>
      </x:c>
      <x:c r="AC226" s="48" t="str">
        <x:v>主动；单位目标；主分类：软控；标签：伤害、软控；等级：4；魔耗：140/140/140/140；冷却：9/9/9/9；施法距离：600/600/600/600；作用范围：—/—/—/—；持续时间：0.01/0.01/0.01/0.01。</x:v>
      </x:c>
      <x:c r="AD226" s="48" t="str">
        <x:v>3 / 1 / 110 / 10% / 2 / 150 / 20% / 215 / 30% / 4 / 310 / 40% / 9</x:v>
      </x:c>
      <x:c r="AE226" s="48" t="str">
        <x:v>A</x:v>
      </x:c>
      <x:c r="AF226" s="48" t="str">
        <x:v>6.48b 地图内 UnitAbilities/AbilityData/AbilityStrings 与对象修改表</x:v>
      </x:c>
      <x:c r="AG226" s="18" t="str">
        <x:v>S1</x:v>
      </x:c>
    </x:row>
    <x:row r="227" ht="48" customHeight="1">
      <x:c r="A227" s="19" t="str">
        <x:v>Ogrh-2</x:v>
      </x:c>
      <x:c r="B227" s="19" t="str">
        <x:v>近卫军团</x:v>
      </x:c>
      <x:c r="C227" s="19" t="str">
        <x:v>日出酒馆</x:v>
      </x:c>
      <x:c r="D227" s="19" t="str">
        <x:v>幻影长矛手</x:v>
      </x:c>
      <x:c r="E227" s="19" t="str">
        <x:v>Phantom Lancer</x:v>
      </x:c>
      <x:c r="F227" s="19" t="str">
        <x:v>Ogrh</x:v>
      </x:c>
      <x:c r="G227" s="19" t="str">
        <x:v>Azwraith</x:v>
      </x:c>
      <x:c r="H227" s="19" t="str">
        <x:v>AGI</x:v>
      </x:c>
      <x:c r="I227" s="19" t="str">
        <x:v>近战</x:v>
      </x:c>
      <x:c r="J227" s="19" t="n">
        <x:v>2</x:v>
      </x:c>
      <x:c r="K227" s="19" t="str">
        <x:v>Doppelwalk</x:v>
      </x:c>
      <x:c r="L227" s="19" t="str">
        <x:v>A0D7</x:v>
      </x:c>
      <x:c r="M227" s="49" t="str">
        <x:v>否</x:v>
      </x:c>
      <x:c r="N227" s="49" t="n">
        <x:v>4</x:v>
      </x:c>
      <x:c r="O227" s="49" t="n">
        <x:v>1</x:v>
      </x:c>
      <x:c r="P227" s="49" t="n">
        <x:v>2</x:v>
      </x:c>
      <x:c r="Q227" s="19" t="str">
        <x:v>主动</x:v>
      </x:c>
      <x:c r="R227" s="19" t="str">
        <x:v>无目标或脚本目标</x:v>
      </x:c>
      <x:c r="S227" s="19" t="str">
        <x:v>强化</x:v>
      </x:c>
      <x:c r="T227" s="19" t="str">
        <x:v>伤害、强化、隐身、资源机制</x:v>
      </x:c>
      <x:c r="U227" s="48" t="str">
        <x:v>主动；无目标或脚本目标；主分类：强化；标签：伤害、强化、隐身、资源机制</x:v>
      </x:c>
      <x:c r="V227" s="48" t="str">
        <x:v>150/120/90/60</x:v>
      </x:c>
      <x:c r="W227" s="48" t="str">
        <x:v>30/25/20/15</x:v>
      </x:c>
      <x:c r="X227" s="48" t="str">
        <x:v>—/—/—/—</x:v>
      </x:c>
      <x:c r="Y227" s="48" t="str">
        <x:v>—/—/—/—</x:v>
      </x:c>
      <x:c r="Z227" s="48" t="str">
        <x:v>20/20/20/20</x:v>
      </x:c>
      <x:c r="AA227" s="48" t="str">
        <x:v>12/12/12/12</x:v>
      </x:c>
      <x:c r="AB227" s="48" t="str">
        <x:v>none/none/none/none</x:v>
      </x:c>
      <x:c r="AC227" s="48" t="str">
        <x:v>主动；无目标或脚本目标；主分类：强化；标签：伤害、强化、隐身、资源机制；等级：4；魔耗：150/120/90/60；冷却：30/25/20/15；施法距离：—/—/—/—；作用范围：—/—/—/—；持续时间：20/20/20/20。</x:v>
      </x:c>
      <x:c r="AD227" s="48" t="str">
        <x:v>10% / 12 / 1 / 150 / 2 / 120 / 3 / 90 / 4 / 60 / 30 / 25 / 20 / 15 / 25% / 300%</x:v>
      </x:c>
      <x:c r="AE227" s="48" t="str">
        <x:v>A</x:v>
      </x:c>
      <x:c r="AF227" s="48" t="str">
        <x:v>6.48b 地图内 UnitAbilities/AbilityData/AbilityStrings 与对象修改表</x:v>
      </x:c>
      <x:c r="AG227" s="18" t="str">
        <x:v>S1</x:v>
      </x:c>
    </x:row>
    <x:row r="228" ht="48" customHeight="1">
      <x:c r="A228" s="19" t="str">
        <x:v>Ogrh-3</x:v>
      </x:c>
      <x:c r="B228" s="19" t="str">
        <x:v>近卫军团</x:v>
      </x:c>
      <x:c r="C228" s="19" t="str">
        <x:v>日出酒馆</x:v>
      </x:c>
      <x:c r="D228" s="19" t="str">
        <x:v>幻影长矛手</x:v>
      </x:c>
      <x:c r="E228" s="19" t="str">
        <x:v>Phantom Lancer</x:v>
      </x:c>
      <x:c r="F228" s="19" t="str">
        <x:v>Ogrh</x:v>
      </x:c>
      <x:c r="G228" s="19" t="str">
        <x:v>Azwraith</x:v>
      </x:c>
      <x:c r="H228" s="19" t="str">
        <x:v>AGI</x:v>
      </x:c>
      <x:c r="I228" s="19" t="str">
        <x:v>近战</x:v>
      </x:c>
      <x:c r="J228" s="19" t="n">
        <x:v>3</x:v>
      </x:c>
      <x:c r="K228" s="19" t="str">
        <x:v>Juxtapose</x:v>
      </x:c>
      <x:c r="L228" s="19" t="str">
        <x:v>A0DB</x:v>
      </x:c>
      <x:c r="M228" s="49" t="str">
        <x:v>否</x:v>
      </x:c>
      <x:c r="N228" s="49" t="n">
        <x:v>4</x:v>
      </x:c>
      <x:c r="O228" s="49" t="n">
        <x:v>1</x:v>
      </x:c>
      <x:c r="P228" s="49" t="n">
        <x:v>2</x:v>
      </x:c>
      <x:c r="Q228" s="19" t="str">
        <x:v>被动</x:v>
      </x:c>
      <x:c r="R228" s="19" t="str">
        <x:v>被动</x:v>
      </x:c>
      <x:c r="S228" s="19" t="str">
        <x:v>伤害</x:v>
      </x:c>
      <x:c r="T228" s="19" t="str">
        <x:v>伤害、被动触发</x:v>
      </x:c>
      <x:c r="U228" s="48" t="str">
        <x:v>被动；被动；主分类：伤害；标签：伤害、被动触发</x:v>
      </x:c>
      <x:c r="V228" s="48" t="str">
        <x:v>—/—/—/—</x:v>
      </x:c>
      <x:c r="W228" s="48" t="str">
        <x:v>—/—/—/—</x:v>
      </x:c>
      <x:c r="X228" s="48" t="str">
        <x:v>—/—/—/—</x:v>
      </x:c>
      <x:c r="Y228" s="48" t="str">
        <x:v>900/900/900/900</x:v>
      </x:c>
      <x:c r="Z228" s="48" t="str">
        <x:v>—/—/—/—</x:v>
      </x:c>
      <x:c r="AA228" s="48" t="str">
        <x:v>—/—/—/—</x:v>
      </x:c>
      <x:c r="AB228" s="48" t="str">
        <x:v>self/self/self/self</x:v>
      </x:c>
      <x:c r="AC228" s="48" t="str">
        <x:v>被动；被动；主分类：伤害；标签：伤害、被动触发；等级：4；魔耗：—/—/—/—；冷却：—/—/—/—；施法距离：—/—/—/—；作用范围：900/900/900/900；持续时间：—/—/—/—。</x:v>
      </x:c>
      <x:c r="AD228" s="48" t="str">
        <x:v>8 / 15 / 1 / 3% / 2 / 6% / 3 / 9% / 4 / 12% / 25% / 300%</x:v>
      </x:c>
      <x:c r="AE228" s="48" t="str">
        <x:v>A</x:v>
      </x:c>
      <x:c r="AF228" s="48" t="str">
        <x:v>6.48b 地图内 UnitAbilities/AbilityData/AbilityStrings 与对象修改表</x:v>
      </x:c>
      <x:c r="AG228" s="18" t="str">
        <x:v>S1</x:v>
      </x:c>
    </x:row>
    <x:row r="229" ht="48" customHeight="1">
      <x:c r="A229" s="19" t="str">
        <x:v>Ogrh-4</x:v>
      </x:c>
      <x:c r="B229" s="19" t="str">
        <x:v>近卫军团</x:v>
      </x:c>
      <x:c r="C229" s="19" t="str">
        <x:v>日出酒馆</x:v>
      </x:c>
      <x:c r="D229" s="19" t="str">
        <x:v>幻影长矛手</x:v>
      </x:c>
      <x:c r="E229" s="19" t="str">
        <x:v>Phantom Lancer</x:v>
      </x:c>
      <x:c r="F229" s="19" t="str">
        <x:v>Ogrh</x:v>
      </x:c>
      <x:c r="G229" s="19" t="str">
        <x:v>Azwraith</x:v>
      </x:c>
      <x:c r="H229" s="19" t="str">
        <x:v>AGI</x:v>
      </x:c>
      <x:c r="I229" s="19" t="str">
        <x:v>近战</x:v>
      </x:c>
      <x:c r="J229" s="19" t="n">
        <x:v>4</x:v>
      </x:c>
      <x:c r="K229" s="19" t="str">
        <x:v>Phantom Edge</x:v>
      </x:c>
      <x:c r="L229" s="19" t="str">
        <x:v>A0D9</x:v>
      </x:c>
      <x:c r="M229" s="49" t="str">
        <x:v>是</x:v>
      </x:c>
      <x:c r="N229" s="49" t="n">
        <x:v>3</x:v>
      </x:c>
      <x:c r="O229" s="49" t="n">
        <x:v>6</x:v>
      </x:c>
      <x:c r="P229" s="49" t="n">
        <x:v>5</x:v>
      </x:c>
      <x:c r="Q229" s="19" t="str">
        <x:v>被动</x:v>
      </x:c>
      <x:c r="R229" s="19" t="str">
        <x:v>被动</x:v>
      </x:c>
      <x:c r="S229" s="19" t="str">
        <x:v>强化</x:v>
      </x:c>
      <x:c r="T229" s="19" t="str">
        <x:v>强化、被动触发</x:v>
      </x:c>
      <x:c r="U229" s="48" t="str">
        <x:v>被动；被动；主分类：强化；标签：强化、被动触发</x:v>
      </x:c>
      <x:c r="V229" s="48" t="str">
        <x:v>—/—/—</x:v>
      </x:c>
      <x:c r="W229" s="48" t="str">
        <x:v>—/—/—</x:v>
      </x:c>
      <x:c r="X229" s="48" t="str">
        <x:v>—/—/—</x:v>
      </x:c>
      <x:c r="Y229" s="48" t="str">
        <x:v>—/—/—</x:v>
      </x:c>
      <x:c r="Z229" s="48" t="str">
        <x:v>—/—/—</x:v>
      </x:c>
      <x:c r="AA229" s="48" t="str">
        <x:v>—/—/—</x:v>
      </x:c>
      <x:c r="AB229" s="48" t="str">
        <x:v>—/—/—</x:v>
      </x:c>
      <x:c r="AC229" s="48" t="str">
        <x:v>被动；被动；主分类：强化；标签：强化、被动触发；等级：3；魔耗：—/—/—；冷却：—/—/—；施法距离：—/—/—；作用范围：—/—/—；持续时间：—/—/—。</x:v>
      </x:c>
      <x:c r="AD229" s="48" t="str">
        <x:v>1 / 5% / 3% / 2% / 2 / 10% / 4% / 3 / 15% / 7% / 6%</x:v>
      </x:c>
      <x:c r="AE229" s="48" t="str">
        <x:v>A</x:v>
      </x:c>
      <x:c r="AF229" s="48" t="str">
        <x:v>6.48b 地图内 UnitAbilities/AbilityData/AbilityStrings 与对象修改表</x:v>
      </x:c>
      <x:c r="AG229" s="18" t="str">
        <x:v>S1</x:v>
      </x:c>
    </x:row>
    <x:row r="230" ht="48" customHeight="1">
      <x:c r="A230" s="19" t="str">
        <x:v>Hamg-1</x:v>
      </x:c>
      <x:c r="B230" s="19" t="str">
        <x:v>近卫军团</x:v>
      </x:c>
      <x:c r="C230" s="19" t="str">
        <x:v>日出酒馆</x:v>
      </x:c>
      <x:c r="D230" s="19" t="str">
        <x:v>树精卫士</x:v>
      </x:c>
      <x:c r="E230" s="19" t="str">
        <x:v>Treant Protector</x:v>
      </x:c>
      <x:c r="F230" s="19" t="str">
        <x:v>Hamg</x:v>
      </x:c>
      <x:c r="G230" s="19" t="str">
        <x:v>Rooftrellen</x:v>
      </x:c>
      <x:c r="H230" s="19" t="str">
        <x:v>STR</x:v>
      </x:c>
      <x:c r="I230" s="19" t="str">
        <x:v>近战</x:v>
      </x:c>
      <x:c r="J230" s="19" t="n">
        <x:v>1</x:v>
      </x:c>
      <x:c r="K230" s="19" t="str">
        <x:v>Eyes in the Forest</x:v>
      </x:c>
      <x:c r="L230" s="19" t="str">
        <x:v>A01V</x:v>
      </x:c>
      <x:c r="M230" s="49" t="str">
        <x:v>否</x:v>
      </x:c>
      <x:c r="N230" s="49" t="n">
        <x:v>4</x:v>
      </x:c>
      <x:c r="O230" s="49" t="n">
        <x:v>1</x:v>
      </x:c>
      <x:c r="P230" s="49" t="n">
        <x:v>2</x:v>
      </x:c>
      <x:c r="Q230" s="19" t="str">
        <x:v>主动</x:v>
      </x:c>
      <x:c r="R230" s="19" t="str">
        <x:v>单位目标</x:v>
      </x:c>
      <x:c r="S230" s="19" t="str">
        <x:v>资源机制</x:v>
      </x:c>
      <x:c r="T230" s="19" t="str">
        <x:v>隐身、视野/侦察、资源机制、范围效果</x:v>
      </x:c>
      <x:c r="U230" s="48" t="str">
        <x:v>主动；单位目标；主分类：资源机制；标签：隐身、视野/侦察、资源机制、范围效果</x:v>
      </x:c>
      <x:c r="V230" s="48" t="str">
        <x:v>100/75/50/25</x:v>
      </x:c>
      <x:c r="W230" s="48" t="str">
        <x:v>300/225/150/75</x:v>
      </x:c>
      <x:c r="X230" s="48" t="str">
        <x:v>2000/2000/2000/2000</x:v>
      </x:c>
      <x:c r="Y230" s="48" t="str">
        <x:v>—/—/—/—</x:v>
      </x:c>
      <x:c r="Z230" s="48" t="str">
        <x:v>30/30/30/30</x:v>
      </x:c>
      <x:c r="AA230" s="48" t="str">
        <x:v>30/30/30/30</x:v>
      </x:c>
      <x:c r="AB230" s="48" t="str">
        <x:v>tree,vuln,invu/tree,vuln,invu/tree,vuln,invu/tree,vuln,invu</x:v>
      </x:c>
      <x:c r="AC230" s="48" t="str">
        <x:v>主动；单位目标；主分类：资源机制；标签：隐身、视野/侦察、资源机制、范围效果；等级：4；魔耗：100/75/50/25；冷却：300/225/150/75；施法距离：2000/2000/2000/2000；作用范围：—/—/—/—；持续时间：30/30/30/30。</x:v>
      </x:c>
      <x:c r="AD230" s="48" t="str">
        <x:v>1 / 100 / 2 / 75 / 3 / 50 / 4 / 25 / 300 / 225 / 150</x:v>
      </x:c>
      <x:c r="AE230" s="48" t="str">
        <x:v>A</x:v>
      </x:c>
      <x:c r="AF230" s="48" t="str">
        <x:v>6.48b 地图内 UnitAbilities/AbilityData/AbilityStrings 与对象修改表</x:v>
      </x:c>
      <x:c r="AG230" s="18" t="str">
        <x:v>S1</x:v>
      </x:c>
    </x:row>
    <x:row r="231" ht="48" customHeight="1">
      <x:c r="A231" s="19" t="str">
        <x:v>Hamg-2</x:v>
      </x:c>
      <x:c r="B231" s="19" t="str">
        <x:v>近卫军团</x:v>
      </x:c>
      <x:c r="C231" s="19" t="str">
        <x:v>日出酒馆</x:v>
      </x:c>
      <x:c r="D231" s="19" t="str">
        <x:v>树精卫士</x:v>
      </x:c>
      <x:c r="E231" s="19" t="str">
        <x:v>Treant Protector</x:v>
      </x:c>
      <x:c r="F231" s="19" t="str">
        <x:v>Hamg</x:v>
      </x:c>
      <x:c r="G231" s="19" t="str">
        <x:v>Rooftrellen</x:v>
      </x:c>
      <x:c r="H231" s="19" t="str">
        <x:v>STR</x:v>
      </x:c>
      <x:c r="I231" s="19" t="str">
        <x:v>近战</x:v>
      </x:c>
      <x:c r="J231" s="19" t="n">
        <x:v>2</x:v>
      </x:c>
      <x:c r="K231" s="19" t="str">
        <x:v>Living Armor</x:v>
      </x:c>
      <x:c r="L231" s="19" t="str">
        <x:v>A01U</x:v>
      </x:c>
      <x:c r="M231" s="49" t="str">
        <x:v>否</x:v>
      </x:c>
      <x:c r="N231" s="49" t="n">
        <x:v>4</x:v>
      </x:c>
      <x:c r="O231" s="49" t="n">
        <x:v>1</x:v>
      </x:c>
      <x:c r="P231" s="49" t="n">
        <x:v>2</x:v>
      </x:c>
      <x:c r="Q231" s="19" t="str">
        <x:v>开关/自动施放</x:v>
      </x:c>
      <x:c r="R231" s="19" t="str">
        <x:v>—</x:v>
      </x:c>
      <x:c r="S231" s="19" t="str">
        <x:v>治疗/回复</x:v>
      </x:c>
      <x:c r="T231" s="19" t="str">
        <x:v>治疗/回复、防御/生存、强化</x:v>
      </x:c>
      <x:c r="U231" s="48" t="str">
        <x:v>开关/自动施放；—；主分类：治疗/回复；标签：治疗/回复、防御/生存、强化</x:v>
      </x:c>
      <x:c r="V231" s="48" t="str">
        <x:v>30/35/40/40</x:v>
      </x:c>
      <x:c r="W231" s="48" t="str">
        <x:v>7/7/7/7</x:v>
      </x:c>
      <x:c r="X231" s="48" t="str">
        <x:v>500/500/500/500</x:v>
      </x:c>
      <x:c r="Y231" s="48" t="str">
        <x:v>—/—/—/—</x:v>
      </x:c>
      <x:c r="Z231" s="48" t="str">
        <x:v>40/40/40/40</x:v>
      </x:c>
      <x:c r="AA231" s="48" t="str">
        <x:v>40/40/40/40</x:v>
      </x:c>
      <x:c r="AB231" s="48" t="str">
        <x:v>air,ground,friend,neutral,self/air,ground,friend,neutral,self/air,ground,friend,neutral,self/air,ground,friend,neutral,self</x:v>
      </x:c>
      <x:c r="AC231" s="48" t="str">
        <x:v>开关/自动施放；—；主分类：治疗/回复；标签：治疗/回复、防御/生存、强化；等级：4；魔耗：30/35/40/40；冷却：7/7/7/7；施法距离：500/500/500/500；作用范围：—/—/—/—；持续时间：40/40/40/40。</x:v>
      </x:c>
      <x:c r="AD231" s="48" t="str">
        <x:v>1 / 3 / 2 / 6 / 9 / 4 / 12 / 7 / 30</x:v>
      </x:c>
      <x:c r="AE231" s="48" t="str">
        <x:v>A</x:v>
      </x:c>
      <x:c r="AF231" s="48" t="str">
        <x:v>6.48b 地图内 UnitAbilities/AbilityData/AbilityStrings 与对象修改表</x:v>
      </x:c>
      <x:c r="AG231" s="18" t="str">
        <x:v>S1</x:v>
      </x:c>
    </x:row>
    <x:row r="232" ht="48" customHeight="1">
      <x:c r="A232" s="19" t="str">
        <x:v>Hamg-3</x:v>
      </x:c>
      <x:c r="B232" s="19" t="str">
        <x:v>近卫军团</x:v>
      </x:c>
      <x:c r="C232" s="19" t="str">
        <x:v>日出酒馆</x:v>
      </x:c>
      <x:c r="D232" s="19" t="str">
        <x:v>树精卫士</x:v>
      </x:c>
      <x:c r="E232" s="19" t="str">
        <x:v>Treant Protector</x:v>
      </x:c>
      <x:c r="F232" s="19" t="str">
        <x:v>Hamg</x:v>
      </x:c>
      <x:c r="G232" s="19" t="str">
        <x:v>Rooftrellen</x:v>
      </x:c>
      <x:c r="H232" s="19" t="str">
        <x:v>STR</x:v>
      </x:c>
      <x:c r="I232" s="19" t="str">
        <x:v>近战</x:v>
      </x:c>
      <x:c r="J232" s="19" t="n">
        <x:v>3</x:v>
      </x:c>
      <x:c r="K232" s="19" t="str">
        <x:v>Overgrowth</x:v>
      </x:c>
      <x:c r="L232" s="19" t="str">
        <x:v>A07Z</x:v>
      </x:c>
      <x:c r="M232" s="49" t="str">
        <x:v>是</x:v>
      </x:c>
      <x:c r="N232" s="49" t="n">
        <x:v>3</x:v>
      </x:c>
      <x:c r="O232" s="49" t="n">
        <x:v>6</x:v>
      </x:c>
      <x:c r="P232" s="49" t="n">
        <x:v>5</x:v>
      </x:c>
      <x:c r="Q232" s="19" t="str">
        <x:v>主动</x:v>
      </x:c>
      <x:c r="R232" s="19" t="str">
        <x:v>无目标/范围</x:v>
      </x:c>
      <x:c r="S232" s="19" t="str">
        <x:v>召唤</x:v>
      </x:c>
      <x:c r="T232" s="19" t="str">
        <x:v>伤害、硬控、召唤、范围效果</x:v>
      </x:c>
      <x:c r="U232" s="48" t="str">
        <x:v>主动；无目标/范围；主分类：召唤；标签：伤害、硬控、召唤、范围效果</x:v>
      </x:c>
      <x:c r="V232" s="48" t="str">
        <x:v>150/175/200</x:v>
      </x:c>
      <x:c r="W232" s="48" t="str">
        <x:v>160/160/160</x:v>
      </x:c>
      <x:c r="X232" s="48" t="str">
        <x:v>500/500/500</x:v>
      </x:c>
      <x:c r="Y232" s="48" t="str">
        <x:v>—/—/—</x:v>
      </x:c>
      <x:c r="Z232" s="48" t="str">
        <x:v>—/—/—</x:v>
      </x:c>
      <x:c r="AA232" s="48" t="str">
        <x:v>—/—/—</x:v>
      </x:c>
      <x:c r="AB232" s="48" t="str">
        <x:v>—/—/—</x:v>
      </x:c>
      <x:c r="AC232" s="48" t="str">
        <x:v>主动；无目标/范围；主分类：召唤；标签：伤害、硬控、召唤、范围效果；等级：3；魔耗：150/175/200；冷却：160/160/160；施法距离：500/500/500；作用范围：—/—/—；持续时间：—/—/—。</x:v>
      </x:c>
      <x:c r="AD232" s="48" t="str">
        <x:v>85 / 1 / 3 / 2 / 4 / 5 / 160</x:v>
      </x:c>
      <x:c r="AE232" s="48" t="str">
        <x:v>A</x:v>
      </x:c>
      <x:c r="AF232" s="48" t="str">
        <x:v>6.48b 地图内 UnitAbilities/AbilityData/AbilityStrings 与对象修改表</x:v>
      </x:c>
      <x:c r="AG232" s="18" t="str">
        <x:v>S1</x:v>
      </x:c>
    </x:row>
    <x:row r="233" ht="48" customHeight="1">
      <x:c r="A233" s="19" t="str">
        <x:v>Hamg-4</x:v>
      </x:c>
      <x:c r="B233" s="19" t="str">
        <x:v>近卫军团</x:v>
      </x:c>
      <x:c r="C233" s="19" t="str">
        <x:v>日出酒馆</x:v>
      </x:c>
      <x:c r="D233" s="19" t="str">
        <x:v>树精卫士</x:v>
      </x:c>
      <x:c r="E233" s="19" t="str">
        <x:v>Treant Protector</x:v>
      </x:c>
      <x:c r="F233" s="19" t="str">
        <x:v>Hamg</x:v>
      </x:c>
      <x:c r="G233" s="19" t="str">
        <x:v>Rooftrellen</x:v>
      </x:c>
      <x:c r="H233" s="19" t="str">
        <x:v>STR</x:v>
      </x:c>
      <x:c r="I233" s="19" t="str">
        <x:v>近战</x:v>
      </x:c>
      <x:c r="J233" s="19" t="n">
        <x:v>4</x:v>
      </x:c>
      <x:c r="K233" s="19" t="str">
        <x:v>Nature's Guise</x:v>
      </x:c>
      <x:c r="L233" s="19" t="str">
        <x:v>A01Z</x:v>
      </x:c>
      <x:c r="M233" s="49" t="str">
        <x:v>否</x:v>
      </x:c>
      <x:c r="N233" s="49" t="n">
        <x:v>4</x:v>
      </x:c>
      <x:c r="O233" s="49" t="n">
        <x:v>1</x:v>
      </x:c>
      <x:c r="P233" s="49" t="n">
        <x:v>2</x:v>
      </x:c>
      <x:c r="Q233" s="19" t="str">
        <x:v>主动</x:v>
      </x:c>
      <x:c r="R233" s="19" t="str">
        <x:v>单位目标</x:v>
      </x:c>
      <x:c r="S233" s="19" t="str">
        <x:v>功能/特殊</x:v>
      </x:c>
      <x:c r="T233" s="19" t="str">
        <x:v>隐身</x:v>
      </x:c>
      <x:c r="U233" s="48" t="str">
        <x:v>主动；单位目标；主分类：功能/特殊；标签：隐身</x:v>
      </x:c>
      <x:c r="V233" s="48" t="str">
        <x:v>90/80/70/60</x:v>
      </x:c>
      <x:c r="W233" s="48" t="str">
        <x:v>3/3/3/3</x:v>
      </x:c>
      <x:c r="X233" s="48" t="str">
        <x:v>300/300/300/300</x:v>
      </x:c>
      <x:c r="Y233" s="48" t="str">
        <x:v>—/—/—/—</x:v>
      </x:c>
      <x:c r="Z233" s="48" t="str">
        <x:v>15/30/45/60</x:v>
      </x:c>
      <x:c r="AA233" s="48" t="str">
        <x:v>15/30/45/60</x:v>
      </x:c>
      <x:c r="AB233" s="48" t="str">
        <x:v>air,friend,ground,neutral,nonsapper,organic,self/air,friend,ground,neutral,nonsapper,organic,self/air,friend,ground,neutral,nonsapper,organic,self/air,friend,ground,neutral,nonsapper,organic,self</x:v>
      </x:c>
      <x:c r="AC233" s="48" t="str">
        <x:v>主动；单位目标；主分类：功能/特殊；标签：隐身；等级：4；魔耗：90/80/70/60；冷却：3/3/3/3；施法距离：300/300/300/300；作用范围：—/—/—/—；持续时间：15/30/45/60。</x:v>
      </x:c>
      <x:c r="AD233" s="48" t="str">
        <x:v>1 / 15 / 2 / 30 / 3 / 45 / 4 / 60</x:v>
      </x:c>
      <x:c r="AE233" s="48" t="str">
        <x:v>A</x:v>
      </x:c>
      <x:c r="AF233" s="48" t="str">
        <x:v>6.48b 地图内 UnitAbilities/AbilityData/AbilityStrings 与对象修改表</x:v>
      </x:c>
      <x:c r="AG233" s="18" t="str">
        <x:v>S1</x:v>
      </x:c>
    </x:row>
    <x:row r="234" ht="48" customHeight="1">
      <x:c r="A234" s="19" t="str">
        <x:v>H00A-1</x:v>
      </x:c>
      <x:c r="B234" s="19" t="str">
        <x:v>近卫军团</x:v>
      </x:c>
      <x:c r="C234" s="19" t="str">
        <x:v>日出酒馆</x:v>
      </x:c>
      <x:c r="D234" s="19" t="str">
        <x:v>圣骑士</x:v>
      </x:c>
      <x:c r="E234" s="19" t="str">
        <x:v>Holy Knight</x:v>
      </x:c>
      <x:c r="F234" s="19" t="str">
        <x:v>H00A</x:v>
      </x:c>
      <x:c r="G234" s="19" t="str">
        <x:v>Chen</x:v>
      </x:c>
      <x:c r="H234" s="19" t="str">
        <x:v>INT</x:v>
      </x:c>
      <x:c r="I234" s="19" t="str">
        <x:v>远程</x:v>
      </x:c>
      <x:c r="J234" s="19" t="n">
        <x:v>1</x:v>
      </x:c>
      <x:c r="K234" s="19" t="str">
        <x:v>Penitence</x:v>
      </x:c>
      <x:c r="L234" s="19" t="str">
        <x:v>A0KM</x:v>
      </x:c>
      <x:c r="M234" s="49" t="str">
        <x:v>否</x:v>
      </x:c>
      <x:c r="N234" s="49" t="n">
        <x:v>4</x:v>
      </x:c>
      <x:c r="O234" s="49" t="n">
        <x:v>1</x:v>
      </x:c>
      <x:c r="P234" s="49" t="n">
        <x:v>2</x:v>
      </x:c>
      <x:c r="Q234" s="19" t="str">
        <x:v>主动</x:v>
      </x:c>
      <x:c r="R234" s="19" t="str">
        <x:v>无目标或脚本目标</x:v>
      </x:c>
      <x:c r="S234" s="19" t="str">
        <x:v>软控</x:v>
      </x:c>
      <x:c r="T234" s="19" t="str">
        <x:v>伤害、软控、强化</x:v>
      </x:c>
      <x:c r="U234" s="48" t="str">
        <x:v>主动；无目标或脚本目标；主分类：软控；标签：伤害、软控、强化</x:v>
      </x:c>
      <x:c r="V234" s="48" t="str">
        <x:v>100/100/100/100</x:v>
      </x:c>
      <x:c r="W234" s="48" t="str">
        <x:v>14/14/14/14</x:v>
      </x:c>
      <x:c r="X234" s="48" t="str">
        <x:v>600/600/600/600</x:v>
      </x:c>
      <x:c r="Y234" s="48" t="str">
        <x:v>—/—/—/—</x:v>
      </x:c>
      <x:c r="Z234" s="48" t="str">
        <x:v>7/7/7/7</x:v>
      </x:c>
      <x:c r="AA234" s="48" t="str">
        <x:v>7/7/7/7</x:v>
      </x:c>
      <x:c r="AB234" s="48" t="str">
        <x:v>air,ground,enemy,organic,neutral/air,ground,enemy,organic,neutral/air,ground,enemy,organic,neutral/air,ground,enemy,organic,neutral</x:v>
      </x:c>
      <x:c r="AC234" s="48" t="str">
        <x:v>主动；无目标或脚本目标；主分类：软控；标签：伤害、软控、强化；等级：4；魔耗：100/100/100/100；冷却：14/14/14/14；施法距离：600/600/600/600；作用范围：—/—/—/—；持续时间：7/7/7/7。</x:v>
      </x:c>
      <x:c r="AD234" s="48" t="str">
        <x:v>7 / 1 / 8% / 7% / 2 / 16% / 14% / 3 / 24% / 21% / 4 / 32% / 28% / 14</x:v>
      </x:c>
      <x:c r="AE234" s="48" t="str">
        <x:v>A</x:v>
      </x:c>
      <x:c r="AF234" s="48" t="str">
        <x:v>6.48b 地图内 UnitAbilities/AbilityData/AbilityStrings 与对象修改表</x:v>
      </x:c>
      <x:c r="AG234" s="18" t="str">
        <x:v>S1</x:v>
      </x:c>
    </x:row>
    <x:row r="235" ht="48" customHeight="1">
      <x:c r="A235" s="19" t="str">
        <x:v>H00A-2</x:v>
      </x:c>
      <x:c r="B235" s="19" t="str">
        <x:v>近卫军团</x:v>
      </x:c>
      <x:c r="C235" s="19" t="str">
        <x:v>日出酒馆</x:v>
      </x:c>
      <x:c r="D235" s="19" t="str">
        <x:v>圣骑士</x:v>
      </x:c>
      <x:c r="E235" s="19" t="str">
        <x:v>Holy Knight</x:v>
      </x:c>
      <x:c r="F235" s="19" t="str">
        <x:v>H00A</x:v>
      </x:c>
      <x:c r="G235" s="19" t="str">
        <x:v>Chen</x:v>
      </x:c>
      <x:c r="H235" s="19" t="str">
        <x:v>INT</x:v>
      </x:c>
      <x:c r="I235" s="19" t="str">
        <x:v>远程</x:v>
      </x:c>
      <x:c r="J235" s="19" t="n">
        <x:v>2</x:v>
      </x:c>
      <x:c r="K235" s="19" t="str">
        <x:v>Test of Faith</x:v>
      </x:c>
      <x:c r="L235" s="19" t="str">
        <x:v>A0LV</x:v>
      </x:c>
      <x:c r="M235" s="49" t="str">
        <x:v>否</x:v>
      </x:c>
      <x:c r="N235" s="49" t="n">
        <x:v>4</x:v>
      </x:c>
      <x:c r="O235" s="49" t="n">
        <x:v>1</x:v>
      </x:c>
      <x:c r="P235" s="49" t="n">
        <x:v>2</x:v>
      </x:c>
      <x:c r="Q235" s="19" t="str">
        <x:v>主动</x:v>
      </x:c>
      <x:c r="R235" s="19" t="str">
        <x:v>无目标或脚本目标</x:v>
      </x:c>
      <x:c r="S235" s="19" t="str">
        <x:v>位移</x:v>
      </x:c>
      <x:c r="T235" s="19" t="str">
        <x:v>伤害、位移</x:v>
      </x:c>
      <x:c r="U235" s="48" t="str">
        <x:v>主动；无目标或脚本目标；主分类：位移；标签：伤害、位移</x:v>
      </x:c>
      <x:c r="V235" s="48" t="str">
        <x:v>175/175/175/175</x:v>
      </x:c>
      <x:c r="W235" s="48" t="str">
        <x:v>30/30/30/30</x:v>
      </x:c>
      <x:c r="X235" s="48" t="str">
        <x:v>600/600/600/600</x:v>
      </x:c>
      <x:c r="Y235" s="48" t="str">
        <x:v>—/—/—/—</x:v>
      </x:c>
      <x:c r="Z235" s="48" t="str">
        <x:v>—/—/—/—</x:v>
      </x:c>
      <x:c r="AA235" s="48" t="str">
        <x:v>—/—/—/—</x:v>
      </x:c>
      <x:c r="AB235" s="48" t="str">
        <x:v>air,enemies,friend,ground,nonancient/air,enemies,friend,ground,nonancient/air,enemies,friend,ground,nonancient/air,enemies,friend,ground,nonancient</x:v>
      </x:c>
      <x:c r="AC235" s="48" t="str">
        <x:v>主动；无目标或脚本目标；主分类：位移；标签：伤害、位移；等级：4；魔耗：175/175/175/175；冷却：30/30/30/30；施法距离：600/600/600/600；作用范围：—/—/—/—；持续时间：—/—/—/—。</x:v>
      </x:c>
      <x:c r="AD235" s="48" t="str">
        <x:v>1 / 50 / -100 / 6 / 2 / 100 / -200 / 5 / 3 / 150 / -300 / 4 / 200 / -400 / 30</x:v>
      </x:c>
      <x:c r="AE235" s="48" t="str">
        <x:v>A</x:v>
      </x:c>
      <x:c r="AF235" s="48" t="str">
        <x:v>6.48b 地图内 UnitAbilities/AbilityData/AbilityStrings 与对象修改表</x:v>
      </x:c>
      <x:c r="AG235" s="18" t="str">
        <x:v>S1</x:v>
      </x:c>
    </x:row>
    <x:row r="236" ht="48" customHeight="1">
      <x:c r="A236" s="19" t="str">
        <x:v>H00A-3</x:v>
      </x:c>
      <x:c r="B236" s="19" t="str">
        <x:v>近卫军团</x:v>
      </x:c>
      <x:c r="C236" s="19" t="str">
        <x:v>日出酒馆</x:v>
      </x:c>
      <x:c r="D236" s="19" t="str">
        <x:v>圣骑士</x:v>
      </x:c>
      <x:c r="E236" s="19" t="str">
        <x:v>Holy Knight</x:v>
      </x:c>
      <x:c r="F236" s="19" t="str">
        <x:v>H00A</x:v>
      </x:c>
      <x:c r="G236" s="19" t="str">
        <x:v>Chen</x:v>
      </x:c>
      <x:c r="H236" s="19" t="str">
        <x:v>INT</x:v>
      </x:c>
      <x:c r="I236" s="19" t="str">
        <x:v>远程</x:v>
      </x:c>
      <x:c r="J236" s="19" t="n">
        <x:v>3</x:v>
      </x:c>
      <x:c r="K236" s="19" t="str">
        <x:v>Holy Persuasion</x:v>
      </x:c>
      <x:c r="L236" s="19" t="str">
        <x:v>A069</x:v>
      </x:c>
      <x:c r="M236" s="49" t="str">
        <x:v>否</x:v>
      </x:c>
      <x:c r="N236" s="49" t="n">
        <x:v>4</x:v>
      </x:c>
      <x:c r="O236" s="49" t="n">
        <x:v>1</x:v>
      </x:c>
      <x:c r="P236" s="49" t="n">
        <x:v>2</x:v>
      </x:c>
      <x:c r="Q236" s="19" t="str">
        <x:v>主动</x:v>
      </x:c>
      <x:c r="R236" s="19" t="str">
        <x:v>单位目标</x:v>
      </x:c>
      <x:c r="S236" s="19" t="str">
        <x:v>强化</x:v>
      </x:c>
      <x:c r="T236" s="19" t="str">
        <x:v>强化</x:v>
      </x:c>
      <x:c r="U236" s="48" t="str">
        <x:v>主动；单位目标；主分类：强化；标签：强化</x:v>
      </x:c>
      <x:c r="V236" s="48" t="str">
        <x:v>100/100/100/100</x:v>
      </x:c>
      <x:c r="W236" s="48" t="str">
        <x:v>30/30/30/30</x:v>
      </x:c>
      <x:c r="X236" s="48" t="str">
        <x:v>900/900/900/900</x:v>
      </x:c>
      <x:c r="Y236" s="48" t="str">
        <x:v>—/—/—/—</x:v>
      </x:c>
      <x:c r="Z236" s="48" t="str">
        <x:v>—/—/—/—</x:v>
      </x:c>
      <x:c r="AA236" s="48" t="str">
        <x:v>—/—/—/—</x:v>
      </x:c>
      <x:c r="AB236" s="48" t="str">
        <x:v>air,enemies,ground,neutral,nonancient,nonhero,organic/air,enemies,ground,neutral,nonancient,nonhero,organic/air,enemies,ground,neutral,nonancient,nonhero,organic/air,enemies,ground,neutral,nonancient,nonhero,organic</x:v>
      </x:c>
      <x:c r="AC236" s="48" t="str">
        <x:v>主动；单位目标；主分类：强化；标签：强化；等级：4；魔耗：100/100/100/100；冷却：30/30/30/30；施法距离：900/900/900/900；作用范围：—/—/—/—；持续时间：—/—/—/—。</x:v>
      </x:c>
      <x:c r="AD236" s="48" t="str">
        <x:v>1 / 75 / 2 / 150 / 3 / 225 / 4 / 300 / 30</x:v>
      </x:c>
      <x:c r="AE236" s="48" t="str">
        <x:v>A</x:v>
      </x:c>
      <x:c r="AF236" s="48" t="str">
        <x:v>6.48b 地图内 UnitAbilities/AbilityData/AbilityStrings 与对象修改表</x:v>
      </x:c>
      <x:c r="AG236" s="18" t="str">
        <x:v>S1</x:v>
      </x:c>
    </x:row>
    <x:row r="237" ht="48" customHeight="1">
      <x:c r="A237" s="19" t="str">
        <x:v>H00A-4</x:v>
      </x:c>
      <x:c r="B237" s="19" t="str">
        <x:v>近卫军团</x:v>
      </x:c>
      <x:c r="C237" s="19" t="str">
        <x:v>日出酒馆</x:v>
      </x:c>
      <x:c r="D237" s="19" t="str">
        <x:v>圣骑士</x:v>
      </x:c>
      <x:c r="E237" s="19" t="str">
        <x:v>Holy Knight</x:v>
      </x:c>
      <x:c r="F237" s="19" t="str">
        <x:v>H00A</x:v>
      </x:c>
      <x:c r="G237" s="19" t="str">
        <x:v>Chen</x:v>
      </x:c>
      <x:c r="H237" s="19" t="str">
        <x:v>INT</x:v>
      </x:c>
      <x:c r="I237" s="19" t="str">
        <x:v>远程</x:v>
      </x:c>
      <x:c r="J237" s="19" t="n">
        <x:v>4</x:v>
      </x:c>
      <x:c r="K237" s="19" t="str">
        <x:v>Hand of God</x:v>
      </x:c>
      <x:c r="L237" s="19" t="str">
        <x:v>A0LT</x:v>
      </x:c>
      <x:c r="M237" s="49" t="str">
        <x:v>是</x:v>
      </x:c>
      <x:c r="N237" s="49" t="n">
        <x:v>3</x:v>
      </x:c>
      <x:c r="O237" s="49" t="n">
        <x:v>6</x:v>
      </x:c>
      <x:c r="P237" s="49" t="n">
        <x:v>5</x:v>
      </x:c>
      <x:c r="Q237" s="19" t="str">
        <x:v>主动</x:v>
      </x:c>
      <x:c r="R237" s="19" t="str">
        <x:v>无目标或脚本目标</x:v>
      </x:c>
      <x:c r="S237" s="19" t="str">
        <x:v>治疗/回复</x:v>
      </x:c>
      <x:c r="T237" s="19" t="str">
        <x:v>治疗/回复</x:v>
      </x:c>
      <x:c r="U237" s="48" t="str">
        <x:v>主动；无目标或脚本目标；主分类：治疗/回复；标签：治疗/回复</x:v>
      </x:c>
      <x:c r="V237" s="48" t="str">
        <x:v>200/300/400</x:v>
      </x:c>
      <x:c r="W237" s="48" t="str">
        <x:v>120/120/120</x:v>
      </x:c>
      <x:c r="X237" s="48" t="str">
        <x:v>500/500/500</x:v>
      </x:c>
      <x:c r="Y237" s="48" t="str">
        <x:v>—/—/—</x:v>
      </x:c>
      <x:c r="Z237" s="48" t="str">
        <x:v>—/—/—</x:v>
      </x:c>
      <x:c r="AA237" s="48" t="str">
        <x:v>—/—/—</x:v>
      </x:c>
      <x:c r="AB237" s="48" t="str">
        <x:v>—/—/—</x:v>
      </x:c>
      <x:c r="AC237" s="48" t="str">
        <x:v>主动；无目标或脚本目标；主分类：治疗/回复；标签：治疗/回复；等级：3；魔耗：200/300/400；冷却：120/120/120；施法距离：500/500/500；作用范围：—/—/—；持续时间：—/—/—。</x:v>
      </x:c>
      <x:c r="AD237" s="48" t="str">
        <x:v>1 / 200 / 2 / 300 / 3 / 400 / 120</x:v>
      </x:c>
      <x:c r="AE237" s="48" t="str">
        <x:v>A</x:v>
      </x:c>
      <x:c r="AF237" s="48" t="str">
        <x:v>6.48b 地图内 UnitAbilities/AbilityData/AbilityStrings 与对象修改表</x:v>
      </x:c>
      <x:c r="AG237" s="18" t="str">
        <x:v>S1</x:v>
      </x:c>
    </x:row>
    <x:row r="238" ht="48" customHeight="1">
      <x:c r="A238" s="19" t="str">
        <x:v>N01A-1</x:v>
      </x:c>
      <x:c r="B238" s="19" t="str">
        <x:v>近卫军团</x:v>
      </x:c>
      <x:c r="C238" s="19" t="str">
        <x:v>日出酒馆</x:v>
      </x:c>
      <x:c r="D238" s="19" t="str">
        <x:v>沉默术士</x:v>
      </x:c>
      <x:c r="E238" s="19" t="str">
        <x:v>Silencer</x:v>
      </x:c>
      <x:c r="F238" s="19" t="str">
        <x:v>N01A</x:v>
      </x:c>
      <x:c r="G238" s="19" t="str">
        <x:v>Nortrom</x:v>
      </x:c>
      <x:c r="H238" s="19" t="str">
        <x:v>INT</x:v>
      </x:c>
      <x:c r="I238" s="19" t="str">
        <x:v>远程</x:v>
      </x:c>
      <x:c r="J238" s="19" t="n">
        <x:v>1</x:v>
      </x:c>
      <x:c r="K238" s="19" t="str">
        <x:v>Curse of the Silent</x:v>
      </x:c>
      <x:c r="L238" s="19" t="str">
        <x:v>A0KD</x:v>
      </x:c>
      <x:c r="M238" s="49" t="str">
        <x:v>否</x:v>
      </x:c>
      <x:c r="N238" s="49" t="n">
        <x:v>4</x:v>
      </x:c>
      <x:c r="O238" s="49" t="n">
        <x:v>1</x:v>
      </x:c>
      <x:c r="P238" s="49" t="n">
        <x:v>2</x:v>
      </x:c>
      <x:c r="Q238" s="19" t="str">
        <x:v>主动</x:v>
      </x:c>
      <x:c r="R238" s="19" t="str">
        <x:v>单位目标</x:v>
      </x:c>
      <x:c r="S238" s="19" t="str">
        <x:v>削弱</x:v>
      </x:c>
      <x:c r="T238" s="19" t="str">
        <x:v>削弱、资源机制</x:v>
      </x:c>
      <x:c r="U238" s="48" t="str">
        <x:v>主动；单位目标；主分类：削弱；标签：削弱、资源机制</x:v>
      </x:c>
      <x:c r="V238" s="48" t="str">
        <x:v>105/115/125/135</x:v>
      </x:c>
      <x:c r="W238" s="48" t="str">
        <x:v>25/25/25/25</x:v>
      </x:c>
      <x:c r="X238" s="48" t="str">
        <x:v>700/700/700/700</x:v>
      </x:c>
      <x:c r="Y238" s="48" t="str">
        <x:v>—/—/—/—</x:v>
      </x:c>
      <x:c r="Z238" s="48" t="str">
        <x:v>10/10/10/10</x:v>
      </x:c>
      <x:c r="AA238" s="48" t="str">
        <x:v>10/10/10/10</x:v>
      </x:c>
      <x:c r="AB238" s="48" t="str">
        <x:v>air,enemies,ground,neutral,nonancient,organic/air,enemies,ground,neutral,nonancient,organic/air,enemies,ground,neutral,nonancient,organic/air,enemies,ground,neutral,nonancient,organic</x:v>
      </x:c>
      <x:c r="AC238" s="48" t="str">
        <x:v>主动；单位目标；主分类：削弱；标签：削弱、资源机制；等级：4；魔耗：105/115/125/135；冷却：25/25/25/25；施法距离：700/700/700/700；作用范围：—/—/—/—；持续时间：10/10/10/10。</x:v>
      </x:c>
      <x:c r="AD238" s="48" t="str">
        <x:v>10 / 1 / 5 / 2 / 20 / 3 / 30 / 15 / 4 / 40 / 25</x:v>
      </x:c>
      <x:c r="AE238" s="48" t="str">
        <x:v>A</x:v>
      </x:c>
      <x:c r="AF238" s="48" t="str">
        <x:v>6.48b 地图内 UnitAbilities/AbilityData/AbilityStrings 与对象修改表</x:v>
      </x:c>
      <x:c r="AG238" s="18" t="str">
        <x:v>S1</x:v>
      </x:c>
    </x:row>
    <x:row r="239" ht="48" customHeight="1">
      <x:c r="A239" s="19" t="str">
        <x:v>N01A-2</x:v>
      </x:c>
      <x:c r="B239" s="19" t="str">
        <x:v>近卫军团</x:v>
      </x:c>
      <x:c r="C239" s="19" t="str">
        <x:v>日出酒馆</x:v>
      </x:c>
      <x:c r="D239" s="19" t="str">
        <x:v>沉默术士</x:v>
      </x:c>
      <x:c r="E239" s="19" t="str">
        <x:v>Silencer</x:v>
      </x:c>
      <x:c r="F239" s="19" t="str">
        <x:v>N01A</x:v>
      </x:c>
      <x:c r="G239" s="19" t="str">
        <x:v>Nortrom</x:v>
      </x:c>
      <x:c r="H239" s="19" t="str">
        <x:v>INT</x:v>
      </x:c>
      <x:c r="I239" s="19" t="str">
        <x:v>远程</x:v>
      </x:c>
      <x:c r="J239" s="19" t="n">
        <x:v>2</x:v>
      </x:c>
      <x:c r="K239" s="19" t="str">
        <x:v>Glaives of Wisdom</x:v>
      </x:c>
      <x:c r="L239" s="19" t="str">
        <x:v>A0LZ</x:v>
      </x:c>
      <x:c r="M239" s="49" t="str">
        <x:v>否</x:v>
      </x:c>
      <x:c r="N239" s="49" t="n">
        <x:v>4</x:v>
      </x:c>
      <x:c r="O239" s="49" t="n">
        <x:v>1</x:v>
      </x:c>
      <x:c r="P239" s="49" t="n">
        <x:v>2</x:v>
      </x:c>
      <x:c r="Q239" s="19" t="str">
        <x:v>开关/自动施放</x:v>
      </x:c>
      <x:c r="R239" s="19" t="str">
        <x:v>—</x:v>
      </x:c>
      <x:c r="S239" s="19" t="str">
        <x:v>强化</x:v>
      </x:c>
      <x:c r="T239" s="19" t="str">
        <x:v>伤害、强化、资源机制</x:v>
      </x:c>
      <x:c r="U239" s="48" t="str">
        <x:v>开关/自动施放；—；主分类：强化；标签：伤害、强化、资源机制</x:v>
      </x:c>
      <x:c r="V239" s="48" t="str">
        <x:v>15/15/15/15</x:v>
      </x:c>
      <x:c r="W239" s="48" t="str">
        <x:v>3/2/1/—</x:v>
      </x:c>
      <x:c r="X239" s="48" t="str">
        <x:v>600/600/600/600</x:v>
      </x:c>
      <x:c r="Y239" s="48" t="str">
        <x:v>—/—/—/—</x:v>
      </x:c>
      <x:c r="Z239" s="48" t="str">
        <x:v>1/1/1/1</x:v>
      </x:c>
      <x:c r="AA239" s="48" t="str">
        <x:v>1/1/1/1</x:v>
      </x:c>
      <x:c r="AB239" s="48" t="str">
        <x:v>air,enemies,ground,organic/air,enemies,ground,organic/air,enemies,ground,organic/air,enemies,ground,organic</x:v>
      </x:c>
      <x:c r="AC239" s="48" t="str">
        <x:v>开关/自动施放；—；主分类：强化；标签：伤害、强化、资源机制；等级：4；魔耗：15/15/15/15；冷却：3/2/1/—；施法距离：600/600/600/600；作用范围：—/—/—/—；持续时间：1/1/1/1。</x:v>
      </x:c>
      <x:c r="AD239" s="48" t="str">
        <x:v>1 / 15% / 2 / 30% / 3 / 45% / 4 / 60% / 0</x:v>
      </x:c>
      <x:c r="AE239" s="48" t="str">
        <x:v>A</x:v>
      </x:c>
      <x:c r="AF239" s="48" t="str">
        <x:v>6.48b 地图内 UnitAbilities/AbilityData/AbilityStrings 与对象修改表</x:v>
      </x:c>
      <x:c r="AG239" s="18" t="str">
        <x:v>S1</x:v>
      </x:c>
    </x:row>
    <x:row r="240" ht="48" customHeight="1">
      <x:c r="A240" s="19" t="str">
        <x:v>N01A-3</x:v>
      </x:c>
      <x:c r="B240" s="19" t="str">
        <x:v>近卫军团</x:v>
      </x:c>
      <x:c r="C240" s="19" t="str">
        <x:v>日出酒馆</x:v>
      </x:c>
      <x:c r="D240" s="19" t="str">
        <x:v>沉默术士</x:v>
      </x:c>
      <x:c r="E240" s="19" t="str">
        <x:v>Silencer</x:v>
      </x:c>
      <x:c r="F240" s="19" t="str">
        <x:v>N01A</x:v>
      </x:c>
      <x:c r="G240" s="19" t="str">
        <x:v>Nortrom</x:v>
      </x:c>
      <x:c r="H240" s="19" t="str">
        <x:v>INT</x:v>
      </x:c>
      <x:c r="I240" s="19" t="str">
        <x:v>远程</x:v>
      </x:c>
      <x:c r="J240" s="19" t="n">
        <x:v>3</x:v>
      </x:c>
      <x:c r="K240" s="19" t="str">
        <x:v>Last Word</x:v>
      </x:c>
      <x:c r="L240" s="19" t="str">
        <x:v>A0LR</x:v>
      </x:c>
      <x:c r="M240" s="49" t="str">
        <x:v>否</x:v>
      </x:c>
      <x:c r="N240" s="49" t="n">
        <x:v>4</x:v>
      </x:c>
      <x:c r="O240" s="49" t="n">
        <x:v>1</x:v>
      </x:c>
      <x:c r="P240" s="49" t="n">
        <x:v>2</x:v>
      </x:c>
      <x:c r="Q240" s="19" t="str">
        <x:v>被动</x:v>
      </x:c>
      <x:c r="R240" s="19" t="str">
        <x:v>被动</x:v>
      </x:c>
      <x:c r="S240" s="19" t="str">
        <x:v>软控</x:v>
      </x:c>
      <x:c r="T240" s="19" t="str">
        <x:v>软控、光环、被动触发</x:v>
      </x:c>
      <x:c r="U240" s="48" t="str">
        <x:v>被动；被动；主分类：软控；标签：软控、光环、被动触发</x:v>
      </x:c>
      <x:c r="V240" s="48" t="str">
        <x:v>—/—/—/—</x:v>
      </x:c>
      <x:c r="W240" s="48" t="str">
        <x:v>—/—/—/—</x:v>
      </x:c>
      <x:c r="X240" s="48" t="str">
        <x:v>—/—/—/—</x:v>
      </x:c>
      <x:c r="Y240" s="48" t="str">
        <x:v>700/700/700/700</x:v>
      </x:c>
      <x:c r="Z240" s="48" t="str">
        <x:v>—/—/—/—</x:v>
      </x:c>
      <x:c r="AA240" s="48" t="str">
        <x:v>—/—/—/—</x:v>
      </x:c>
      <x:c r="AB240" s="48" t="str">
        <x:v>air,enemies,ground,hero,invulnerable,vulnerable/air,enemies,ground,hero,invulnerable,vulnerable/air,enemies,ground,hero,invulnerable,vulnerable/air,enemies,ground,hero,invulnerable,vulnerable</x:v>
      </x:c>
      <x:c r="AC240" s="48" t="str">
        <x:v>被动；被动；主分类：软控；标签：软控、光环、被动触发；等级：4；魔耗：—/—/—/—；冷却：—/—/—/—；施法距离：—/—/—/—；作用范围：700/700/700/700；持续时间：—/—/—/—。</x:v>
      </x:c>
      <x:c r="AD240" s="48" t="str">
        <x:v>700 / 1 / 2 / 3 / 4</x:v>
      </x:c>
      <x:c r="AE240" s="48" t="str">
        <x:v>A</x:v>
      </x:c>
      <x:c r="AF240" s="48" t="str">
        <x:v>6.48b 地图内 UnitAbilities/AbilityData/AbilityStrings 与对象修改表</x:v>
      </x:c>
      <x:c r="AG240" s="18" t="str">
        <x:v>S1</x:v>
      </x:c>
    </x:row>
    <x:row r="241" ht="48" customHeight="1">
      <x:c r="A241" s="19" t="str">
        <x:v>N01A-4</x:v>
      </x:c>
      <x:c r="B241" s="19" t="str">
        <x:v>近卫军团</x:v>
      </x:c>
      <x:c r="C241" s="19" t="str">
        <x:v>日出酒馆</x:v>
      </x:c>
      <x:c r="D241" s="19" t="str">
        <x:v>沉默术士</x:v>
      </x:c>
      <x:c r="E241" s="19" t="str">
        <x:v>Silencer</x:v>
      </x:c>
      <x:c r="F241" s="19" t="str">
        <x:v>N01A</x:v>
      </x:c>
      <x:c r="G241" s="19" t="str">
        <x:v>Nortrom</x:v>
      </x:c>
      <x:c r="H241" s="19" t="str">
        <x:v>INT</x:v>
      </x:c>
      <x:c r="I241" s="19" t="str">
        <x:v>远程</x:v>
      </x:c>
      <x:c r="J241" s="19" t="n">
        <x:v>4</x:v>
      </x:c>
      <x:c r="K241" s="19" t="str">
        <x:v>Global Silence</x:v>
      </x:c>
      <x:c r="L241" s="19" t="str">
        <x:v>A0L3</x:v>
      </x:c>
      <x:c r="M241" s="49" t="str">
        <x:v>是</x:v>
      </x:c>
      <x:c r="N241" s="49" t="n">
        <x:v>3</x:v>
      </x:c>
      <x:c r="O241" s="49" t="n">
        <x:v>6</x:v>
      </x:c>
      <x:c r="P241" s="49" t="n">
        <x:v>5</x:v>
      </x:c>
      <x:c r="Q241" s="19" t="str">
        <x:v>主动</x:v>
      </x:c>
      <x:c r="R241" s="19" t="str">
        <x:v>无目标或脚本目标</x:v>
      </x:c>
      <x:c r="S241" s="19" t="str">
        <x:v>软控</x:v>
      </x:c>
      <x:c r="T241" s="19" t="str">
        <x:v>软控</x:v>
      </x:c>
      <x:c r="U241" s="48" t="str">
        <x:v>主动；无目标或脚本目标；主分类：软控；标签：软控</x:v>
      </x:c>
      <x:c r="V241" s="48" t="str">
        <x:v>250/350/450</x:v>
      </x:c>
      <x:c r="W241" s="48" t="str">
        <x:v>160/160/160</x:v>
      </x:c>
      <x:c r="X241" s="48" t="str">
        <x:v>500/500/500</x:v>
      </x:c>
      <x:c r="Y241" s="48" t="str">
        <x:v>—/—/—</x:v>
      </x:c>
      <x:c r="Z241" s="48" t="str">
        <x:v>—/—/—</x:v>
      </x:c>
      <x:c r="AA241" s="48" t="str">
        <x:v>—/—/—</x:v>
      </x:c>
      <x:c r="AB241" s="48" t="str">
        <x:v>—/—/—</x:v>
      </x:c>
      <x:c r="AC241" s="48" t="str">
        <x:v>主动；无目标或脚本目标；主分类：软控；标签：软控；等级：3；魔耗：250/350/450；冷却：160/160/160；施法距离：500/500/500；作用范围：—/—/—；持续时间：—/—/—。</x:v>
      </x:c>
      <x:c r="AD241" s="48" t="str">
        <x:v>1 / 3 / 2 / 4 / 5 / 160</x:v>
      </x:c>
      <x:c r="AE241" s="48" t="str">
        <x:v>A</x:v>
      </x:c>
      <x:c r="AF241" s="48" t="str">
        <x:v>6.48b 地图内 UnitAbilities/AbilityData/AbilityStrings 与对象修改表</x:v>
      </x:c>
      <x:c r="AG241" s="18" t="str">
        <x:v>S1</x:v>
      </x:c>
    </x:row>
    <x:row r="242" ht="48" customHeight="1">
      <x:c r="A242" s="19" t="str">
        <x:v>E002-1</x:v>
      </x:c>
      <x:c r="B242" s="19" t="str">
        <x:v>天灾军团</x:v>
      </x:c>
      <x:c r="C242" s="19" t="str">
        <x:v>傍晚酒馆</x:v>
      </x:c>
      <x:c r="D242" s="19" t="str">
        <x:v>闪电幽魂</x:v>
      </x:c>
      <x:c r="E242" s="19" t="str">
        <x:v>Lightning Revenant</x:v>
      </x:c>
      <x:c r="F242" s="19" t="str">
        <x:v>E002</x:v>
      </x:c>
      <x:c r="G242" s="19" t="str">
        <x:v>Razor</x:v>
      </x:c>
      <x:c r="H242" s="19" t="str">
        <x:v>AGI</x:v>
      </x:c>
      <x:c r="I242" s="19" t="str">
        <x:v>远程</x:v>
      </x:c>
      <x:c r="J242" s="19" t="n">
        <x:v>1</x:v>
      </x:c>
      <x:c r="K242" s="19" t="str">
        <x:v>Chain Lightning</x:v>
      </x:c>
      <x:c r="L242" s="19" t="str">
        <x:v>A00Y</x:v>
      </x:c>
      <x:c r="M242" s="49" t="str">
        <x:v>否</x:v>
      </x:c>
      <x:c r="N242" s="49" t="n">
        <x:v>4</x:v>
      </x:c>
      <x:c r="O242" s="49" t="n">
        <x:v>1</x:v>
      </x:c>
      <x:c r="P242" s="49" t="n">
        <x:v>2</x:v>
      </x:c>
      <x:c r="Q242" s="19" t="str">
        <x:v>主动</x:v>
      </x:c>
      <x:c r="R242" s="19" t="str">
        <x:v>单位目标</x:v>
      </x:c>
      <x:c r="S242" s="19" t="str">
        <x:v>伤害</x:v>
      </x:c>
      <x:c r="T242" s="19" t="str">
        <x:v>伤害、范围效果</x:v>
      </x:c>
      <x:c r="U242" s="48" t="str">
        <x:v>主动；单位目标；主分类：伤害；标签：伤害、范围效果</x:v>
      </x:c>
      <x:c r="V242" s="48" t="str">
        <x:v>90/105/125/145</x:v>
      </x:c>
      <x:c r="W242" s="48" t="str">
        <x:v>11/11/11/11</x:v>
      </x:c>
      <x:c r="X242" s="48" t="str">
        <x:v>700/700/700/700</x:v>
      </x:c>
      <x:c r="Y242" s="48" t="str">
        <x:v>500/500/500/500</x:v>
      </x:c>
      <x:c r="Z242" s="48" t="str">
        <x:v>—/—/—/—</x:v>
      </x:c>
      <x:c r="AA242" s="48" t="str">
        <x:v>—/—/—/—</x:v>
      </x:c>
      <x:c r="AB242" s="48" t="str">
        <x:v>air,ground,enemy,neutral,organic/air,ground,enemy,neutral,organic/air,ground,enemy,neutral,organic/air,ground,enemy,neutral,organic</x:v>
      </x:c>
      <x:c r="AC242" s="48" t="str">
        <x:v>主动；单位目标；主分类：伤害；标签：伤害、范围效果；等级：4；魔耗：90/105/125/145；冷却：11/11/11/11；施法距离：700/700/700/700；作用范围：500/500/500/500；持续时间：—/—/—/—。</x:v>
      </x:c>
      <x:c r="AD242" s="48" t="str">
        <x:v>1 / 75 / 3 / 2 / 150 / 5 / 225 / 7 / 4 / 300 / 9 / 11</x:v>
      </x:c>
      <x:c r="AE242" s="48" t="str">
        <x:v>A</x:v>
      </x:c>
      <x:c r="AF242" s="48" t="str">
        <x:v>6.48b 地图内 UnitAbilities/AbilityData/AbilityStrings 与对象修改表</x:v>
      </x:c>
      <x:c r="AG242" s="18" t="str">
        <x:v>S1</x:v>
      </x:c>
    </x:row>
    <x:row r="243" ht="48" customHeight="1">
      <x:c r="A243" s="19" t="str">
        <x:v>E002-2</x:v>
      </x:c>
      <x:c r="B243" s="19" t="str">
        <x:v>天灾军团</x:v>
      </x:c>
      <x:c r="C243" s="19" t="str">
        <x:v>傍晚酒馆</x:v>
      </x:c>
      <x:c r="D243" s="19" t="str">
        <x:v>闪电幽魂</x:v>
      </x:c>
      <x:c r="E243" s="19" t="str">
        <x:v>Lightning Revenant</x:v>
      </x:c>
      <x:c r="F243" s="19" t="str">
        <x:v>E002</x:v>
      </x:c>
      <x:c r="G243" s="19" t="str">
        <x:v>Razor</x:v>
      </x:c>
      <x:c r="H243" s="19" t="str">
        <x:v>AGI</x:v>
      </x:c>
      <x:c r="I243" s="19" t="str">
        <x:v>远程</x:v>
      </x:c>
      <x:c r="J243" s="19" t="n">
        <x:v>2</x:v>
      </x:c>
      <x:c r="K243" s="19" t="str">
        <x:v>Unholy Fervor</x:v>
      </x:c>
      <x:c r="L243" s="19" t="str">
        <x:v>A00N</x:v>
      </x:c>
      <x:c r="M243" s="49" t="str">
        <x:v>否</x:v>
      </x:c>
      <x:c r="N243" s="49" t="n">
        <x:v>4</x:v>
      </x:c>
      <x:c r="O243" s="49" t="n">
        <x:v>1</x:v>
      </x:c>
      <x:c r="P243" s="49" t="n">
        <x:v>2</x:v>
      </x:c>
      <x:c r="Q243" s="19" t="str">
        <x:v>被动/脚本触发</x:v>
      </x:c>
      <x:c r="R243" s="19" t="str">
        <x:v>被动</x:v>
      </x:c>
      <x:c r="S243" s="19" t="str">
        <x:v>治疗/回复</x:v>
      </x:c>
      <x:c r="T243" s="19" t="str">
        <x:v>软控、治疗/回复、强化、被动触发</x:v>
      </x:c>
      <x:c r="U243" s="48" t="str">
        <x:v>被动/脚本触发；被动；主分类：治疗/回复；标签：软控、治疗/回复、强化、被动触发</x:v>
      </x:c>
      <x:c r="V243" s="48" t="str">
        <x:v>—/—/—/—</x:v>
      </x:c>
      <x:c r="W243" s="48" t="str">
        <x:v>—/—/—/—</x:v>
      </x:c>
      <x:c r="X243" s="48" t="str">
        <x:v>—/—/—/—</x:v>
      </x:c>
      <x:c r="Y243" s="48" t="str">
        <x:v>900/900/900/900</x:v>
      </x:c>
      <x:c r="Z243" s="48" t="str">
        <x:v>—/—/—/—</x:v>
      </x:c>
      <x:c r="AA243" s="48" t="str">
        <x:v>—/—/—/—</x:v>
      </x:c>
      <x:c r="AB243" s="48" t="str">
        <x:v>self/self/self/self</x:v>
      </x:c>
      <x:c r="AC243" s="48" t="str">
        <x:v>被动/脚本触发；被动；主分类：治疗/回复；标签：软控、治疗/回复、强化、被动触发；等级：4；魔耗：—/—/—/—；冷却：—/—/—/—；施法距离：—/—/—/—；作用范围：900/900/900/900；持续时间：—/—/—/—。</x:v>
      </x:c>
      <x:c r="AD243" s="48" t="str">
        <x:v>1 / 3% / 0.5 / 2 / 5% / 1.0 / 3 / 8% / 1.5 / 4 / 10% / 2.0</x:v>
      </x:c>
      <x:c r="AE243" s="48" t="str">
        <x:v>A</x:v>
      </x:c>
      <x:c r="AF243" s="48" t="str">
        <x:v>6.48b 地图内 UnitAbilities/AbilityData/AbilityStrings 与对象修改表</x:v>
      </x:c>
      <x:c r="AG243" s="18" t="str">
        <x:v>S1</x:v>
      </x:c>
    </x:row>
    <x:row r="244" ht="48" customHeight="1">
      <x:c r="A244" s="19" t="str">
        <x:v>E002-3</x:v>
      </x:c>
      <x:c r="B244" s="19" t="str">
        <x:v>天灾军团</x:v>
      </x:c>
      <x:c r="C244" s="19" t="str">
        <x:v>傍晚酒馆</x:v>
      </x:c>
      <x:c r="D244" s="19" t="str">
        <x:v>闪电幽魂</x:v>
      </x:c>
      <x:c r="E244" s="19" t="str">
        <x:v>Lightning Revenant</x:v>
      </x:c>
      <x:c r="F244" s="19" t="str">
        <x:v>E002</x:v>
      </x:c>
      <x:c r="G244" s="19" t="str">
        <x:v>Razor</x:v>
      </x:c>
      <x:c r="H244" s="19" t="str">
        <x:v>AGI</x:v>
      </x:c>
      <x:c r="I244" s="19" t="str">
        <x:v>远程</x:v>
      </x:c>
      <x:c r="J244" s="19" t="n">
        <x:v>3</x:v>
      </x:c>
      <x:c r="K244" s="19" t="str">
        <x:v>Storm Seeker</x:v>
      </x:c>
      <x:c r="L244" s="19" t="str">
        <x:v>A04B</x:v>
      </x:c>
      <x:c r="M244" s="49" t="str">
        <x:v>是</x:v>
      </x:c>
      <x:c r="N244" s="49" t="n">
        <x:v>3</x:v>
      </x:c>
      <x:c r="O244" s="49" t="n">
        <x:v>6</x:v>
      </x:c>
      <x:c r="P244" s="49" t="n">
        <x:v>5</x:v>
      </x:c>
      <x:c r="Q244" s="19" t="str">
        <x:v>被动/脚本触发</x:v>
      </x:c>
      <x:c r="R244" s="19" t="str">
        <x:v>被动</x:v>
      </x:c>
      <x:c r="S244" s="19" t="str">
        <x:v>召唤</x:v>
      </x:c>
      <x:c r="T244" s="19" t="str">
        <x:v>伤害、硬控、召唤、位移、被动触发</x:v>
      </x:c>
      <x:c r="U244" s="48" t="str">
        <x:v>被动/脚本触发；被动；主分类：召唤；标签：伤害、硬控、召唤、位移、被动触发</x:v>
      </x:c>
      <x:c r="V244" s="48" t="str">
        <x:v>—/—/—</x:v>
      </x:c>
      <x:c r="W244" s="48" t="str">
        <x:v>—/—/—</x:v>
      </x:c>
      <x:c r="X244" s="48" t="str">
        <x:v>—/—/—</x:v>
      </x:c>
      <x:c r="Y244" s="48" t="str">
        <x:v>500/550/600</x:v>
      </x:c>
      <x:c r="Z244" s="48" t="str">
        <x:v>3.25/3.25/3.25</x:v>
      </x:c>
      <x:c r="AA244" s="48" t="str">
        <x:v>3.25/3.25/3.25</x:v>
      </x:c>
      <x:c r="AB244" s="48" t="str">
        <x:v>enemies,ground,neutral,nonancient,organic/enemies,ground,neutral,nonancient,organic/enemies,ground,neutral,nonancient,organic</x:v>
      </x:c>
      <x:c r="AC244" s="48" t="str">
        <x:v>被动/脚本触发；被动；主分类：召唤；标签：伤害、硬控、召唤、位移、被动触发；等级：3；魔耗：—/—/—；冷却：—/—/—；施法距离：—/—/—；作用范围：500/550/600；持续时间：3.25/3.25/3.25。</x:v>
      </x:c>
      <x:c r="AD244" s="48" t="str">
        <x:v>0.01 / 1 / 60 / 2 / 90 / 3 / 120</x:v>
      </x:c>
      <x:c r="AE244" s="48" t="str">
        <x:v>A</x:v>
      </x:c>
      <x:c r="AF244" s="48" t="str">
        <x:v>6.48b 地图内 UnitAbilities/AbilityData/AbilityStrings 与对象修改表</x:v>
      </x:c>
      <x:c r="AG244" s="18" t="str">
        <x:v>S1</x:v>
      </x:c>
    </x:row>
    <x:row r="245" ht="48" customHeight="1">
      <x:c r="A245" s="19" t="str">
        <x:v>E002-4</x:v>
      </x:c>
      <x:c r="B245" s="19" t="str">
        <x:v>天灾军团</x:v>
      </x:c>
      <x:c r="C245" s="19" t="str">
        <x:v>傍晚酒馆</x:v>
      </x:c>
      <x:c r="D245" s="19" t="str">
        <x:v>闪电幽魂</x:v>
      </x:c>
      <x:c r="E245" s="19" t="str">
        <x:v>Lightning Revenant</x:v>
      </x:c>
      <x:c r="F245" s="19" t="str">
        <x:v>E002</x:v>
      </x:c>
      <x:c r="G245" s="19" t="str">
        <x:v>Razor</x:v>
      </x:c>
      <x:c r="H245" s="19" t="str">
        <x:v>AGI</x:v>
      </x:c>
      <x:c r="I245" s="19" t="str">
        <x:v>远程</x:v>
      </x:c>
      <x:c r="J245" s="19" t="n">
        <x:v>4</x:v>
      </x:c>
      <x:c r="K245" s="19" t="str">
        <x:v>Frenzy</x:v>
      </x:c>
      <x:c r="L245" s="19" t="str">
        <x:v>A0RY</x:v>
      </x:c>
      <x:c r="M245" s="49" t="str">
        <x:v>否</x:v>
      </x:c>
      <x:c r="N245" s="49" t="n">
        <x:v>4</x:v>
      </x:c>
      <x:c r="O245" s="49" t="n">
        <x:v>1</x:v>
      </x:c>
      <x:c r="P245" s="49" t="n">
        <x:v>2</x:v>
      </x:c>
      <x:c r="Q245" s="19" t="str">
        <x:v>主动</x:v>
      </x:c>
      <x:c r="R245" s="19" t="str">
        <x:v>无目标或脚本目标</x:v>
      </x:c>
      <x:c r="S245" s="19" t="str">
        <x:v>软控</x:v>
      </x:c>
      <x:c r="T245" s="19" t="str">
        <x:v>伤害、软控、强化</x:v>
      </x:c>
      <x:c r="U245" s="48" t="str">
        <x:v>主动；无目标或脚本目标；主分类：软控；标签：伤害、软控、强化</x:v>
      </x:c>
      <x:c r="V245" s="48" t="str">
        <x:v>80/90/110/130</x:v>
      </x:c>
      <x:c r="W245" s="48" t="str">
        <x:v>40/40/40/40</x:v>
      </x:c>
      <x:c r="X245" s="48" t="str">
        <x:v>—/—/—/—</x:v>
      </x:c>
      <x:c r="Y245" s="48" t="str">
        <x:v>—/—/—/—</x:v>
      </x:c>
      <x:c r="Z245" s="48" t="str">
        <x:v>20/20/20/20</x:v>
      </x:c>
      <x:c r="AA245" s="48" t="str">
        <x:v>20/20/20/20</x:v>
      </x:c>
      <x:c r="AB245" s="48" t="str">
        <x:v>—/—/—/—</x:v>
      </x:c>
      <x:c r="AC245" s="48" t="str">
        <x:v>主动；无目标或脚本目标；主分类：软控；标签：伤害、软控、强化；等级：4；魔耗：80/90/110/130；冷却：40/40/40/40；施法距离：—/—/—/—；作用范围：—/—/—/—；持续时间：20/20/20/20。</x:v>
      </x:c>
      <x:c r="AD245" s="48" t="str">
        <x:v>20 / 1 / 25% / 5% / 2 / 50% / 10% / 3 / 75% / 15% / 4 / 100% / 20% / 40</x:v>
      </x:c>
      <x:c r="AE245" s="48" t="str">
        <x:v>A</x:v>
      </x:c>
      <x:c r="AF245" s="48" t="str">
        <x:v>6.48b 地图内 UnitAbilities/AbilityData/AbilityStrings 与对象修改表</x:v>
      </x:c>
      <x:c r="AG245" s="18" t="str">
        <x:v>S1</x:v>
      </x:c>
    </x:row>
    <x:row r="246" ht="48" customHeight="1">
      <x:c r="A246" s="19" t="str">
        <x:v>H00V-1</x:v>
      </x:c>
      <x:c r="B246" s="19" t="str">
        <x:v>天灾军团</x:v>
      </x:c>
      <x:c r="C246" s="19" t="str">
        <x:v>傍晚酒馆</x:v>
      </x:c>
      <x:c r="D246" s="19" t="str">
        <x:v>蛇发女妖</x:v>
      </x:c>
      <x:c r="E246" s="19" t="str">
        <x:v>Gorgon</x:v>
      </x:c>
      <x:c r="F246" s="19" t="str">
        <x:v>H00V</x:v>
      </x:c>
      <x:c r="G246" s="19" t="str">
        <x:v>Medusa</x:v>
      </x:c>
      <x:c r="H246" s="19" t="str">
        <x:v>AGI</x:v>
      </x:c>
      <x:c r="I246" s="19" t="str">
        <x:v>远程</x:v>
      </x:c>
      <x:c r="J246" s="19" t="n">
        <x:v>1</x:v>
      </x:c>
      <x:c r="K246" s="19" t="str">
        <x:v>Chain Lightning</x:v>
      </x:c>
      <x:c r="L246" s="19" t="str">
        <x:v>A0G2</x:v>
      </x:c>
      <x:c r="M246" s="49" t="str">
        <x:v>否</x:v>
      </x:c>
      <x:c r="N246" s="49" t="n">
        <x:v>4</x:v>
      </x:c>
      <x:c r="O246" s="49" t="n">
        <x:v>1</x:v>
      </x:c>
      <x:c r="P246" s="49" t="n">
        <x:v>2</x:v>
      </x:c>
      <x:c r="Q246" s="19" t="str">
        <x:v>主动</x:v>
      </x:c>
      <x:c r="R246" s="19" t="str">
        <x:v>单位目标</x:v>
      </x:c>
      <x:c r="S246" s="19" t="str">
        <x:v>伤害</x:v>
      </x:c>
      <x:c r="T246" s="19" t="str">
        <x:v>伤害、范围效果</x:v>
      </x:c>
      <x:c r="U246" s="48" t="str">
        <x:v>主动；单位目标；主分类：伤害；标签：伤害、范围效果</x:v>
      </x:c>
      <x:c r="V246" s="48" t="str">
        <x:v>90/105/125/145</x:v>
      </x:c>
      <x:c r="W246" s="48" t="str">
        <x:v>11/11/11/11</x:v>
      </x:c>
      <x:c r="X246" s="48" t="str">
        <x:v>700/700/700/700</x:v>
      </x:c>
      <x:c r="Y246" s="48" t="str">
        <x:v>500/500/500/500</x:v>
      </x:c>
      <x:c r="Z246" s="48" t="str">
        <x:v>—/—/—/—</x:v>
      </x:c>
      <x:c r="AA246" s="48" t="str">
        <x:v>—/—/—/—</x:v>
      </x:c>
      <x:c r="AB246" s="48" t="str">
        <x:v>air,ground,enemy,neutral,organic/air,ground,enemy,neutral,organic/air,ground,enemy,neutral,organic/air,ground,enemy,neutral,organic</x:v>
      </x:c>
      <x:c r="AC246" s="48" t="str">
        <x:v>主动；单位目标；主分类：伤害；标签：伤害、范围效果；等级：4；魔耗：90/105/125/145；冷却：11/11/11/11；施法距离：700/700/700/700；作用范围：500/500/500/500；持续时间：—/—/—/—。</x:v>
      </x:c>
      <x:c r="AD246" s="48" t="str">
        <x:v>1 / 75 / 3 / 2 / 150 / 5 / 225 / 7 / 4 / 300 / 9 / 11</x:v>
      </x:c>
      <x:c r="AE246" s="48" t="str">
        <x:v>A</x:v>
      </x:c>
      <x:c r="AF246" s="48" t="str">
        <x:v>6.48b 地图内 UnitAbilities/AbilityData/AbilityStrings 与对象修改表</x:v>
      </x:c>
      <x:c r="AG246" s="18" t="str">
        <x:v>S1</x:v>
      </x:c>
    </x:row>
    <x:row r="247" ht="48" customHeight="1">
      <x:c r="A247" s="19" t="str">
        <x:v>H00V-2</x:v>
      </x:c>
      <x:c r="B247" s="19" t="str">
        <x:v>天灾军团</x:v>
      </x:c>
      <x:c r="C247" s="19" t="str">
        <x:v>傍晚酒馆</x:v>
      </x:c>
      <x:c r="D247" s="19" t="str">
        <x:v>蛇发女妖</x:v>
      </x:c>
      <x:c r="E247" s="19" t="str">
        <x:v>Gorgon</x:v>
      </x:c>
      <x:c r="F247" s="19" t="str">
        <x:v>H00V</x:v>
      </x:c>
      <x:c r="G247" s="19" t="str">
        <x:v>Medusa</x:v>
      </x:c>
      <x:c r="H247" s="19" t="str">
        <x:v>AGI</x:v>
      </x:c>
      <x:c r="I247" s="19" t="str">
        <x:v>远程</x:v>
      </x:c>
      <x:c r="J247" s="19" t="n">
        <x:v>2</x:v>
      </x:c>
      <x:c r="K247" s="19" t="str">
        <x:v>Mana Shield</x:v>
      </x:c>
      <x:c r="L247" s="19" t="str">
        <x:v>A0MP</x:v>
      </x:c>
      <x:c r="M247" s="49" t="str">
        <x:v>否</x:v>
      </x:c>
      <x:c r="N247" s="49" t="n">
        <x:v>4</x:v>
      </x:c>
      <x:c r="O247" s="49" t="n">
        <x:v>1</x:v>
      </x:c>
      <x:c r="P247" s="49" t="n">
        <x:v>2</x:v>
      </x:c>
      <x:c r="Q247" s="19" t="str">
        <x:v>开关/自动施放</x:v>
      </x:c>
      <x:c r="R247" s="19" t="str">
        <x:v>—</x:v>
      </x:c>
      <x:c r="S247" s="19" t="str">
        <x:v>防御/生存</x:v>
      </x:c>
      <x:c r="T247" s="19" t="str">
        <x:v>伤害、防御/生存、资源机制</x:v>
      </x:c>
      <x:c r="U247" s="48" t="str">
        <x:v>开关/自动施放；—；主分类：防御/生存；标签：伤害、防御/生存、资源机制</x:v>
      </x:c>
      <x:c r="V247" s="48" t="str">
        <x:v>50/50/50/50</x:v>
      </x:c>
      <x:c r="W247" s="48" t="str">
        <x:v>10/10/10/10</x:v>
      </x:c>
      <x:c r="X247" s="48" t="str">
        <x:v>128/128/128/128</x:v>
      </x:c>
      <x:c r="Y247" s="48" t="str">
        <x:v>—/—/—/—</x:v>
      </x:c>
      <x:c r="Z247" s="48" t="str">
        <x:v>—/—/—/—</x:v>
      </x:c>
      <x:c r="AA247" s="48" t="str">
        <x:v>—/—/—/—</x:v>
      </x:c>
      <x:c r="AB247" s="48" t="str">
        <x:v>self/self/self/self</x:v>
      </x:c>
      <x:c r="AC247" s="48" t="str">
        <x:v>开关/自动施放；—；主分类：防御/生存；标签：伤害、防御/生存、资源机制；等级：4；魔耗：50/50/50/50；冷却：10/10/10/10；施法距离：128/128/128/128；作用范围：—/—/—/—；持续时间：—/—/—/—。</x:v>
      </x:c>
      <x:c r="AD247" s="48" t="str">
        <x:v>50% / 1 / 75 / 2 / 1.25 / 3 / 1.5 / 4</x:v>
      </x:c>
      <x:c r="AE247" s="48" t="str">
        <x:v>A</x:v>
      </x:c>
      <x:c r="AF247" s="48" t="str">
        <x:v>6.48b 地图内 UnitAbilities/AbilityData/AbilityStrings 与对象修改表</x:v>
      </x:c>
      <x:c r="AG247" s="18" t="str">
        <x:v>S1</x:v>
      </x:c>
    </x:row>
    <x:row r="248" ht="48" customHeight="1">
      <x:c r="A248" s="19" t="str">
        <x:v>H00V-3</x:v>
      </x:c>
      <x:c r="B248" s="19" t="str">
        <x:v>天灾军团</x:v>
      </x:c>
      <x:c r="C248" s="19" t="str">
        <x:v>傍晚酒馆</x:v>
      </x:c>
      <x:c r="D248" s="19" t="str">
        <x:v>蛇发女妖</x:v>
      </x:c>
      <x:c r="E248" s="19" t="str">
        <x:v>Gorgon</x:v>
      </x:c>
      <x:c r="F248" s="19" t="str">
        <x:v>H00V</x:v>
      </x:c>
      <x:c r="G248" s="19" t="str">
        <x:v>Medusa</x:v>
      </x:c>
      <x:c r="H248" s="19" t="str">
        <x:v>AGI</x:v>
      </x:c>
      <x:c r="I248" s="19" t="str">
        <x:v>远程</x:v>
      </x:c>
      <x:c r="J248" s="19" t="n">
        <x:v>3</x:v>
      </x:c>
      <x:c r="K248" s="19" t="str">
        <x:v>Purge</x:v>
      </x:c>
      <x:c r="L248" s="19" t="str">
        <x:v>A02V</x:v>
      </x:c>
      <x:c r="M248" s="49" t="str">
        <x:v>是</x:v>
      </x:c>
      <x:c r="N248" s="49" t="n">
        <x:v>3</x:v>
      </x:c>
      <x:c r="O248" s="49" t="n">
        <x:v>6</x:v>
      </x:c>
      <x:c r="P248" s="49" t="n">
        <x:v>5</x:v>
      </x:c>
      <x:c r="Q248" s="19" t="str">
        <x:v>主动</x:v>
      </x:c>
      <x:c r="R248" s="19" t="str">
        <x:v>单位目标</x:v>
      </x:c>
      <x:c r="S248" s="19" t="str">
        <x:v>召唤</x:v>
      </x:c>
      <x:c r="T248" s="19" t="str">
        <x:v>伤害、软控、召唤、强化</x:v>
      </x:c>
      <x:c r="U248" s="48" t="str">
        <x:v>主动；单位目标；主分类：召唤；标签：伤害、软控、召唤、强化</x:v>
      </x:c>
      <x:c r="V248" s="48" t="str">
        <x:v>60/60/60</x:v>
      </x:c>
      <x:c r="W248" s="48" t="str">
        <x:v>12/12/12</x:v>
      </x:c>
      <x:c r="X248" s="48" t="str">
        <x:v>600/600/600</x:v>
      </x:c>
      <x:c r="Y248" s="48" t="str">
        <x:v>—/—/—</x:v>
      </x:c>
      <x:c r="Z248" s="48" t="str">
        <x:v>5/5/5</x:v>
      </x:c>
      <x:c r="AA248" s="48" t="str">
        <x:v>5/5/5</x:v>
      </x:c>
      <x:c r="AB248" s="48" t="str">
        <x:v>air,ground,ward,vuln,invu,tree/air,ground,ward,vuln,invu,tree/air,ground,ward,vuln,invu,tree</x:v>
      </x:c>
      <x:c r="AC248" s="48" t="str">
        <x:v>主动；单位目标；主分类：召唤；标签：伤害、软控、召唤、强化；等级：3；魔耗：60/60/60；冷却：12/12/12；施法距离：600/600/600；作用范围：—/—/—；持续时间：5/5/5。</x:v>
      </x:c>
      <x:c r="AD248" s="48" t="str">
        <x:v>5 / 1 / 2 / 3 / 600 / 12</x:v>
      </x:c>
      <x:c r="AE248" s="48" t="str">
        <x:v>A</x:v>
      </x:c>
      <x:c r="AF248" s="48" t="str">
        <x:v>6.48b 地图内 UnitAbilities/AbilityData/AbilityStrings 与对象修改表</x:v>
      </x:c>
      <x:c r="AG248" s="18" t="str">
        <x:v>S1</x:v>
      </x:c>
    </x:row>
    <x:row r="249" ht="48" customHeight="1">
      <x:c r="A249" s="19" t="str">
        <x:v>H00V-4</x:v>
      </x:c>
      <x:c r="B249" s="19" t="str">
        <x:v>天灾军团</x:v>
      </x:c>
      <x:c r="C249" s="19" t="str">
        <x:v>傍晚酒馆</x:v>
      </x:c>
      <x:c r="D249" s="19" t="str">
        <x:v>蛇发女妖</x:v>
      </x:c>
      <x:c r="E249" s="19" t="str">
        <x:v>Gorgon</x:v>
      </x:c>
      <x:c r="F249" s="19" t="str">
        <x:v>H00V</x:v>
      </x:c>
      <x:c r="G249" s="19" t="str">
        <x:v>Medusa</x:v>
      </x:c>
      <x:c r="H249" s="19" t="str">
        <x:v>AGI</x:v>
      </x:c>
      <x:c r="I249" s="19" t="str">
        <x:v>远程</x:v>
      </x:c>
      <x:c r="J249" s="19" t="n">
        <x:v>4</x:v>
      </x:c>
      <x:c r="K249" s="19" t="str">
        <x:v>Split Shot</x:v>
      </x:c>
      <x:c r="L249" s="19" t="str">
        <x:v>A012</x:v>
      </x:c>
      <x:c r="M249" s="49" t="str">
        <x:v>否</x:v>
      </x:c>
      <x:c r="N249" s="49" t="n">
        <x:v>4</x:v>
      </x:c>
      <x:c r="O249" s="49" t="n">
        <x:v>1</x:v>
      </x:c>
      <x:c r="P249" s="49" t="n">
        <x:v>2</x:v>
      </x:c>
      <x:c r="Q249" s="19" t="str">
        <x:v>主动</x:v>
      </x:c>
      <x:c r="R249" s="19" t="str">
        <x:v>无目标或脚本目标</x:v>
      </x:c>
      <x:c r="S249" s="19" t="str">
        <x:v>伤害</x:v>
      </x:c>
      <x:c r="T249" s="19" t="str">
        <x:v>伤害</x:v>
      </x:c>
      <x:c r="U249" s="48" t="str">
        <x:v>主动；无目标或脚本目标；主分类：伤害；标签：伤害</x:v>
      </x:c>
      <x:c r="V249" s="48" t="str">
        <x:v>—/—/—/—</x:v>
      </x:c>
      <x:c r="W249" s="48" t="str">
        <x:v>—/—/—/—</x:v>
      </x:c>
      <x:c r="X249" s="48" t="str">
        <x:v>—/—/—/—</x:v>
      </x:c>
      <x:c r="Y249" s="48" t="str">
        <x:v>—/—/—/—</x:v>
      </x:c>
      <x:c r="Z249" s="48" t="str">
        <x:v>—/—/—/—</x:v>
      </x:c>
      <x:c r="AA249" s="48" t="str">
        <x:v>—/—/—/—</x:v>
      </x:c>
      <x:c r="AB249" s="48" t="str">
        <x:v>air,ground,structure,debris,neutral,enemy,ward,vuln,invu/—/—/—</x:v>
      </x:c>
      <x:c r="AC249" s="48" t="str">
        <x:v>主动；无目标或脚本目标；主分类：伤害；标签：伤害；等级：4；魔耗：—/—/—/—；冷却：—/—/—/—；施法距离：—/—/—/—；作用范围：—/—/—/—；持续时间：—/—/—/—。</x:v>
      </x:c>
      <x:c r="AD249" s="48" t="str">
        <x:v>1 / 45% / 2 / 55% / 3 / 65% / 4 / 75%</x:v>
      </x:c>
      <x:c r="AE249" s="48" t="str">
        <x:v>A</x:v>
      </x:c>
      <x:c r="AF249" s="48" t="str">
        <x:v>6.48b 地图内 UnitAbilities/AbilityData/AbilityStrings 与对象修改表</x:v>
      </x:c>
      <x:c r="AG249" s="18" t="str">
        <x:v>S1</x:v>
      </x:c>
    </x:row>
    <x:row r="250" ht="48" customHeight="1">
      <x:c r="A250" s="19" t="str">
        <x:v>U007-1</x:v>
      </x:c>
      <x:c r="B250" s="19" t="str">
        <x:v>天灾军团</x:v>
      </x:c>
      <x:c r="C250" s="19" t="str">
        <x:v>傍晚酒馆</x:v>
      </x:c>
      <x:c r="D250" s="19" t="str">
        <x:v>食尸鬼</x:v>
      </x:c>
      <x:c r="E250" s="19" t="str">
        <x:v>Lifestealer</x:v>
      </x:c>
      <x:c r="F250" s="19" t="str">
        <x:v>U007</x:v>
      </x:c>
      <x:c r="G250" s="19" t="str">
        <x:v>N'aix</x:v>
      </x:c>
      <x:c r="H250" s="19" t="str">
        <x:v>STR</x:v>
      </x:c>
      <x:c r="I250" s="19" t="str">
        <x:v>近战</x:v>
      </x:c>
      <x:c r="J250" s="19" t="n">
        <x:v>1</x:v>
      </x:c>
      <x:c r="K250" s="19" t="str">
        <x:v>Feast</x:v>
      </x:c>
      <x:c r="L250" s="19" t="str">
        <x:v>A0JQ</x:v>
      </x:c>
      <x:c r="M250" s="49" t="str">
        <x:v>否</x:v>
      </x:c>
      <x:c r="N250" s="49" t="n">
        <x:v>4</x:v>
      </x:c>
      <x:c r="O250" s="49" t="n">
        <x:v>1</x:v>
      </x:c>
      <x:c r="P250" s="49" t="n">
        <x:v>2</x:v>
      </x:c>
      <x:c r="Q250" s="19" t="str">
        <x:v>被动</x:v>
      </x:c>
      <x:c r="R250" s="19" t="str">
        <x:v>被动</x:v>
      </x:c>
      <x:c r="S250" s="19" t="str">
        <x:v>强化</x:v>
      </x:c>
      <x:c r="T250" s="19" t="str">
        <x:v>伤害、强化、被动触发</x:v>
      </x:c>
      <x:c r="U250" s="48" t="str">
        <x:v>被动；被动；主分类：强化；标签：伤害、强化、被动触发</x:v>
      </x:c>
      <x:c r="V250" s="48" t="str">
        <x:v>—/—/—/—</x:v>
      </x:c>
      <x:c r="W250" s="48" t="str">
        <x:v>—/—/—/—</x:v>
      </x:c>
      <x:c r="X250" s="48" t="str">
        <x:v>—/—/—/—</x:v>
      </x:c>
      <x:c r="Y250" s="48" t="str">
        <x:v>900/900/900/900</x:v>
      </x:c>
      <x:c r="Z250" s="48" t="str">
        <x:v>—/—/—/—</x:v>
      </x:c>
      <x:c r="AA250" s="48" t="str">
        <x:v>—/—/—/—</x:v>
      </x:c>
      <x:c r="AB250" s="48" t="str">
        <x:v>self/self/self/self</x:v>
      </x:c>
      <x:c r="AC250" s="48" t="str">
        <x:v>被动；被动；主分类：强化；标签：伤害、强化、被动触发；等级：4；魔耗：—/—/—/—；冷却：—/—/—/—；施法距离：—/—/—/—；作用范围：900/900/900/900；持续时间：—/—/—/—。</x:v>
      </x:c>
      <x:c r="AD250" s="48" t="str">
        <x:v>1 / 10% / 2 / 20% / 3 / 30% / 4 / 40%</x:v>
      </x:c>
      <x:c r="AE250" s="48" t="str">
        <x:v>A</x:v>
      </x:c>
      <x:c r="AF250" s="48" t="str">
        <x:v>6.48b 地图内 UnitAbilities/AbilityData/AbilityStrings 与对象修改表</x:v>
      </x:c>
      <x:c r="AG250" s="18" t="str">
        <x:v>S1</x:v>
      </x:c>
    </x:row>
    <x:row r="251" ht="48" customHeight="1">
      <x:c r="A251" s="19" t="str">
        <x:v>U007-2</x:v>
      </x:c>
      <x:c r="B251" s="19" t="str">
        <x:v>天灾军团</x:v>
      </x:c>
      <x:c r="C251" s="19" t="str">
        <x:v>傍晚酒馆</x:v>
      </x:c>
      <x:c r="D251" s="19" t="str">
        <x:v>食尸鬼</x:v>
      </x:c>
      <x:c r="E251" s="19" t="str">
        <x:v>Lifestealer</x:v>
      </x:c>
      <x:c r="F251" s="19" t="str">
        <x:v>U007</x:v>
      </x:c>
      <x:c r="G251" s="19" t="str">
        <x:v>N'aix</x:v>
      </x:c>
      <x:c r="H251" s="19" t="str">
        <x:v>STR</x:v>
      </x:c>
      <x:c r="I251" s="19" t="str">
        <x:v>近战</x:v>
      </x:c>
      <x:c r="J251" s="19" t="n">
        <x:v>2</x:v>
      </x:c>
      <x:c r="K251" s="19" t="str">
        <x:v>Poison Sting</x:v>
      </x:c>
      <x:c r="L251" s="19" t="str">
        <x:v>A01E</x:v>
      </x:c>
      <x:c r="M251" s="49" t="str">
        <x:v>否</x:v>
      </x:c>
      <x:c r="N251" s="49" t="n">
        <x:v>4</x:v>
      </x:c>
      <x:c r="O251" s="49" t="n">
        <x:v>1</x:v>
      </x:c>
      <x:c r="P251" s="49" t="n">
        <x:v>2</x:v>
      </x:c>
      <x:c r="Q251" s="19" t="str">
        <x:v>被动/脚本触发</x:v>
      </x:c>
      <x:c r="R251" s="19" t="str">
        <x:v>被动</x:v>
      </x:c>
      <x:c r="S251" s="19" t="str">
        <x:v>软控</x:v>
      </x:c>
      <x:c r="T251" s="19" t="str">
        <x:v>伤害、软控、强化、削弱、被动触发</x:v>
      </x:c>
      <x:c r="U251" s="48" t="str">
        <x:v>被动/脚本触发；被动；主分类：软控；标签：伤害、软控、强化、削弱、被动触发</x:v>
      </x:c>
      <x:c r="V251" s="48" t="str">
        <x:v>—/—/—/—</x:v>
      </x:c>
      <x:c r="W251" s="48" t="str">
        <x:v>—/—/—/—</x:v>
      </x:c>
      <x:c r="X251" s="48" t="str">
        <x:v>—/—/—/—</x:v>
      </x:c>
      <x:c r="Y251" s="48" t="str">
        <x:v>—/—/—/—</x:v>
      </x:c>
      <x:c r="Z251" s="48" t="str">
        <x:v>2/2/2/2</x:v>
      </x:c>
      <x:c r="AA251" s="48" t="str">
        <x:v>2/2/2/2</x:v>
      </x:c>
      <x:c r="AB251" s="48" t="str">
        <x:v>air,ground,organic/air,ground,organic/air,ground,organic/air,ground,organic</x:v>
      </x:c>
      <x:c r="AC251" s="48" t="str">
        <x:v>被动/脚本触发；被动；主分类：软控；标签：伤害、软控、强化、削弱、被动触发；等级：4；魔耗：—/—/—/—；冷却：—/—/—/—；施法距离：—/—/—/—；作用范围：—/—/—/—；持续时间：2/2/2/2。</x:v>
      </x:c>
      <x:c r="AD251" s="48" t="str">
        <x:v>2 / 1 / 10% / 4 / 20% / 3 / 7 / 30% / 10 / 40%</x:v>
      </x:c>
      <x:c r="AE251" s="48" t="str">
        <x:v>A</x:v>
      </x:c>
      <x:c r="AF251" s="48" t="str">
        <x:v>6.48b 地图内 UnitAbilities/AbilityData/AbilityStrings 与对象修改表</x:v>
      </x:c>
      <x:c r="AG251" s="18" t="str">
        <x:v>S1</x:v>
      </x:c>
    </x:row>
    <x:row r="252" ht="48" customHeight="1">
      <x:c r="A252" s="19" t="str">
        <x:v>U007-3</x:v>
      </x:c>
      <x:c r="B252" s="19" t="str">
        <x:v>天灾军团</x:v>
      </x:c>
      <x:c r="C252" s="19" t="str">
        <x:v>傍晚酒馆</x:v>
      </x:c>
      <x:c r="D252" s="19" t="str">
        <x:v>食尸鬼</x:v>
      </x:c>
      <x:c r="E252" s="19" t="str">
        <x:v>Lifestealer</x:v>
      </x:c>
      <x:c r="F252" s="19" t="str">
        <x:v>U007</x:v>
      </x:c>
      <x:c r="G252" s="19" t="str">
        <x:v>N'aix</x:v>
      </x:c>
      <x:c r="H252" s="19" t="str">
        <x:v>STR</x:v>
      </x:c>
      <x:c r="I252" s="19" t="str">
        <x:v>近战</x:v>
      </x:c>
      <x:c r="J252" s="19" t="n">
        <x:v>3</x:v>
      </x:c>
      <x:c r="K252" s="19" t="str">
        <x:v>Anabolic Frenzy</x:v>
      </x:c>
      <x:c r="L252" s="19" t="str">
        <x:v>A06Y</x:v>
      </x:c>
      <x:c r="M252" s="49" t="str">
        <x:v>否</x:v>
      </x:c>
      <x:c r="N252" s="49" t="n">
        <x:v>4</x:v>
      </x:c>
      <x:c r="O252" s="49" t="n">
        <x:v>1</x:v>
      </x:c>
      <x:c r="P252" s="49" t="n">
        <x:v>2</x:v>
      </x:c>
      <x:c r="Q252" s="19" t="str">
        <x:v>被动/脚本触发</x:v>
      </x:c>
      <x:c r="R252" s="19" t="str">
        <x:v>被动</x:v>
      </x:c>
      <x:c r="S252" s="19" t="str">
        <x:v>软控</x:v>
      </x:c>
      <x:c r="T252" s="19" t="str">
        <x:v>软控、强化、被动触发</x:v>
      </x:c>
      <x:c r="U252" s="48" t="str">
        <x:v>被动/脚本触发；被动；主分类：软控；标签：软控、强化、被动触发</x:v>
      </x:c>
      <x:c r="V252" s="48" t="str">
        <x:v>—/—/—/—</x:v>
      </x:c>
      <x:c r="W252" s="48" t="str">
        <x:v>—/—/—/—</x:v>
      </x:c>
      <x:c r="X252" s="48" t="str">
        <x:v>—/—/—/—</x:v>
      </x:c>
      <x:c r="Y252" s="48" t="str">
        <x:v>900/900/900/900</x:v>
      </x:c>
      <x:c r="Z252" s="48" t="str">
        <x:v>—/—/—/—</x:v>
      </x:c>
      <x:c r="AA252" s="48" t="str">
        <x:v>—/—/—/—</x:v>
      </x:c>
      <x:c r="AB252" s="48" t="str">
        <x:v>self/self/self/self</x:v>
      </x:c>
      <x:c r="AC252" s="48" t="str">
        <x:v>被动/脚本触发；被动；主分类：软控；标签：软控、强化、被动触发；等级：4；魔耗：—/—/—/—；冷却：—/—/—/—；施法距离：—/—/—/—；作用范围：900/900/900/900；持续时间：—/—/—/—。</x:v>
      </x:c>
      <x:c r="AD252" s="48" t="str">
        <x:v>1 / 3% / 10% / 2 / 5% / 20% / 3 / 7% / 30% / 4 / 9% / 40%</x:v>
      </x:c>
      <x:c r="AE252" s="48" t="str">
        <x:v>A</x:v>
      </x:c>
      <x:c r="AF252" s="48" t="str">
        <x:v>6.48b 地图内 UnitAbilities/AbilityData/AbilityStrings 与对象修改表</x:v>
      </x:c>
      <x:c r="AG252" s="18" t="str">
        <x:v>S1</x:v>
      </x:c>
    </x:row>
    <x:row r="253" ht="48" customHeight="1">
      <x:c r="A253" s="19" t="str">
        <x:v>U007-4</x:v>
      </x:c>
      <x:c r="B253" s="19" t="str">
        <x:v>天灾军团</x:v>
      </x:c>
      <x:c r="C253" s="19" t="str">
        <x:v>傍晚酒馆</x:v>
      </x:c>
      <x:c r="D253" s="19" t="str">
        <x:v>食尸鬼</x:v>
      </x:c>
      <x:c r="E253" s="19" t="str">
        <x:v>Lifestealer</x:v>
      </x:c>
      <x:c r="F253" s="19" t="str">
        <x:v>U007</x:v>
      </x:c>
      <x:c r="G253" s="19" t="str">
        <x:v>N'aix</x:v>
      </x:c>
      <x:c r="H253" s="19" t="str">
        <x:v>STR</x:v>
      </x:c>
      <x:c r="I253" s="19" t="str">
        <x:v>近战</x:v>
      </x:c>
      <x:c r="J253" s="19" t="n">
        <x:v>4</x:v>
      </x:c>
      <x:c r="K253" s="19" t="str">
        <x:v>Rage</x:v>
      </x:c>
      <x:c r="L253" s="19" t="str">
        <x:v>A028</x:v>
      </x:c>
      <x:c r="M253" s="49" t="str">
        <x:v>是</x:v>
      </x:c>
      <x:c r="N253" s="49" t="n">
        <x:v>3</x:v>
      </x:c>
      <x:c r="O253" s="49" t="n">
        <x:v>6</x:v>
      </x:c>
      <x:c r="P253" s="49" t="n">
        <x:v>5</x:v>
      </x:c>
      <x:c r="Q253" s="19" t="str">
        <x:v>主动</x:v>
      </x:c>
      <x:c r="R253" s="19" t="str">
        <x:v>无目标或脚本目标</x:v>
      </x:c>
      <x:c r="S253" s="19" t="str">
        <x:v>强化</x:v>
      </x:c>
      <x:c r="T253" s="19" t="str">
        <x:v>伤害、强化、削弱</x:v>
      </x:c>
      <x:c r="U253" s="48" t="str">
        <x:v>主动；无目标或脚本目标；主分类：强化；标签：伤害、强化、削弱</x:v>
      </x:c>
      <x:c r="V253" s="48" t="str">
        <x:v>150/200/250</x:v>
      </x:c>
      <x:c r="W253" s="48" t="str">
        <x:v>90/90/90</x:v>
      </x:c>
      <x:c r="X253" s="48" t="str">
        <x:v>—/—/—</x:v>
      </x:c>
      <x:c r="Y253" s="48" t="str">
        <x:v>0.5/0.5/0.5</x:v>
      </x:c>
      <x:c r="Z253" s="48" t="str">
        <x:v>10/15/20</x:v>
      </x:c>
      <x:c r="AA253" s="48" t="str">
        <x:v>10/15/20</x:v>
      </x:c>
      <x:c r="AB253" s="48" t="str">
        <x:v>—/—/—</x:v>
      </x:c>
      <x:c r="AC253" s="48" t="str">
        <x:v>主动；无目标或脚本目标；主分类：强化；标签：伤害、强化、削弱；等级：3；魔耗：150/200/250；冷却：90/90/90；施法距离：—/—/—；作用范围：0.5/0.5/0.5；持续时间：10/15/20。</x:v>
      </x:c>
      <x:c r="AD253" s="48" t="str">
        <x:v>1 / 10 / 2 / 15 / 3 / 20 / 90</x:v>
      </x:c>
      <x:c r="AE253" s="48" t="str">
        <x:v>A</x:v>
      </x:c>
      <x:c r="AF253" s="48" t="str">
        <x:v>6.48b 地图内 UnitAbilities/AbilityData/AbilityStrings 与对象修改表</x:v>
      </x:c>
      <x:c r="AG253" s="18" t="str">
        <x:v>S1</x:v>
      </x:c>
    </x:row>
    <x:row r="254" ht="48" customHeight="1">
      <x:c r="A254" s="19" t="str">
        <x:v>EC77-1</x:v>
      </x:c>
      <x:c r="B254" s="19" t="str">
        <x:v>天灾军团</x:v>
      </x:c>
      <x:c r="C254" s="19" t="str">
        <x:v>傍晚酒馆</x:v>
      </x:c>
      <x:c r="D254" s="19" t="str">
        <x:v>冥界亚龙</x:v>
      </x:c>
      <x:c r="E254" s="19" t="str">
        <x:v>Netherdrake</x:v>
      </x:c>
      <x:c r="F254" s="19" t="str">
        <x:v>EC77</x:v>
      </x:c>
      <x:c r="G254" s="19" t="str">
        <x:v>Viper</x:v>
      </x:c>
      <x:c r="H254" s="19" t="str">
        <x:v>AGI</x:v>
      </x:c>
      <x:c r="I254" s="19" t="str">
        <x:v>远程</x:v>
      </x:c>
      <x:c r="J254" s="19" t="n">
        <x:v>1</x:v>
      </x:c>
      <x:c r="K254" s="19" t="str">
        <x:v>Poison Attack</x:v>
      </x:c>
      <x:c r="L254" s="19" t="str">
        <x:v>A09V</x:v>
      </x:c>
      <x:c r="M254" s="49" t="str">
        <x:v>否</x:v>
      </x:c>
      <x:c r="N254" s="49" t="n">
        <x:v>4</x:v>
      </x:c>
      <x:c r="O254" s="49" t="n">
        <x:v>1</x:v>
      </x:c>
      <x:c r="P254" s="49" t="n">
        <x:v>2</x:v>
      </x:c>
      <x:c r="Q254" s="19" t="str">
        <x:v>开关/自动施放</x:v>
      </x:c>
      <x:c r="R254" s="19" t="str">
        <x:v>—</x:v>
      </x:c>
      <x:c r="S254" s="19" t="str">
        <x:v>软控</x:v>
      </x:c>
      <x:c r="T254" s="19" t="str">
        <x:v>伤害、软控、强化、削弱</x:v>
      </x:c>
      <x:c r="U254" s="48" t="str">
        <x:v>开关/自动施放；—；主分类：软控；标签：伤害、软控、强化、削弱</x:v>
      </x:c>
      <x:c r="V254" s="48" t="str">
        <x:v>20/20/20/20</x:v>
      </x:c>
      <x:c r="W254" s="48" t="str">
        <x:v>4/3/—/—</x:v>
      </x:c>
      <x:c r="X254" s="48" t="str">
        <x:v>600/600/600/600</x:v>
      </x:c>
      <x:c r="Y254" s="48" t="str">
        <x:v>—/—/—/—</x:v>
      </x:c>
      <x:c r="Z254" s="48" t="str">
        <x:v>2/2/2/2</x:v>
      </x:c>
      <x:c r="AA254" s="48" t="str">
        <x:v>2/2/2/2</x:v>
      </x:c>
      <x:c r="AB254" s="48" t="str">
        <x:v>air,enemies,ground,organic/air,enemies,ground,organic/air,enemies,ground,organic/air,enemies,ground,organic</x:v>
      </x:c>
      <x:c r="AC254" s="48" t="str">
        <x:v>开关/自动施放；—；主分类：软控；标签：伤害、软控、强化、削弱；等级：4；魔耗：20/20/20/20；冷却：4/3/—/—；施法距离：600/600/600/600；作用范围：—/—/—/—；持续时间：2/2/2/2。</x:v>
      </x:c>
      <x:c r="AD254" s="48" t="str">
        <x:v>2 / 1 / 10% / 6 / 20% / 12 / 3 / 30% / 18 / 4 / 40% / 24 / 0</x:v>
      </x:c>
      <x:c r="AE254" s="48" t="str">
        <x:v>A</x:v>
      </x:c>
      <x:c r="AF254" s="48" t="str">
        <x:v>6.48b 地图内 UnitAbilities/AbilityData/AbilityStrings 与对象修改表</x:v>
      </x:c>
      <x:c r="AG254" s="18" t="str">
        <x:v>S1</x:v>
      </x:c>
    </x:row>
    <x:row r="255" ht="48" customHeight="1">
      <x:c r="A255" s="19" t="str">
        <x:v>EC77-2</x:v>
      </x:c>
      <x:c r="B255" s="19" t="str">
        <x:v>天灾军团</x:v>
      </x:c>
      <x:c r="C255" s="19" t="str">
        <x:v>傍晚酒馆</x:v>
      </x:c>
      <x:c r="D255" s="19" t="str">
        <x:v>冥界亚龙</x:v>
      </x:c>
      <x:c r="E255" s="19" t="str">
        <x:v>Netherdrake</x:v>
      </x:c>
      <x:c r="F255" s="19" t="str">
        <x:v>EC77</x:v>
      </x:c>
      <x:c r="G255" s="19" t="str">
        <x:v>Viper</x:v>
      </x:c>
      <x:c r="H255" s="19" t="str">
        <x:v>AGI</x:v>
      </x:c>
      <x:c r="I255" s="19" t="str">
        <x:v>远程</x:v>
      </x:c>
      <x:c r="J255" s="19" t="n">
        <x:v>2</x:v>
      </x:c>
      <x:c r="K255" s="19" t="str">
        <x:v>Corrosive Skin</x:v>
      </x:c>
      <x:c r="L255" s="19" t="str">
        <x:v>A0MM</x:v>
      </x:c>
      <x:c r="M255" s="49" t="str">
        <x:v>否</x:v>
      </x:c>
      <x:c r="N255" s="49" t="n">
        <x:v>4</x:v>
      </x:c>
      <x:c r="O255" s="49" t="n">
        <x:v>1</x:v>
      </x:c>
      <x:c r="P255" s="49" t="n">
        <x:v>2</x:v>
      </x:c>
      <x:c r="Q255" s="19" t="str">
        <x:v>被动/脚本触发</x:v>
      </x:c>
      <x:c r="R255" s="19" t="str">
        <x:v>被动</x:v>
      </x:c>
      <x:c r="S255" s="19" t="str">
        <x:v>防御/生存</x:v>
      </x:c>
      <x:c r="T255" s="19" t="str">
        <x:v>伤害、软控、防御/生存、强化、削弱、被动触发</x:v>
      </x:c>
      <x:c r="U255" s="48" t="str">
        <x:v>被动/脚本触发；被动；主分类：防御/生存；标签：伤害、软控、防御/生存、强化、削弱、被动触发</x:v>
      </x:c>
      <x:c r="V255" s="48" t="str">
        <x:v>—/—/—/—</x:v>
      </x:c>
      <x:c r="W255" s="48" t="str">
        <x:v>—/—/—/—</x:v>
      </x:c>
      <x:c r="X255" s="48" t="str">
        <x:v>—/—/—/—</x:v>
      </x:c>
      <x:c r="Y255" s="48" t="str">
        <x:v>—/—/—/—</x:v>
      </x:c>
      <x:c r="Z255" s="48" t="str">
        <x:v>—/—/—/—</x:v>
      </x:c>
      <x:c r="AA255" s="48" t="str">
        <x:v>—/—/—/—</x:v>
      </x:c>
      <x:c r="AB255" s="48" t="str">
        <x:v>vuln,invu/vuln,invu/vuln,invu/vuln,invu</x:v>
      </x:c>
      <x:c r="AC255" s="48" t="str">
        <x:v>被动/脚本触发；被动；主分类：防御/生存；标签：伤害、软控、防御/生存、强化、削弱、被动触发；等级：4；魔耗：—/—/—/—；冷却：—/—/—/—；施法距离：—/—/—/—；作用范围：—/—/—/—；持续时间：—/—/—/—。</x:v>
      </x:c>
      <x:c r="AD255" s="48" t="str">
        <x:v>3 / 1 / 5% / 5 / 2 / 10% / 10 / 15% / 15 / 4 / 20% / 20</x:v>
      </x:c>
      <x:c r="AE255" s="48" t="str">
        <x:v>A</x:v>
      </x:c>
      <x:c r="AF255" s="48" t="str">
        <x:v>6.48b 地图内 UnitAbilities/AbilityData/AbilityStrings 与对象修改表</x:v>
      </x:c>
      <x:c r="AG255" s="18" t="str">
        <x:v>S1</x:v>
      </x:c>
    </x:row>
    <x:row r="256" ht="48" customHeight="1">
      <x:c r="A256" s="19" t="str">
        <x:v>EC77-3</x:v>
      </x:c>
      <x:c r="B256" s="19" t="str">
        <x:v>天灾军团</x:v>
      </x:c>
      <x:c r="C256" s="19" t="str">
        <x:v>傍晚酒馆</x:v>
      </x:c>
      <x:c r="D256" s="19" t="str">
        <x:v>冥界亚龙</x:v>
      </x:c>
      <x:c r="E256" s="19" t="str">
        <x:v>Netherdrake</x:v>
      </x:c>
      <x:c r="F256" s="19" t="str">
        <x:v>EC77</x:v>
      </x:c>
      <x:c r="G256" s="19" t="str">
        <x:v>Viper</x:v>
      </x:c>
      <x:c r="H256" s="19" t="str">
        <x:v>AGI</x:v>
      </x:c>
      <x:c r="I256" s="19" t="str">
        <x:v>远程</x:v>
      </x:c>
      <x:c r="J256" s="19" t="n">
        <x:v>3</x:v>
      </x:c>
      <x:c r="K256" s="19" t="str">
        <x:v>Viper Strike</x:v>
      </x:c>
      <x:c r="L256" s="19" t="str">
        <x:v>A080</x:v>
      </x:c>
      <x:c r="M256" s="49" t="str">
        <x:v>是</x:v>
      </x:c>
      <x:c r="N256" s="49" t="n">
        <x:v>3</x:v>
      </x:c>
      <x:c r="O256" s="49" t="n">
        <x:v>6</x:v>
      </x:c>
      <x:c r="P256" s="49" t="n">
        <x:v>5</x:v>
      </x:c>
      <x:c r="Q256" s="19" t="str">
        <x:v>主动</x:v>
      </x:c>
      <x:c r="R256" s="19" t="str">
        <x:v>无目标或脚本目标</x:v>
      </x:c>
      <x:c r="S256" s="19" t="str">
        <x:v>软控</x:v>
      </x:c>
      <x:c r="T256" s="19" t="str">
        <x:v>伤害、软控、强化、削弱</x:v>
      </x:c>
      <x:c r="U256" s="48" t="str">
        <x:v>主动；无目标或脚本目标；主分类：软控；标签：伤害、软控、强化、削弱</x:v>
      </x:c>
      <x:c r="V256" s="48" t="str">
        <x:v>125/175/250</x:v>
      </x:c>
      <x:c r="W256" s="48" t="str">
        <x:v>80/80/80</x:v>
      </x:c>
      <x:c r="X256" s="48" t="str">
        <x:v>500/500/500</x:v>
      </x:c>
      <x:c r="Y256" s="48" t="str">
        <x:v>—/—/—</x:v>
      </x:c>
      <x:c r="Z256" s="48" t="str">
        <x:v>5.1/5.1/5.1</x:v>
      </x:c>
      <x:c r="AA256" s="48" t="str">
        <x:v>5.1/5.1/5.1</x:v>
      </x:c>
      <x:c r="AB256" s="48" t="str">
        <x:v>ground,air,enemy,neutral,organic/ground,air,enemy,neutral,organic/ground,air,enemy,neutral,organic</x:v>
      </x:c>
      <x:c r="AC256" s="48" t="str">
        <x:v>主动；无目标或脚本目标；主分类：软控；标签：伤害、软控、强化、削弱；等级：3；魔耗：125/175/250；冷却：80/80/80；施法距离：500/500/500；作用范围：—/—/—；持续时间：5.1/5.1/5.1。</x:v>
      </x:c>
      <x:c r="AD256" s="48" t="str">
        <x:v>5 / 1 / 60 / 40% / 2 / 100 / 60% / 3 / 145 / 80% / 80</x:v>
      </x:c>
      <x:c r="AE256" s="48" t="str">
        <x:v>A</x:v>
      </x:c>
      <x:c r="AF256" s="48" t="str">
        <x:v>6.48b 地图内 UnitAbilities/AbilityData/AbilityStrings 与对象修改表</x:v>
      </x:c>
      <x:c r="AG256" s="18" t="str">
        <x:v>S1</x:v>
      </x:c>
    </x:row>
    <x:row r="257" ht="48" customHeight="1">
      <x:c r="A257" s="19" t="str">
        <x:v>EC77-4</x:v>
      </x:c>
      <x:c r="B257" s="19" t="str">
        <x:v>天灾军团</x:v>
      </x:c>
      <x:c r="C257" s="19" t="str">
        <x:v>傍晚酒馆</x:v>
      </x:c>
      <x:c r="D257" s="19" t="str">
        <x:v>冥界亚龙</x:v>
      </x:c>
      <x:c r="E257" s="19" t="str">
        <x:v>Netherdrake</x:v>
      </x:c>
      <x:c r="F257" s="19" t="str">
        <x:v>EC77</x:v>
      </x:c>
      <x:c r="G257" s="19" t="str">
        <x:v>Viper</x:v>
      </x:c>
      <x:c r="H257" s="19" t="str">
        <x:v>AGI</x:v>
      </x:c>
      <x:c r="I257" s="19" t="str">
        <x:v>远程</x:v>
      </x:c>
      <x:c r="J257" s="19" t="n">
        <x:v>4</x:v>
      </x:c>
      <x:c r="K257" s="19" t="str">
        <x:v>Frenzy</x:v>
      </x:c>
      <x:c r="L257" s="19" t="str">
        <x:v>A05D</x:v>
      </x:c>
      <x:c r="M257" s="49" t="str">
        <x:v>否</x:v>
      </x:c>
      <x:c r="N257" s="49" t="n">
        <x:v>4</x:v>
      </x:c>
      <x:c r="O257" s="49" t="n">
        <x:v>1</x:v>
      </x:c>
      <x:c r="P257" s="49" t="n">
        <x:v>2</x:v>
      </x:c>
      <x:c r="Q257" s="19" t="str">
        <x:v>主动</x:v>
      </x:c>
      <x:c r="R257" s="19" t="str">
        <x:v>无目标或脚本目标</x:v>
      </x:c>
      <x:c r="S257" s="19" t="str">
        <x:v>软控</x:v>
      </x:c>
      <x:c r="T257" s="19" t="str">
        <x:v>伤害、软控、强化</x:v>
      </x:c>
      <x:c r="U257" s="48" t="str">
        <x:v>主动；无目标或脚本目标；主分类：软控；标签：伤害、软控、强化</x:v>
      </x:c>
      <x:c r="V257" s="48" t="str">
        <x:v>80/90/110/130</x:v>
      </x:c>
      <x:c r="W257" s="48" t="str">
        <x:v>40/40/40/40</x:v>
      </x:c>
      <x:c r="X257" s="48" t="str">
        <x:v>—/—/—/—</x:v>
      </x:c>
      <x:c r="Y257" s="48" t="str">
        <x:v>—/—/—/—</x:v>
      </x:c>
      <x:c r="Z257" s="48" t="str">
        <x:v>20/20/20/20</x:v>
      </x:c>
      <x:c r="AA257" s="48" t="str">
        <x:v>20/20/20/20</x:v>
      </x:c>
      <x:c r="AB257" s="48" t="str">
        <x:v>—/—/—/—</x:v>
      </x:c>
      <x:c r="AC257" s="48" t="str">
        <x:v>主动；无目标或脚本目标；主分类：软控；标签：伤害、软控、强化；等级：4；魔耗：80/90/110/130；冷却：40/40/40/40；施法距离：—/—/—/—；作用范围：—/—/—/—；持续时间：20/20/20/20。</x:v>
      </x:c>
      <x:c r="AD257" s="48" t="str">
        <x:v>20 / 1 / 25% / 5% / 2 / 50% / 10% / 3 / 75% / 15% / 4 / 100% / 20% / 40</x:v>
      </x:c>
      <x:c r="AE257" s="48" t="str">
        <x:v>A</x:v>
      </x:c>
      <x:c r="AF257" s="48" t="str">
        <x:v>6.48b 地图内 UnitAbilities/AbilityData/AbilityStrings 与对象修改表</x:v>
      </x:c>
      <x:c r="AG257" s="18" t="str">
        <x:v>S1</x:v>
      </x:c>
    </x:row>
    <x:row r="258" ht="48" customHeight="1">
      <x:c r="A258" s="19" t="str">
        <x:v>EC45-1</x:v>
      </x:c>
      <x:c r="B258" s="19" t="str">
        <x:v>天灾军团</x:v>
      </x:c>
      <x:c r="C258" s="19" t="str">
        <x:v>傍晚酒馆</x:v>
      </x:c>
      <x:c r="D258" s="19" t="str">
        <x:v>虚空假面</x:v>
      </x:c>
      <x:c r="E258" s="19" t="str">
        <x:v>Faceless Void</x:v>
      </x:c>
      <x:c r="F258" s="19" t="str">
        <x:v>EC45</x:v>
      </x:c>
      <x:c r="G258" s="19" t="str">
        <x:v>Darkterror</x:v>
      </x:c>
      <x:c r="H258" s="19" t="str">
        <x:v>AGI</x:v>
      </x:c>
      <x:c r="I258" s="19" t="str">
        <x:v>近战</x:v>
      </x:c>
      <x:c r="J258" s="19" t="n">
        <x:v>1</x:v>
      </x:c>
      <x:c r="K258" s="19" t="str">
        <x:v>Time Walk</x:v>
      </x:c>
      <x:c r="L258" s="19" t="str">
        <x:v>A0LK</x:v>
      </x:c>
      <x:c r="M258" s="49" t="str">
        <x:v>否</x:v>
      </x:c>
      <x:c r="N258" s="49" t="n">
        <x:v>4</x:v>
      </x:c>
      <x:c r="O258" s="49" t="n">
        <x:v>1</x:v>
      </x:c>
      <x:c r="P258" s="49" t="n">
        <x:v>2</x:v>
      </x:c>
      <x:c r="Q258" s="19" t="str">
        <x:v>主动</x:v>
      </x:c>
      <x:c r="R258" s="19" t="str">
        <x:v>单位目标</x:v>
      </x:c>
      <x:c r="S258" s="19" t="str">
        <x:v>软控</x:v>
      </x:c>
      <x:c r="T258" s="19" t="str">
        <x:v>软控、范围效果</x:v>
      </x:c>
      <x:c r="U258" s="48" t="str">
        <x:v>主动；单位目标；主分类：软控；标签：软控、范围效果</x:v>
      </x:c>
      <x:c r="V258" s="48" t="str">
        <x:v>120/120/120/120</x:v>
      </x:c>
      <x:c r="W258" s="48" t="str">
        <x:v>13/13/13/13</x:v>
      </x:c>
      <x:c r="X258" s="48" t="str">
        <x:v>700/900/1100/1300</x:v>
      </x:c>
      <x:c r="Y258" s="48" t="str">
        <x:v>—/—/—/—</x:v>
      </x:c>
      <x:c r="Z258" s="48" t="str">
        <x:v>—/—/—/—</x:v>
      </x:c>
      <x:c r="AA258" s="48" t="str">
        <x:v>—/—/—/—</x:v>
      </x:c>
      <x:c r="AB258" s="48" t="str">
        <x:v>air,enemies,ground,neutral/air,enemies,ground,neutral/air,enemies,ground,neutral/air,enemies,ground,neutral</x:v>
      </x:c>
      <x:c r="AC258" s="48" t="str">
        <x:v>主动；单位目标；主分类：软控；标签：软控、范围效果；等级：4；魔耗：120/120/120/120；冷却：13/13/13/13；施法距离：700/900/1100/1300；作用范围：—/—/—/—；持续时间：—/—/—/—。</x:v>
      </x:c>
      <x:c r="AD258" s="48" t="str">
        <x:v>3 / 1 / 700 / 10% / 2 / 900 / 20% / 1100 / 30% / 4 / 1300 / 40% / 13</x:v>
      </x:c>
      <x:c r="AE258" s="48" t="str">
        <x:v>A</x:v>
      </x:c>
      <x:c r="AF258" s="48" t="str">
        <x:v>6.48b 地图内 UnitAbilities/AbilityData/AbilityStrings 与对象修改表</x:v>
      </x:c>
      <x:c r="AG258" s="18" t="str">
        <x:v>S1</x:v>
      </x:c>
    </x:row>
    <x:row r="259" ht="48" customHeight="1">
      <x:c r="A259" s="19" t="str">
        <x:v>EC45-2</x:v>
      </x:c>
      <x:c r="B259" s="19" t="str">
        <x:v>天灾军团</x:v>
      </x:c>
      <x:c r="C259" s="19" t="str">
        <x:v>傍晚酒馆</x:v>
      </x:c>
      <x:c r="D259" s="19" t="str">
        <x:v>虚空假面</x:v>
      </x:c>
      <x:c r="E259" s="19" t="str">
        <x:v>Faceless Void</x:v>
      </x:c>
      <x:c r="F259" s="19" t="str">
        <x:v>EC45</x:v>
      </x:c>
      <x:c r="G259" s="19" t="str">
        <x:v>Darkterror</x:v>
      </x:c>
      <x:c r="H259" s="19" t="str">
        <x:v>AGI</x:v>
      </x:c>
      <x:c r="I259" s="19" t="str">
        <x:v>近战</x:v>
      </x:c>
      <x:c r="J259" s="19" t="n">
        <x:v>2</x:v>
      </x:c>
      <x:c r="K259" s="19" t="str">
        <x:v>Backtrack</x:v>
      </x:c>
      <x:c r="L259" s="19" t="str">
        <x:v>A0CZ</x:v>
      </x:c>
      <x:c r="M259" s="49" t="str">
        <x:v>否</x:v>
      </x:c>
      <x:c r="N259" s="49" t="n">
        <x:v>4</x:v>
      </x:c>
      <x:c r="O259" s="49" t="n">
        <x:v>1</x:v>
      </x:c>
      <x:c r="P259" s="49" t="n">
        <x:v>2</x:v>
      </x:c>
      <x:c r="Q259" s="19" t="str">
        <x:v>被动</x:v>
      </x:c>
      <x:c r="R259" s="19" t="str">
        <x:v>被动</x:v>
      </x:c>
      <x:c r="S259" s="19" t="str">
        <x:v>伤害</x:v>
      </x:c>
      <x:c r="T259" s="19" t="str">
        <x:v>伤害、被动触发</x:v>
      </x:c>
      <x:c r="U259" s="48" t="str">
        <x:v>被动；被动；主分类：伤害；标签：伤害、被动触发</x:v>
      </x:c>
      <x:c r="V259" s="48" t="str">
        <x:v>—/—/—/—</x:v>
      </x:c>
      <x:c r="W259" s="48" t="str">
        <x:v>—/—/—/—</x:v>
      </x:c>
      <x:c r="X259" s="48" t="str">
        <x:v>—/—/—/—</x:v>
      </x:c>
      <x:c r="Y259" s="48" t="str">
        <x:v>—/—/—/—</x:v>
      </x:c>
      <x:c r="Z259" s="48" t="str">
        <x:v>—/—/—/—</x:v>
      </x:c>
      <x:c r="AA259" s="48" t="str">
        <x:v>—/—/—/—</x:v>
      </x:c>
      <x:c r="AB259" s="48" t="str">
        <x:v>—/—/—/—</x:v>
      </x:c>
      <x:c r="AC259" s="48" t="str">
        <x:v>被动；被动；主分类：伤害；标签：伤害、被动触发；等级：4；魔耗：—/—/—/—；冷却：—/—/—/—；施法距离：—/—/—/—；作用范围：—/—/—/—；持续时间：—/—/—/—。</x:v>
      </x:c>
      <x:c r="AD259" s="48" t="str">
        <x:v>1 / 10% / 2 / 15% / 3 / 20% / 4 / 25%</x:v>
      </x:c>
      <x:c r="AE259" s="48" t="str">
        <x:v>A</x:v>
      </x:c>
      <x:c r="AF259" s="48" t="str">
        <x:v>6.48b 地图内 UnitAbilities/AbilityData/AbilityStrings 与对象修改表</x:v>
      </x:c>
      <x:c r="AG259" s="18" t="str">
        <x:v>S1</x:v>
      </x:c>
    </x:row>
    <x:row r="260" ht="48" customHeight="1">
      <x:c r="A260" s="19" t="str">
        <x:v>EC45-3</x:v>
      </x:c>
      <x:c r="B260" s="19" t="str">
        <x:v>天灾军团</x:v>
      </x:c>
      <x:c r="C260" s="19" t="str">
        <x:v>傍晚酒馆</x:v>
      </x:c>
      <x:c r="D260" s="19" t="str">
        <x:v>虚空假面</x:v>
      </x:c>
      <x:c r="E260" s="19" t="str">
        <x:v>Faceless Void</x:v>
      </x:c>
      <x:c r="F260" s="19" t="str">
        <x:v>EC45</x:v>
      </x:c>
      <x:c r="G260" s="19" t="str">
        <x:v>Darkterror</x:v>
      </x:c>
      <x:c r="H260" s="19" t="str">
        <x:v>AGI</x:v>
      </x:c>
      <x:c r="I260" s="19" t="str">
        <x:v>近战</x:v>
      </x:c>
      <x:c r="J260" s="19" t="n">
        <x:v>3</x:v>
      </x:c>
      <x:c r="K260" s="19" t="str">
        <x:v>Time Lock</x:v>
      </x:c>
      <x:c r="L260" s="19" t="str">
        <x:v>A081</x:v>
      </x:c>
      <x:c r="M260" s="49" t="str">
        <x:v>否</x:v>
      </x:c>
      <x:c r="N260" s="49" t="n">
        <x:v>4</x:v>
      </x:c>
      <x:c r="O260" s="49" t="n">
        <x:v>1</x:v>
      </x:c>
      <x:c r="P260" s="49" t="n">
        <x:v>2</x:v>
      </x:c>
      <x:c r="Q260" s="19" t="str">
        <x:v>主动</x:v>
      </x:c>
      <x:c r="R260" s="19" t="str">
        <x:v>无目标或脚本目标</x:v>
      </x:c>
      <x:c r="S260" s="19" t="str">
        <x:v>强化</x:v>
      </x:c>
      <x:c r="T260" s="19" t="str">
        <x:v>伤害、强化</x:v>
      </x:c>
      <x:c r="U260" s="48" t="str">
        <x:v>主动；无目标或脚本目标；主分类：强化；标签：伤害、强化</x:v>
      </x:c>
      <x:c r="V260" s="48" t="str">
        <x:v>—/—/—/—</x:v>
      </x:c>
      <x:c r="W260" s="48" t="str">
        <x:v>—/—/—/—</x:v>
      </x:c>
      <x:c r="X260" s="48" t="str">
        <x:v>—/—/—/—</x:v>
      </x:c>
      <x:c r="Y260" s="48" t="str">
        <x:v>—/—/—/—</x:v>
      </x:c>
      <x:c r="Z260" s="48" t="str">
        <x:v>2/2/2/2</x:v>
      </x:c>
      <x:c r="AA260" s="48" t="str">
        <x:v>1/1/1/1</x:v>
      </x:c>
      <x:c r="AB260" s="48" t="str">
        <x:v>ground,air/ground,air/ground,air/ground,air</x:v>
      </x:c>
      <x:c r="AC260" s="48" t="str">
        <x:v>主动；无目标或脚本目标；主分类：强化；标签：伤害、强化；等级：4；魔耗：—/—/—/—；冷却：—/—/—/—；施法距离：—/—/—/—；作用范围：—/—/—/—；持续时间：2/2/2/2。</x:v>
      </x:c>
      <x:c r="AD260" s="48" t="str">
        <x:v>1 / 10% / 2 / 15% / 3 / 20% / 4 / 25% / 40 / 50 / 60 / 70</x:v>
      </x:c>
      <x:c r="AE260" s="48" t="str">
        <x:v>A</x:v>
      </x:c>
      <x:c r="AF260" s="48" t="str">
        <x:v>6.48b 地图内 UnitAbilities/AbilityData/AbilityStrings 与对象修改表</x:v>
      </x:c>
      <x:c r="AG260" s="18" t="str">
        <x:v>S1</x:v>
      </x:c>
    </x:row>
    <x:row r="261" ht="48" customHeight="1">
      <x:c r="A261" s="19" t="str">
        <x:v>EC45-4</x:v>
      </x:c>
      <x:c r="B261" s="19" t="str">
        <x:v>天灾军团</x:v>
      </x:c>
      <x:c r="C261" s="19" t="str">
        <x:v>傍晚酒馆</x:v>
      </x:c>
      <x:c r="D261" s="19" t="str">
        <x:v>虚空假面</x:v>
      </x:c>
      <x:c r="E261" s="19" t="str">
        <x:v>Faceless Void</x:v>
      </x:c>
      <x:c r="F261" s="19" t="str">
        <x:v>EC45</x:v>
      </x:c>
      <x:c r="G261" s="19" t="str">
        <x:v>Darkterror</x:v>
      </x:c>
      <x:c r="H261" s="19" t="str">
        <x:v>AGI</x:v>
      </x:c>
      <x:c r="I261" s="19" t="str">
        <x:v>近战</x:v>
      </x:c>
      <x:c r="J261" s="19" t="n">
        <x:v>4</x:v>
      </x:c>
      <x:c r="K261" s="19" t="str">
        <x:v>Chronosphere</x:v>
      </x:c>
      <x:c r="L261" s="19" t="str">
        <x:v>A0J1</x:v>
      </x:c>
      <x:c r="M261" s="49" t="str">
        <x:v>是</x:v>
      </x:c>
      <x:c r="N261" s="49" t="n">
        <x:v>3</x:v>
      </x:c>
      <x:c r="O261" s="49" t="n">
        <x:v>6</x:v>
      </x:c>
      <x:c r="P261" s="49" t="n">
        <x:v>5</x:v>
      </x:c>
      <x:c r="Q261" s="19" t="str">
        <x:v>主动</x:v>
      </x:c>
      <x:c r="R261" s="19" t="str">
        <x:v>无目标/范围</x:v>
      </x:c>
      <x:c r="S261" s="19" t="str">
        <x:v>强化</x:v>
      </x:c>
      <x:c r="T261" s="19" t="str">
        <x:v>强化、范围效果</x:v>
      </x:c>
      <x:c r="U261" s="48" t="str">
        <x:v>主动；无目标/范围；主分类：强化；标签：强化、范围效果</x:v>
      </x:c>
      <x:c r="V261" s="48" t="str">
        <x:v>150/175/200</x:v>
      </x:c>
      <x:c r="W261" s="48" t="str">
        <x:v>165/165/165</x:v>
      </x:c>
      <x:c r="X261" s="48" t="str">
        <x:v>500/550/600</x:v>
      </x:c>
      <x:c r="Y261" s="48" t="str">
        <x:v>425/425/425</x:v>
      </x:c>
      <x:c r="Z261" s="48" t="str">
        <x:v>—/—/—</x:v>
      </x:c>
      <x:c r="AA261" s="48" t="str">
        <x:v>—/—/—</x:v>
      </x:c>
      <x:c r="AB261" s="48" t="str">
        <x:v>enemies,friend,ground,neutral,structure/enemies,friend,ground,neutral,structure/enemies,friend,ground,neutral,structure</x:v>
      </x:c>
      <x:c r="AC261" s="48" t="str">
        <x:v>主动；无目标/范围；主分类：强化；标签：强化、范围效果；等级：3；魔耗：150/175/200；冷却：165/165/165；施法距离：500/550/600；作用范围：425/425/425；持续时间：—/—/—。</x:v>
      </x:c>
      <x:c r="AD261" s="48" t="str">
        <x:v>1 / 3 / 2 / 4 / 5 / 165 / 500 / 550 / 600</x:v>
      </x:c>
      <x:c r="AE261" s="48" t="str">
        <x:v>A</x:v>
      </x:c>
      <x:c r="AF261" s="48" t="str">
        <x:v>6.48b 地图内 UnitAbilities/AbilityData/AbilityStrings 与对象修改表</x:v>
      </x:c>
      <x:c r="AG261" s="18" t="str">
        <x:v>S1</x:v>
      </x:c>
    </x:row>
    <x:row r="262" ht="48" customHeight="1">
      <x:c r="A262" s="19" t="str">
        <x:v>U000-1</x:v>
      </x:c>
      <x:c r="B262" s="19" t="str">
        <x:v>天灾军团</x:v>
      </x:c>
      <x:c r="C262" s="19" t="str">
        <x:v>傍晚酒馆</x:v>
      </x:c>
      <x:c r="D262" s="19" t="str">
        <x:v>地穴刺客</x:v>
      </x:c>
      <x:c r="E262" s="19" t="str">
        <x:v>Nerubian Assassin</x:v>
      </x:c>
      <x:c r="F262" s="19" t="str">
        <x:v>U000</x:v>
      </x:c>
      <x:c r="G262" s="19" t="str">
        <x:v>Anub'arak</x:v>
      </x:c>
      <x:c r="H262" s="19" t="str">
        <x:v>AGI</x:v>
      </x:c>
      <x:c r="I262" s="19" t="str">
        <x:v>近战</x:v>
      </x:c>
      <x:c r="J262" s="19" t="n">
        <x:v>1</x:v>
      </x:c>
      <x:c r="K262" s="19" t="str">
        <x:v>Impale</x:v>
      </x:c>
      <x:c r="L262" s="19" t="str">
        <x:v>A09K</x:v>
      </x:c>
      <x:c r="M262" s="49" t="str">
        <x:v>否</x:v>
      </x:c>
      <x:c r="N262" s="49" t="n">
        <x:v>4</x:v>
      </x:c>
      <x:c r="O262" s="49" t="n">
        <x:v>1</x:v>
      </x:c>
      <x:c r="P262" s="49" t="n">
        <x:v>2</x:v>
      </x:c>
      <x:c r="Q262" s="19" t="str">
        <x:v>主动</x:v>
      </x:c>
      <x:c r="R262" s="19" t="str">
        <x:v>无目标或脚本目标</x:v>
      </x:c>
      <x:c r="S262" s="19" t="str">
        <x:v>硬控</x:v>
      </x:c>
      <x:c r="T262" s="19" t="str">
        <x:v>伤害、硬控</x:v>
      </x:c>
      <x:c r="U262" s="48" t="str">
        <x:v>主动；无目标或脚本目标；主分类：硬控；标签：伤害、硬控</x:v>
      </x:c>
      <x:c r="V262" s="48" t="str">
        <x:v>95/115/135/155</x:v>
      </x:c>
      <x:c r="W262" s="48" t="str">
        <x:v>11/11/11/11</x:v>
      </x:c>
      <x:c r="X262" s="48" t="str">
        <x:v>400/400/400/400</x:v>
      </x:c>
      <x:c r="Y262" s="48" t="str">
        <x:v>200/200/200/200</x:v>
      </x:c>
      <x:c r="Z262" s="48" t="str">
        <x:v>0.75/1.25/1.75/2.25</x:v>
      </x:c>
      <x:c r="AA262" s="48" t="str">
        <x:v>0.75/1.25/1.75/2.25</x:v>
      </x:c>
      <x:c r="AB262" s="48" t="str">
        <x:v>ground,enemy,neutral,organic/ground,enemy,neutral,organic/ground,enemy,neutral,organic/ground,enemy,neutral,organic</x:v>
      </x:c>
      <x:c r="AC262" s="48" t="str">
        <x:v>主动；无目标或脚本目标；主分类：硬控；标签：伤害、硬控；等级：4；魔耗：95/115/135/155；冷却：11/11/11/11；施法距离：400/400/400/400；作用范围：200/200/200/200；持续时间：0.75/1.25/1.75/2.25。</x:v>
      </x:c>
      <x:c r="AD262" s="48" t="str">
        <x:v>1 / 80 / 75 / 2 / 160 / 1.25 / 3 / 230 / 1.75 / 4 / 300 / 2.25 / 11</x:v>
      </x:c>
      <x:c r="AE262" s="48" t="str">
        <x:v>A</x:v>
      </x:c>
      <x:c r="AF262" s="48" t="str">
        <x:v>6.48b 地图内 UnitAbilities/AbilityData/AbilityStrings 与对象修改表</x:v>
      </x:c>
      <x:c r="AG262" s="18" t="str">
        <x:v>S1</x:v>
      </x:c>
    </x:row>
    <x:row r="263" ht="48" customHeight="1">
      <x:c r="A263" s="19" t="str">
        <x:v>U000-2</x:v>
      </x:c>
      <x:c r="B263" s="19" t="str">
        <x:v>天灾军团</x:v>
      </x:c>
      <x:c r="C263" s="19" t="str">
        <x:v>傍晚酒馆</x:v>
      </x:c>
      <x:c r="D263" s="19" t="str">
        <x:v>地穴刺客</x:v>
      </x:c>
      <x:c r="E263" s="19" t="str">
        <x:v>Nerubian Assassin</x:v>
      </x:c>
      <x:c r="F263" s="19" t="str">
        <x:v>U000</x:v>
      </x:c>
      <x:c r="G263" s="19" t="str">
        <x:v>Anub'arak</x:v>
      </x:c>
      <x:c r="H263" s="19" t="str">
        <x:v>AGI</x:v>
      </x:c>
      <x:c r="I263" s="19" t="str">
        <x:v>近战</x:v>
      </x:c>
      <x:c r="J263" s="19" t="n">
        <x:v>2</x:v>
      </x:c>
      <x:c r="K263" s="19" t="str">
        <x:v>Mana Burn</x:v>
      </x:c>
      <x:c r="L263" s="19" t="str">
        <x:v>A02K</x:v>
      </x:c>
      <x:c r="M263" s="49" t="str">
        <x:v>否</x:v>
      </x:c>
      <x:c r="N263" s="49" t="n">
        <x:v>4</x:v>
      </x:c>
      <x:c r="O263" s="49" t="n">
        <x:v>1</x:v>
      </x:c>
      <x:c r="P263" s="49" t="n">
        <x:v>2</x:v>
      </x:c>
      <x:c r="Q263" s="19" t="str">
        <x:v>主动</x:v>
      </x:c>
      <x:c r="R263" s="19" t="str">
        <x:v>单位目标</x:v>
      </x:c>
      <x:c r="S263" s="19" t="str">
        <x:v>资源机制</x:v>
      </x:c>
      <x:c r="T263" s="19" t="str">
        <x:v>伤害、资源机制</x:v>
      </x:c>
      <x:c r="U263" s="48" t="str">
        <x:v>主动；单位目标；主分类：资源机制；标签：伤害、资源机制</x:v>
      </x:c>
      <x:c r="V263" s="48" t="str">
        <x:v>65/85/100/115</x:v>
      </x:c>
      <x:c r="W263" s="48" t="str">
        <x:v>7/7/7/7</x:v>
      </x:c>
      <x:c r="X263" s="48" t="str">
        <x:v>500/575/650/725</x:v>
      </x:c>
      <x:c r="Y263" s="48" t="str">
        <x:v>—/—/—/—</x:v>
      </x:c>
      <x:c r="Z263" s="48" t="str">
        <x:v>—/—/—/—</x:v>
      </x:c>
      <x:c r="AA263" s="48" t="str">
        <x:v>—/—/—/—</x:v>
      </x:c>
      <x:c r="AB263" s="48" t="str">
        <x:v>air,ground,enemy,neutral/air,ground,enemy,neutral/air,ground,enemy,neutral/air,ground,enemy,neutral</x:v>
      </x:c>
      <x:c r="AC263" s="48" t="str">
        <x:v>主动；单位目标；主分类：资源机制；标签：伤害、资源机制；等级：4；魔耗：65/85/100/115；冷却：7/7/7/7；施法距离：500/575/650/725；作用范围：—/—/—/—；持续时间：—/—/—/—。</x:v>
      </x:c>
      <x:c r="AD263" s="48" t="str">
        <x:v>1 / 70 / 2 / 120 / 3 / 185 / 4 / 260 / 7</x:v>
      </x:c>
      <x:c r="AE263" s="48" t="str">
        <x:v>A</x:v>
      </x:c>
      <x:c r="AF263" s="48" t="str">
        <x:v>6.48b 地图内 UnitAbilities/AbilityData/AbilityStrings 与对象修改表</x:v>
      </x:c>
      <x:c r="AG263" s="18" t="str">
        <x:v>S1</x:v>
      </x:c>
    </x:row>
    <x:row r="264" ht="48" customHeight="1">
      <x:c r="A264" s="19" t="str">
        <x:v>U000-3</x:v>
      </x:c>
      <x:c r="B264" s="19" t="str">
        <x:v>天灾军团</x:v>
      </x:c>
      <x:c r="C264" s="19" t="str">
        <x:v>傍晚酒馆</x:v>
      </x:c>
      <x:c r="D264" s="19" t="str">
        <x:v>地穴刺客</x:v>
      </x:c>
      <x:c r="E264" s="19" t="str">
        <x:v>Nerubian Assassin</x:v>
      </x:c>
      <x:c r="F264" s="19" t="str">
        <x:v>U000</x:v>
      </x:c>
      <x:c r="G264" s="19" t="str">
        <x:v>Anub'arak</x:v>
      </x:c>
      <x:c r="H264" s="19" t="str">
        <x:v>AGI</x:v>
      </x:c>
      <x:c r="I264" s="19" t="str">
        <x:v>近战</x:v>
      </x:c>
      <x:c r="J264" s="19" t="n">
        <x:v>3</x:v>
      </x:c>
      <x:c r="K264" s="19" t="str">
        <x:v>Spiked Carapace</x:v>
      </x:c>
      <x:c r="L264" s="19" t="str">
        <x:v>A02L</x:v>
      </x:c>
      <x:c r="M264" s="49" t="str">
        <x:v>否</x:v>
      </x:c>
      <x:c r="N264" s="49" t="n">
        <x:v>4</x:v>
      </x:c>
      <x:c r="O264" s="49" t="n">
        <x:v>1</x:v>
      </x:c>
      <x:c r="P264" s="49" t="n">
        <x:v>2</x:v>
      </x:c>
      <x:c r="Q264" s="19" t="str">
        <x:v>被动/脚本触发</x:v>
      </x:c>
      <x:c r="R264" s="19" t="str">
        <x:v>被动</x:v>
      </x:c>
      <x:c r="S264" s="19" t="str">
        <x:v>防御/生存</x:v>
      </x:c>
      <x:c r="T264" s="19" t="str">
        <x:v>伤害、防御/生存、强化、被动触发</x:v>
      </x:c>
      <x:c r="U264" s="48" t="str">
        <x:v>被动/脚本触发；被动；主分类：防御/生存；标签：伤害、防御/生存、强化、被动触发</x:v>
      </x:c>
      <x:c r="V264" s="48" t="str">
        <x:v>—/—/—/—</x:v>
      </x:c>
      <x:c r="W264" s="48" t="str">
        <x:v>—/—/—/—</x:v>
      </x:c>
      <x:c r="X264" s="48" t="str">
        <x:v>—/—/—/—</x:v>
      </x:c>
      <x:c r="Y264" s="48" t="str">
        <x:v>—/—/—/—</x:v>
      </x:c>
      <x:c r="Z264" s="48" t="str">
        <x:v>—/—/—/—</x:v>
      </x:c>
      <x:c r="AA264" s="48" t="str">
        <x:v>—/—/—/—</x:v>
      </x:c>
      <x:c r="AB264" s="48" t="str">
        <x:v>—/—/—/—</x:v>
      </x:c>
      <x:c r="AC264" s="48" t="str">
        <x:v>被动/脚本触发；被动；主分类：防御/生存；标签：伤害、防御/生存、强化、被动触发；等级：4；魔耗：—/—/—/—；冷却：—/—/—/—；施法距离：—/—/—/—；作用范围：—/—/—/—；持续时间：—/—/—/—。</x:v>
      </x:c>
      <x:c r="AD264" s="48" t="str">
        <x:v>1 / 10% / 2 / 20% / 4 / 3 / 30% / 6 / 40% / 8</x:v>
      </x:c>
      <x:c r="AE264" s="48" t="str">
        <x:v>A</x:v>
      </x:c>
      <x:c r="AF264" s="48" t="str">
        <x:v>6.48b 地图内 UnitAbilities/AbilityData/AbilityStrings 与对象修改表</x:v>
      </x:c>
      <x:c r="AG264" s="18" t="str">
        <x:v>S1</x:v>
      </x:c>
    </x:row>
    <x:row r="265" ht="48" customHeight="1">
      <x:c r="A265" s="19" t="str">
        <x:v>U000-4</x:v>
      </x:c>
      <x:c r="B265" s="19" t="str">
        <x:v>天灾军团</x:v>
      </x:c>
      <x:c r="C265" s="19" t="str">
        <x:v>傍晚酒馆</x:v>
      </x:c>
      <x:c r="D265" s="19" t="str">
        <x:v>地穴刺客</x:v>
      </x:c>
      <x:c r="E265" s="19" t="str">
        <x:v>Nerubian Assassin</x:v>
      </x:c>
      <x:c r="F265" s="19" t="str">
        <x:v>U000</x:v>
      </x:c>
      <x:c r="G265" s="19" t="str">
        <x:v>Anub'arak</x:v>
      </x:c>
      <x:c r="H265" s="19" t="str">
        <x:v>AGI</x:v>
      </x:c>
      <x:c r="I265" s="19" t="str">
        <x:v>近战</x:v>
      </x:c>
      <x:c r="J265" s="19" t="n">
        <x:v>4</x:v>
      </x:c>
      <x:c r="K265" s="19" t="str">
        <x:v>Vendetta</x:v>
      </x:c>
      <x:c r="L265" s="19" t="str">
        <x:v>A09U</x:v>
      </x:c>
      <x:c r="M265" s="49" t="str">
        <x:v>是</x:v>
      </x:c>
      <x:c r="N265" s="49" t="n">
        <x:v>3</x:v>
      </x:c>
      <x:c r="O265" s="49" t="n">
        <x:v>6</x:v>
      </x:c>
      <x:c r="P265" s="49" t="n">
        <x:v>5</x:v>
      </x:c>
      <x:c r="Q265" s="19" t="str">
        <x:v>主动</x:v>
      </x:c>
      <x:c r="R265" s="19" t="str">
        <x:v>无目标或脚本目标</x:v>
      </x:c>
      <x:c r="S265" s="19" t="str">
        <x:v>软控</x:v>
      </x:c>
      <x:c r="T265" s="19" t="str">
        <x:v>伤害、软控、强化、隐身</x:v>
      </x:c>
      <x:c r="U265" s="48" t="str">
        <x:v>主动；无目标或脚本目标；主分类：软控；标签：伤害、软控、强化、隐身</x:v>
      </x:c>
      <x:c r="V265" s="48" t="str">
        <x:v>160/210/260</x:v>
      </x:c>
      <x:c r="W265" s="48" t="str">
        <x:v>90/75/60</x:v>
      </x:c>
      <x:c r="X265" s="48" t="str">
        <x:v>—/—/—</x:v>
      </x:c>
      <x:c r="Y265" s="48" t="str">
        <x:v>—/—/—</x:v>
      </x:c>
      <x:c r="Z265" s="48" t="str">
        <x:v>20/35/50</x:v>
      </x:c>
      <x:c r="AA265" s="48" t="str">
        <x:v>20/35/50</x:v>
      </x:c>
      <x:c r="AB265" s="48" t="str">
        <x:v>air,ground,enemy,neutral/air,ground,enemy,neutral/air,ground,enemy,neutral</x:v>
      </x:c>
      <x:c r="AC265" s="48" t="str">
        <x:v>主动；无目标或脚本目标；主分类：软控；标签：伤害、软控、强化、隐身；等级：3；魔耗：160/210/260；冷却：90/75/60；施法距离：—/—/—；作用范围：—/—/—；持续时间：20/35/50。</x:v>
      </x:c>
      <x:c r="AD265" s="48" t="str">
        <x:v>1 / 225 / 10% / 2 / 375 / 15% / 3 / 525 / 20% / 90 / 75 / 60 / 20 / 35 / 50</x:v>
      </x:c>
      <x:c r="AE265" s="48" t="str">
        <x:v>A</x:v>
      </x:c>
      <x:c r="AF265" s="48" t="str">
        <x:v>6.48b 地图内 UnitAbilities/AbilityData/AbilityStrings 与对象修改表</x:v>
      </x:c>
      <x:c r="AG265" s="18" t="str">
        <x:v>S1</x:v>
      </x:c>
    </x:row>
    <x:row r="266" ht="48" customHeight="1">
      <x:c r="A266" s="19" t="str">
        <x:v>E004-1</x:v>
      </x:c>
      <x:c r="B266" s="19" t="str">
        <x:v>天灾军团</x:v>
      </x:c>
      <x:c r="C266" s="19" t="str">
        <x:v>傍晚酒馆</x:v>
      </x:c>
      <x:c r="D266" s="19" t="str">
        <x:v>骷髅射手</x:v>
      </x:c>
      <x:c r="E266" s="19" t="str">
        <x:v>Bone Fletcher</x:v>
      </x:c>
      <x:c r="F266" s="19" t="str">
        <x:v>E004</x:v>
      </x:c>
      <x:c r="G266" s="19" t="str">
        <x:v>Clinkz</x:v>
      </x:c>
      <x:c r="H266" s="19" t="str">
        <x:v>AGI</x:v>
      </x:c>
      <x:c r="I266" s="19" t="str">
        <x:v>远程</x:v>
      </x:c>
      <x:c r="J266" s="19" t="n">
        <x:v>1</x:v>
      </x:c>
      <x:c r="K266" s="19" t="str">
        <x:v>Searing Arrows</x:v>
      </x:c>
      <x:c r="L266" s="19" t="str">
        <x:v>AHfa</x:v>
      </x:c>
      <x:c r="M266" s="49" t="str">
        <x:v>否</x:v>
      </x:c>
      <x:c r="N266" s="49" t="n">
        <x:v>4</x:v>
      </x:c>
      <x:c r="O266" s="49" t="n">
        <x:v>1</x:v>
      </x:c>
      <x:c r="P266" s="49" t="n">
        <x:v>2</x:v>
      </x:c>
      <x:c r="Q266" s="19" t="str">
        <x:v>主动</x:v>
      </x:c>
      <x:c r="R266" s="19" t="str">
        <x:v>无目标或脚本目标</x:v>
      </x:c>
      <x:c r="S266" s="19" t="str">
        <x:v>强化</x:v>
      </x:c>
      <x:c r="T266" s="19" t="str">
        <x:v>伤害、强化、削弱、隐身、资源机制</x:v>
      </x:c>
      <x:c r="U266" s="48" t="str">
        <x:v>主动；无目标或脚本目标；主分类：强化；标签：伤害、强化、削弱、隐身、资源机制</x:v>
      </x:c>
      <x:c r="V266" s="48" t="str">
        <x:v>8/8/8/8</x:v>
      </x:c>
      <x:c r="W266" s="48" t="str">
        <x:v>4/3/—/—</x:v>
      </x:c>
      <x:c r="X266" s="48" t="str">
        <x:v>600/600/600/600</x:v>
      </x:c>
      <x:c r="Y266" s="48" t="str">
        <x:v>—/—/—/—</x:v>
      </x:c>
      <x:c r="Z266" s="48" t="str">
        <x:v>—/—/—/—</x:v>
      </x:c>
      <x:c r="AA266" s="48" t="str">
        <x:v>—/—/—/—</x:v>
      </x:c>
      <x:c r="AB266" s="48" t="str">
        <x:v>air,ground,structure,enemy,neutral/air,ground,structure,enemy,neutral/air,ground,structure,enemy,neutral/air,ground,structure,enemy,neutral</x:v>
      </x:c>
      <x:c r="AC266" s="48" t="str">
        <x:v>主动；无目标或脚本目标；主分类：强化；标签：伤害、强化、削弱、隐身、资源机制；等级：4；魔耗：8/8/8/8；冷却：4/3/—/—；施法距离：600/600/600/600；作用范围：—/—/—/—；持续时间：—/—/—/—。</x:v>
      </x:c>
      <x:c r="AD266" s="48" t="str">
        <x:v>1 / 10 / 2 / 20 / 3 / 30 / 4 / 40 / 0</x:v>
      </x:c>
      <x:c r="AE266" s="48" t="str">
        <x:v>A</x:v>
      </x:c>
      <x:c r="AF266" s="48" t="str">
        <x:v>6.48b 地图内 UnitAbilities/AbilityData/AbilityStrings 与对象修改表</x:v>
      </x:c>
      <x:c r="AG266" s="18" t="str">
        <x:v>S1</x:v>
      </x:c>
    </x:row>
    <x:row r="267" ht="48" customHeight="1">
      <x:c r="A267" s="19" t="str">
        <x:v>E004-2</x:v>
      </x:c>
      <x:c r="B267" s="19" t="str">
        <x:v>天灾军团</x:v>
      </x:c>
      <x:c r="C267" s="19" t="str">
        <x:v>傍晚酒馆</x:v>
      </x:c>
      <x:c r="D267" s="19" t="str">
        <x:v>骷髅射手</x:v>
      </x:c>
      <x:c r="E267" s="19" t="str">
        <x:v>Bone Fletcher</x:v>
      </x:c>
      <x:c r="F267" s="19" t="str">
        <x:v>E004</x:v>
      </x:c>
      <x:c r="G267" s="19" t="str">
        <x:v>Clinkz</x:v>
      </x:c>
      <x:c r="H267" s="19" t="str">
        <x:v>AGI</x:v>
      </x:c>
      <x:c r="I267" s="19" t="str">
        <x:v>远程</x:v>
      </x:c>
      <x:c r="J267" s="19" t="n">
        <x:v>2</x:v>
      </x:c>
      <x:c r="K267" s="19" t="str">
        <x:v>Wind Walk</x:v>
      </x:c>
      <x:c r="L267" s="19" t="str">
        <x:v>A025</x:v>
      </x:c>
      <x:c r="M267" s="49" t="str">
        <x:v>否</x:v>
      </x:c>
      <x:c r="N267" s="49" t="n">
        <x:v>4</x:v>
      </x:c>
      <x:c r="O267" s="49" t="n">
        <x:v>1</x:v>
      </x:c>
      <x:c r="P267" s="49" t="n">
        <x:v>2</x:v>
      </x:c>
      <x:c r="Q267" s="19" t="str">
        <x:v>主动</x:v>
      </x:c>
      <x:c r="R267" s="19" t="str">
        <x:v>无目标或脚本目标</x:v>
      </x:c>
      <x:c r="S267" s="19" t="str">
        <x:v>软控</x:v>
      </x:c>
      <x:c r="T267" s="19" t="str">
        <x:v>软控、强化、隐身</x:v>
      </x:c>
      <x:c r="U267" s="48" t="str">
        <x:v>主动；无目标或脚本目标；主分类：软控；标签：软控、强化、隐身</x:v>
      </x:c>
      <x:c r="V267" s="48" t="str">
        <x:v>75/75/75/75</x:v>
      </x:c>
      <x:c r="W267" s="48" t="str">
        <x:v>20/20/20/20</x:v>
      </x:c>
      <x:c r="X267" s="48" t="str">
        <x:v>—/—/—/—</x:v>
      </x:c>
      <x:c r="Y267" s="48" t="str">
        <x:v>—/—/—/—</x:v>
      </x:c>
      <x:c r="Z267" s="48" t="str">
        <x:v>20/25/30/35</x:v>
      </x:c>
      <x:c r="AA267" s="48" t="str">
        <x:v>20/25/30/35</x:v>
      </x:c>
      <x:c r="AB267" s="48" t="str">
        <x:v>air,ground,enemy,neutral/air,ground,enemy,neutral/air,ground,enemy,neutral/air,ground,enemy,neutral</x:v>
      </x:c>
      <x:c r="AC267" s="48" t="str">
        <x:v>主动；无目标或脚本目标；主分类：软控；标签：软控、强化、隐身；等级：4；魔耗：75/75/75/75；冷却：20/20/20/20；施法距离：—/—/—/—；作用范围：—/—/—/—；持续时间：20/25/30/35。</x:v>
      </x:c>
      <x:c r="AD267" s="48" t="str">
        <x:v>1 / 7% / 20 / 2 / 14% / 25 / 3 / 21% / 30 / 4 / 28% / 35</x:v>
      </x:c>
      <x:c r="AE267" s="48" t="str">
        <x:v>A</x:v>
      </x:c>
      <x:c r="AF267" s="48" t="str">
        <x:v>6.48b 地图内 UnitAbilities/AbilityData/AbilityStrings 与对象修改表</x:v>
      </x:c>
      <x:c r="AG267" s="18" t="str">
        <x:v>S1</x:v>
      </x:c>
    </x:row>
    <x:row r="268" ht="48" customHeight="1">
      <x:c r="A268" s="19" t="str">
        <x:v>E004-3</x:v>
      </x:c>
      <x:c r="B268" s="19" t="str">
        <x:v>天灾军团</x:v>
      </x:c>
      <x:c r="C268" s="19" t="str">
        <x:v>傍晚酒馆</x:v>
      </x:c>
      <x:c r="D268" s="19" t="str">
        <x:v>骷髅射手</x:v>
      </x:c>
      <x:c r="E268" s="19" t="str">
        <x:v>Bone Fletcher</x:v>
      </x:c>
      <x:c r="F268" s="19" t="str">
        <x:v>E004</x:v>
      </x:c>
      <x:c r="G268" s="19" t="str">
        <x:v>Clinkz</x:v>
      </x:c>
      <x:c r="H268" s="19" t="str">
        <x:v>AGI</x:v>
      </x:c>
      <x:c r="I268" s="19" t="str">
        <x:v>远程</x:v>
      </x:c>
      <x:c r="J268" s="19" t="n">
        <x:v>3</x:v>
      </x:c>
      <x:c r="K268" s="19" t="str">
        <x:v>Death Pact</x:v>
      </x:c>
      <x:c r="L268" s="19" t="str">
        <x:v>A04Q</x:v>
      </x:c>
      <x:c r="M268" s="49" t="str">
        <x:v>是</x:v>
      </x:c>
      <x:c r="N268" s="49" t="n">
        <x:v>3</x:v>
      </x:c>
      <x:c r="O268" s="49" t="n">
        <x:v>6</x:v>
      </x:c>
      <x:c r="P268" s="49" t="n">
        <x:v>5</x:v>
      </x:c>
      <x:c r="Q268" s="19" t="str">
        <x:v>开关/自动施放</x:v>
      </x:c>
      <x:c r="R268" s="19" t="str">
        <x:v>单位目标</x:v>
      </x:c>
      <x:c r="S268" s="19" t="str">
        <x:v>功能/特殊</x:v>
      </x:c>
      <x:c r="T268" s="19" t="str"/>
      <x:c r="U268" s="48" t="str">
        <x:v>开关/自动施放；单位目标；主分类：功能/特殊</x:v>
      </x:c>
      <x:c r="V268" s="48" t="str">
        <x:v>120/200/280</x:v>
      </x:c>
      <x:c r="W268" s="48" t="str">
        <x:v>20/20/20</x:v>
      </x:c>
      <x:c r="X268" s="48" t="str">
        <x:v>400/400/400</x:v>
      </x:c>
      <x:c r="Y268" s="48" t="str">
        <x:v>—/—/—</x:v>
      </x:c>
      <x:c r="Z268" s="48" t="str">
        <x:v>0.01/0.01/0.01</x:v>
      </x:c>
      <x:c r="AA268" s="48" t="str">
        <x:v>0.01/0.01/0.01</x:v>
      </x:c>
      <x:c r="AB268" s="48" t="str">
        <x:v>air,friend,ground,nonancient,nonhero,organic/air,friend,ground,nonancient,nonhero,organic/air,friend,ground,nonancient,nonhero,organic</x:v>
      </x:c>
      <x:c r="AC268" s="48" t="str">
        <x:v>开关/自动施放；单位目标；主分类：功能/特殊；等级：3；魔耗：120/200/280；冷却：20/20/20；施法距离：400/400/400；作用范围：—/—/—；持续时间：0.01/0.01/0.01。</x:v>
      </x:c>
      <x:c r="AD268" s="48" t="str">
        <x:v>1 / 55% / 2 / 95% / 3 / 135% / 20</x:v>
      </x:c>
      <x:c r="AE268" s="48" t="str">
        <x:v>A</x:v>
      </x:c>
      <x:c r="AF268" s="48" t="str">
        <x:v>6.48b 地图内 UnitAbilities/AbilityData/AbilityStrings 与对象修改表</x:v>
      </x:c>
      <x:c r="AG268" s="18" t="str">
        <x:v>S1</x:v>
      </x:c>
    </x:row>
    <x:row r="269" ht="48" customHeight="1">
      <x:c r="A269" s="19" t="str">
        <x:v>E004-4</x:v>
      </x:c>
      <x:c r="B269" s="19" t="str">
        <x:v>天灾军团</x:v>
      </x:c>
      <x:c r="C269" s="19" t="str">
        <x:v>傍晚酒馆</x:v>
      </x:c>
      <x:c r="D269" s="19" t="str">
        <x:v>骷髅射手</x:v>
      </x:c>
      <x:c r="E269" s="19" t="str">
        <x:v>Bone Fletcher</x:v>
      </x:c>
      <x:c r="F269" s="19" t="str">
        <x:v>E004</x:v>
      </x:c>
      <x:c r="G269" s="19" t="str">
        <x:v>Clinkz</x:v>
      </x:c>
      <x:c r="H269" s="19" t="str">
        <x:v>AGI</x:v>
      </x:c>
      <x:c r="I269" s="19" t="str">
        <x:v>远程</x:v>
      </x:c>
      <x:c r="J269" s="19" t="n">
        <x:v>4</x:v>
      </x:c>
      <x:c r="K269" s="19" t="str">
        <x:v>Strafe</x:v>
      </x:c>
      <x:c r="L269" s="19" t="str">
        <x:v>A030</x:v>
      </x:c>
      <x:c r="M269" s="49" t="str">
        <x:v>否</x:v>
      </x:c>
      <x:c r="N269" s="49" t="n">
        <x:v>4</x:v>
      </x:c>
      <x:c r="O269" s="49" t="n">
        <x:v>1</x:v>
      </x:c>
      <x:c r="P269" s="49" t="n">
        <x:v>2</x:v>
      </x:c>
      <x:c r="Q269" s="19" t="str">
        <x:v>主动</x:v>
      </x:c>
      <x:c r="R269" s="19" t="str">
        <x:v>无目标或脚本目标</x:v>
      </x:c>
      <x:c r="S269" s="19" t="str">
        <x:v>软控</x:v>
      </x:c>
      <x:c r="T269" s="19" t="str">
        <x:v>软控、强化</x:v>
      </x:c>
      <x:c r="U269" s="48" t="str">
        <x:v>主动；无目标或脚本目标；主分类：软控；标签：软控、强化</x:v>
      </x:c>
      <x:c r="V269" s="48" t="str">
        <x:v>90/90/90/90</x:v>
      </x:c>
      <x:c r="W269" s="48" t="str">
        <x:v>30/30/30/30</x:v>
      </x:c>
      <x:c r="X269" s="48" t="str">
        <x:v>—/—/—/—</x:v>
      </x:c>
      <x:c r="Y269" s="48" t="str">
        <x:v>—/—/—/—</x:v>
      </x:c>
      <x:c r="Z269" s="48" t="str">
        <x:v>10/10/10/10</x:v>
      </x:c>
      <x:c r="AA269" s="48" t="str">
        <x:v>10/10/10/10</x:v>
      </x:c>
      <x:c r="AB269" s="48" t="str">
        <x:v>—/—/—/—</x:v>
      </x:c>
      <x:c r="AC269" s="48" t="str">
        <x:v>主动；无目标或脚本目标；主分类：软控；标签：软控、强化；等级：4；魔耗：90/90/90/90；冷却：30/30/30/30；施法距离：—/—/—/—；作用范围：—/—/—/—；持续时间：10/10/10/10。</x:v>
      </x:c>
      <x:c r="AD269" s="48" t="str">
        <x:v>10 / 1 / 20% / 2 / 40% / 3 / 60% / 4 / 80% / 30</x:v>
      </x:c>
      <x:c r="AE269" s="48" t="str">
        <x:v>A</x:v>
      </x:c>
      <x:c r="AF269" s="48" t="str">
        <x:v>6.48b 地图内 UnitAbilities/AbilityData/AbilityStrings 与对象修改表</x:v>
      </x:c>
      <x:c r="AG269" s="18" t="str">
        <x:v>S1</x:v>
      </x:c>
    </x:row>
    <x:row r="270" ht="48" customHeight="1">
      <x:c r="A270" s="19" t="str">
        <x:v>Udre-1</x:v>
      </x:c>
      <x:c r="B270" s="19" t="str">
        <x:v>天灾军团</x:v>
      </x:c>
      <x:c r="C270" s="19" t="str">
        <x:v>傍晚酒馆</x:v>
      </x:c>
      <x:c r="D270" s="19" t="str">
        <x:v>暗夜魔王</x:v>
      </x:c>
      <x:c r="E270" s="19" t="str">
        <x:v>Night Stalker</x:v>
      </x:c>
      <x:c r="F270" s="19" t="str">
        <x:v>Udre</x:v>
      </x:c>
      <x:c r="G270" s="19" t="str">
        <x:v>Balanar</x:v>
      </x:c>
      <x:c r="H270" s="19" t="str">
        <x:v>STR</x:v>
      </x:c>
      <x:c r="I270" s="19" t="str">
        <x:v>近战</x:v>
      </x:c>
      <x:c r="J270" s="19" t="n">
        <x:v>1</x:v>
      </x:c>
      <x:c r="K270" s="19" t="str">
        <x:v>Void</x:v>
      </x:c>
      <x:c r="L270" s="19" t="str">
        <x:v>A02H</x:v>
      </x:c>
      <x:c r="M270" s="49" t="str">
        <x:v>否</x:v>
      </x:c>
      <x:c r="N270" s="49" t="n">
        <x:v>4</x:v>
      </x:c>
      <x:c r="O270" s="49" t="n">
        <x:v>1</x:v>
      </x:c>
      <x:c r="P270" s="49" t="n">
        <x:v>2</x:v>
      </x:c>
      <x:c r="Q270" s="19" t="str">
        <x:v>主动</x:v>
      </x:c>
      <x:c r="R270" s="19" t="str">
        <x:v>无目标或脚本目标</x:v>
      </x:c>
      <x:c r="S270" s="19" t="str">
        <x:v>软控</x:v>
      </x:c>
      <x:c r="T270" s="19" t="str">
        <x:v>伤害、软控</x:v>
      </x:c>
      <x:c r="U270" s="48" t="str">
        <x:v>主动；无目标或脚本目标；主分类：软控；标签：伤害、软控</x:v>
      </x:c>
      <x:c r="V270" s="48" t="str">
        <x:v>90/112/130/145</x:v>
      </x:c>
      <x:c r="W270" s="48" t="str">
        <x:v>8/8/8/8</x:v>
      </x:c>
      <x:c r="X270" s="48" t="str">
        <x:v>525/525/525/525</x:v>
      </x:c>
      <x:c r="Y270" s="48" t="str">
        <x:v>—/—/—/—</x:v>
      </x:c>
      <x:c r="Z270" s="48" t="str">
        <x:v>0.01/0.01/0.01/0.01</x:v>
      </x:c>
      <x:c r="AA270" s="48" t="str">
        <x:v>0.01/0.01/0.01/0.01</x:v>
      </x:c>
      <x:c r="AB270" s="48" t="str">
        <x:v>air,ground,debris,enemy,neutral,organic/air,ground,debris,enemy,neutral,organic/air,ground,debris,enemy,neutral,organic/air,ground,debris,enemy,neutral,organic</x:v>
      </x:c>
      <x:c r="AC270" s="48" t="str">
        <x:v>主动；无目标或脚本目标；主分类：软控；标签：伤害、软控；等级：4；魔耗：90/112/130/145；冷却：8/8/8/8；施法距离：525/525/525/525；作用范围：—/—/—/—；持续时间：0.01/0.01/0.01/0.01。</x:v>
      </x:c>
      <x:c r="AD270" s="48" t="str">
        <x:v>4 / 1 / 90 / 2 / 160 / 3 / 255 / 335 / 8</x:v>
      </x:c>
      <x:c r="AE270" s="48" t="str">
        <x:v>A</x:v>
      </x:c>
      <x:c r="AF270" s="48" t="str">
        <x:v>6.48b 地图内 UnitAbilities/AbilityData/AbilityStrings 与对象修改表</x:v>
      </x:c>
      <x:c r="AG270" s="18" t="str">
        <x:v>S1</x:v>
      </x:c>
    </x:row>
    <x:row r="271" ht="48" customHeight="1">
      <x:c r="A271" s="19" t="str">
        <x:v>Udre-2</x:v>
      </x:c>
      <x:c r="B271" s="19" t="str">
        <x:v>天灾军团</x:v>
      </x:c>
      <x:c r="C271" s="19" t="str">
        <x:v>傍晚酒馆</x:v>
      </x:c>
      <x:c r="D271" s="19" t="str">
        <x:v>暗夜魔王</x:v>
      </x:c>
      <x:c r="E271" s="19" t="str">
        <x:v>Night Stalker</x:v>
      </x:c>
      <x:c r="F271" s="19" t="str">
        <x:v>Udre</x:v>
      </x:c>
      <x:c r="G271" s="19" t="str">
        <x:v>Balanar</x:v>
      </x:c>
      <x:c r="H271" s="19" t="str">
        <x:v>STR</x:v>
      </x:c>
      <x:c r="I271" s="19" t="str">
        <x:v>近战</x:v>
      </x:c>
      <x:c r="J271" s="19" t="n">
        <x:v>2</x:v>
      </x:c>
      <x:c r="K271" s="19" t="str">
        <x:v>Crippling Fear</x:v>
      </x:c>
      <x:c r="L271" s="19" t="str">
        <x:v>A08E</x:v>
      </x:c>
      <x:c r="M271" s="49" t="str">
        <x:v>否</x:v>
      </x:c>
      <x:c r="N271" s="49" t="n">
        <x:v>4</x:v>
      </x:c>
      <x:c r="O271" s="49" t="n">
        <x:v>1</x:v>
      </x:c>
      <x:c r="P271" s="49" t="n">
        <x:v>2</x:v>
      </x:c>
      <x:c r="Q271" s="19" t="str">
        <x:v>主动</x:v>
      </x:c>
      <x:c r="R271" s="19" t="str">
        <x:v>无目标或脚本目标</x:v>
      </x:c>
      <x:c r="S271" s="19" t="str">
        <x:v>召唤</x:v>
      </x:c>
      <x:c r="T271" s="19" t="str">
        <x:v>召唤、持续施法</x:v>
      </x:c>
      <x:c r="U271" s="48" t="str">
        <x:v>主动；无目标或脚本目标；主分类：召唤；标签：召唤、持续施法</x:v>
      </x:c>
      <x:c r="V271" s="48" t="str">
        <x:v>—/—/—/—</x:v>
      </x:c>
      <x:c r="W271" s="48" t="str">
        <x:v>—/—/—/—</x:v>
      </x:c>
      <x:c r="X271" s="48" t="str">
        <x:v>500/500/500/500</x:v>
      </x:c>
      <x:c r="Y271" s="48" t="str">
        <x:v>—/—/—/—</x:v>
      </x:c>
      <x:c r="Z271" s="48" t="str">
        <x:v>—/—/—/—</x:v>
      </x:c>
      <x:c r="AA271" s="48" t="str">
        <x:v>—/—/—/—</x:v>
      </x:c>
      <x:c r="AB271" s="48" t="str">
        <x:v>—/—/—/—</x:v>
      </x:c>
      <x:c r="AC271" s="48" t="str">
        <x:v>主动；无目标或脚本目标；主分类：召唤；标签：召唤、持续施法；等级：4；魔耗：—/—/—/—；冷却：—/—/—/—；施法距离：500/500/500/500；作用范围：—/—/—/—；持续时间：—/—/—/—。</x:v>
      </x:c>
      <x:c r="AD271" s="48" t="str">
        <x:v>1 / 10% / 5 / 2 / 20% / 6 / 3 / 30% / 7 / 4 / 40% / 8 / 12</x:v>
      </x:c>
      <x:c r="AE271" s="48" t="str">
        <x:v>A</x:v>
      </x:c>
      <x:c r="AF271" s="48" t="str">
        <x:v>6.48b 地图内 UnitAbilities/AbilityData/AbilityStrings 与对象修改表</x:v>
      </x:c>
      <x:c r="AG271" s="18" t="str">
        <x:v>S1</x:v>
      </x:c>
    </x:row>
    <x:row r="272" ht="48" customHeight="1">
      <x:c r="A272" s="19" t="str">
        <x:v>Udre-3</x:v>
      </x:c>
      <x:c r="B272" s="19" t="str">
        <x:v>天灾军团</x:v>
      </x:c>
      <x:c r="C272" s="19" t="str">
        <x:v>傍晚酒馆</x:v>
      </x:c>
      <x:c r="D272" s="19" t="str">
        <x:v>暗夜魔王</x:v>
      </x:c>
      <x:c r="E272" s="19" t="str">
        <x:v>Night Stalker</x:v>
      </x:c>
      <x:c r="F272" s="19" t="str">
        <x:v>Udre</x:v>
      </x:c>
      <x:c r="G272" s="19" t="str">
        <x:v>Balanar</x:v>
      </x:c>
      <x:c r="H272" s="19" t="str">
        <x:v>STR</x:v>
      </x:c>
      <x:c r="I272" s="19" t="str">
        <x:v>近战</x:v>
      </x:c>
      <x:c r="J272" s="19" t="n">
        <x:v>3</x:v>
      </x:c>
      <x:c r="K272" s="19" t="str">
        <x:v>Hunter in the Night</x:v>
      </x:c>
      <x:c r="L272" s="19" t="str">
        <x:v>A086</x:v>
      </x:c>
      <x:c r="M272" s="49" t="str">
        <x:v>否</x:v>
      </x:c>
      <x:c r="N272" s="49" t="n">
        <x:v>4</x:v>
      </x:c>
      <x:c r="O272" s="49" t="n">
        <x:v>1</x:v>
      </x:c>
      <x:c r="P272" s="49" t="n">
        <x:v>2</x:v>
      </x:c>
      <x:c r="Q272" s="19" t="str">
        <x:v>主动</x:v>
      </x:c>
      <x:c r="R272" s="19" t="str">
        <x:v>无目标或脚本目标</x:v>
      </x:c>
      <x:c r="S272" s="19" t="str">
        <x:v>召唤</x:v>
      </x:c>
      <x:c r="T272" s="19" t="str">
        <x:v>软控、召唤、强化、持续施法</x:v>
      </x:c>
      <x:c r="U272" s="48" t="str">
        <x:v>主动；无目标或脚本目标；主分类：召唤；标签：软控、召唤、强化、持续施法</x:v>
      </x:c>
      <x:c r="V272" s="48" t="str">
        <x:v>—/—/—/—</x:v>
      </x:c>
      <x:c r="W272" s="48" t="str">
        <x:v>—/—/—/—</x:v>
      </x:c>
      <x:c r="X272" s="48" t="str">
        <x:v>500/500/500/500</x:v>
      </x:c>
      <x:c r="Y272" s="48" t="str">
        <x:v>—/—/—/—</x:v>
      </x:c>
      <x:c r="Z272" s="48" t="str">
        <x:v>—/—/—/—</x:v>
      </x:c>
      <x:c r="AA272" s="48" t="str">
        <x:v>—/—/—/—</x:v>
      </x:c>
      <x:c r="AB272" s="48" t="str">
        <x:v>—/—/—/—</x:v>
      </x:c>
      <x:c r="AC272" s="48" t="str">
        <x:v>主动；无目标或脚本目标；主分类：召唤；标签：软控、召唤、强化、持续施法；等级：4；魔耗：—/—/—/—；冷却：—/—/—/—；施法距离：500/500/500/500；作用范围：—/—/—/—；持续时间：—/—/—/—。</x:v>
      </x:c>
      <x:c r="AD272" s="48" t="str">
        <x:v>1 / 15% / 20% / 2 / 35% / 3 / 30% / 55% / 4 / 75%</x:v>
      </x:c>
      <x:c r="AE272" s="48" t="str">
        <x:v>A</x:v>
      </x:c>
      <x:c r="AF272" s="48" t="str">
        <x:v>6.48b 地图内 UnitAbilities/AbilityData/AbilityStrings 与对象修改表</x:v>
      </x:c>
      <x:c r="AG272" s="18" t="str">
        <x:v>S1</x:v>
      </x:c>
    </x:row>
    <x:row r="273" ht="48" customHeight="1">
      <x:c r="A273" s="19" t="str">
        <x:v>Udre-4</x:v>
      </x:c>
      <x:c r="B273" s="19" t="str">
        <x:v>天灾军团</x:v>
      </x:c>
      <x:c r="C273" s="19" t="str">
        <x:v>傍晚酒馆</x:v>
      </x:c>
      <x:c r="D273" s="19" t="str">
        <x:v>暗夜魔王</x:v>
      </x:c>
      <x:c r="E273" s="19" t="str">
        <x:v>Night Stalker</x:v>
      </x:c>
      <x:c r="F273" s="19" t="str">
        <x:v>Udre</x:v>
      </x:c>
      <x:c r="G273" s="19" t="str">
        <x:v>Balanar</x:v>
      </x:c>
      <x:c r="H273" s="19" t="str">
        <x:v>STR</x:v>
      </x:c>
      <x:c r="I273" s="19" t="str">
        <x:v>近战</x:v>
      </x:c>
      <x:c r="J273" s="19" t="n">
        <x:v>4</x:v>
      </x:c>
      <x:c r="K273" s="19" t="str">
        <x:v>Darkness</x:v>
      </x:c>
      <x:c r="L273" s="19" t="str">
        <x:v>A03K</x:v>
      </x:c>
      <x:c r="M273" s="49" t="str">
        <x:v>是</x:v>
      </x:c>
      <x:c r="N273" s="49" t="n">
        <x:v>3</x:v>
      </x:c>
      <x:c r="O273" s="49" t="n">
        <x:v>6</x:v>
      </x:c>
      <x:c r="P273" s="49" t="n">
        <x:v>5</x:v>
      </x:c>
      <x:c r="Q273" s="19" t="str">
        <x:v>主动</x:v>
      </x:c>
      <x:c r="R273" s="19" t="str">
        <x:v>无目标或脚本目标</x:v>
      </x:c>
      <x:c r="S273" s="19" t="str">
        <x:v>功能/特殊</x:v>
      </x:c>
      <x:c r="T273" s="19" t="str"/>
      <x:c r="U273" s="48" t="str">
        <x:v>主动；无目标或脚本目标；主分类：功能/特殊</x:v>
      </x:c>
      <x:c r="V273" s="48" t="str">
        <x:v>—/—/—</x:v>
      </x:c>
      <x:c r="W273" s="48" t="str">
        <x:v>240/180/125</x:v>
      </x:c>
      <x:c r="X273" s="48" t="str">
        <x:v>—/—/—</x:v>
      </x:c>
      <x:c r="Y273" s="48" t="str">
        <x:v>—/—/—</x:v>
      </x:c>
      <x:c r="Z273" s="48" t="str">
        <x:v>25/50/80</x:v>
      </x:c>
      <x:c r="AA273" s="48" t="str">
        <x:v>—/—/—</x:v>
      </x:c>
      <x:c r="AB273" s="48" t="str">
        <x:v>—/—/—</x:v>
      </x:c>
      <x:c r="AC273" s="48" t="str">
        <x:v>主动；无目标或脚本目标；主分类：功能/特殊；等级：3；魔耗：—/—/—；冷却：240/180/125；施法距离：—/—/—；作用范围：—/—/—；持续时间：25/50/80。</x:v>
      </x:c>
      <x:c r="AD273" s="48" t="str">
        <x:v>25 / 50 / 80 / 1 / 240 / 2 / 180 / 3 / 125</x:v>
      </x:c>
      <x:c r="AE273" s="48" t="str">
        <x:v>A</x:v>
      </x:c>
      <x:c r="AF273" s="48" t="str">
        <x:v>Durations and cooldowns come directly from AbilityData.slk.</x:v>
      </x:c>
      <x:c r="AG273" s="18" t="str">
        <x:v>S1</x:v>
      </x:c>
    </x:row>
    <x:row r="274" ht="48" customHeight="1">
      <x:c r="A274" s="19" t="str">
        <x:v>UC01-1</x:v>
      </x:c>
      <x:c r="B274" s="19" t="str">
        <x:v>天灾军团</x:v>
      </x:c>
      <x:c r="C274" s="19" t="str">
        <x:v>傍晚酒馆</x:v>
      </x:c>
      <x:c r="D274" s="19" t="str">
        <x:v>痛苦女王</x:v>
      </x:c>
      <x:c r="E274" s="19" t="str">
        <x:v>Queen of Pain</x:v>
      </x:c>
      <x:c r="F274" s="19" t="str">
        <x:v>UC01</x:v>
      </x:c>
      <x:c r="G274" s="19" t="str">
        <x:v>Akasha</x:v>
      </x:c>
      <x:c r="H274" s="19" t="str">
        <x:v>INT</x:v>
      </x:c>
      <x:c r="I274" s="19" t="str">
        <x:v>远程</x:v>
      </x:c>
      <x:c r="J274" s="19" t="n">
        <x:v>1</x:v>
      </x:c>
      <x:c r="K274" s="19" t="str">
        <x:v>Shadow Strike</x:v>
      </x:c>
      <x:c r="L274" s="19" t="str">
        <x:v>A0Q7</x:v>
      </x:c>
      <x:c r="M274" s="49" t="str">
        <x:v>否</x:v>
      </x:c>
      <x:c r="N274" s="49" t="n">
        <x:v>4</x:v>
      </x:c>
      <x:c r="O274" s="49" t="n">
        <x:v>1</x:v>
      </x:c>
      <x:c r="P274" s="49" t="n">
        <x:v>2</x:v>
      </x:c>
      <x:c r="Q274" s="19" t="str">
        <x:v>主动</x:v>
      </x:c>
      <x:c r="R274" s="19" t="str">
        <x:v>单位目标</x:v>
      </x:c>
      <x:c r="S274" s="19" t="str">
        <x:v>软控</x:v>
      </x:c>
      <x:c r="T274" s="19" t="str">
        <x:v>伤害、软控、强化、削弱</x:v>
      </x:c>
      <x:c r="U274" s="48" t="str">
        <x:v>主动；单位目标；主分类：软控；标签：伤害、软控、强化、削弱</x:v>
      </x:c>
      <x:c r="V274" s="48" t="str">
        <x:v>80/100/120/140</x:v>
      </x:c>
      <x:c r="W274" s="48" t="str">
        <x:v>22/21/20/16</x:v>
      </x:c>
      <x:c r="X274" s="48" t="str">
        <x:v>400/400/400/400</x:v>
      </x:c>
      <x:c r="Y274" s="48" t="str">
        <x:v>—/—/—/—</x:v>
      </x:c>
      <x:c r="Z274" s="48" t="str">
        <x:v>15.1/15.1/15.1/15.1</x:v>
      </x:c>
      <x:c r="AA274" s="48" t="str">
        <x:v>15.1/15.1/15.1/15.1</x:v>
      </x:c>
      <x:c r="AB274" s="48" t="str">
        <x:v>ground,air,enemy,neutral,organic/ground,air,enemy,neutral,organic/ground,air,enemy,neutral,organic/ground,air,enemy,neutral,organic</x:v>
      </x:c>
      <x:c r="AC274" s="48" t="str">
        <x:v>主动；单位目标；主分类：软控；标签：伤害、软控、强化、削弱；等级：4；魔耗：80/100/120/140；冷却：22/21/20/16；施法距离：400/400/400/400；作用范围：—/—/—/—；持续时间：15.1/15.1/15.1/15.1。</x:v>
      </x:c>
      <x:c r="AD274" s="48" t="str">
        <x:v>1 / 50 / 10 / 2 / 70 / 20 / 3 / 40 / 4 / 100 / 22 / 21 / 16 / 15</x:v>
      </x:c>
      <x:c r="AE274" s="48" t="str">
        <x:v>A</x:v>
      </x:c>
      <x:c r="AF274" s="48" t="str">
        <x:v>6.48b 地图内 UnitAbilities/AbilityData/AbilityStrings 与对象修改表</x:v>
      </x:c>
      <x:c r="AG274" s="18" t="str">
        <x:v>S1</x:v>
      </x:c>
    </x:row>
    <x:row r="275" ht="48" customHeight="1">
      <x:c r="A275" s="19" t="str">
        <x:v>UC01-2</x:v>
      </x:c>
      <x:c r="B275" s="19" t="str">
        <x:v>天灾军团</x:v>
      </x:c>
      <x:c r="C275" s="19" t="str">
        <x:v>傍晚酒馆</x:v>
      </x:c>
      <x:c r="D275" s="19" t="str">
        <x:v>痛苦女王</x:v>
      </x:c>
      <x:c r="E275" s="19" t="str">
        <x:v>Queen of Pain</x:v>
      </x:c>
      <x:c r="F275" s="19" t="str">
        <x:v>UC01</x:v>
      </x:c>
      <x:c r="G275" s="19" t="str">
        <x:v>Akasha</x:v>
      </x:c>
      <x:c r="H275" s="19" t="str">
        <x:v>INT</x:v>
      </x:c>
      <x:c r="I275" s="19" t="str">
        <x:v>远程</x:v>
      </x:c>
      <x:c r="J275" s="19" t="n">
        <x:v>2</x:v>
      </x:c>
      <x:c r="K275" s="19" t="str">
        <x:v>Blink</x:v>
      </x:c>
      <x:c r="L275" s="19" t="str">
        <x:v>A0ME</x:v>
      </x:c>
      <x:c r="M275" s="49" t="str">
        <x:v>否</x:v>
      </x:c>
      <x:c r="N275" s="49" t="n">
        <x:v>4</x:v>
      </x:c>
      <x:c r="O275" s="49" t="n">
        <x:v>1</x:v>
      </x:c>
      <x:c r="P275" s="49" t="n">
        <x:v>2</x:v>
      </x:c>
      <x:c r="Q275" s="19" t="str">
        <x:v>主动</x:v>
      </x:c>
      <x:c r="R275" s="19" t="str">
        <x:v>无目标或脚本目标</x:v>
      </x:c>
      <x:c r="S275" s="19" t="str">
        <x:v>位移</x:v>
      </x:c>
      <x:c r="T275" s="19" t="str">
        <x:v>位移、资源机制</x:v>
      </x:c>
      <x:c r="U275" s="48" t="str">
        <x:v>主动；无目标或脚本目标；主分类：位移；标签：位移、资源机制</x:v>
      </x:c>
      <x:c r="V275" s="48" t="str">
        <x:v>60/60/60/60</x:v>
      </x:c>
      <x:c r="W275" s="48" t="str">
        <x:v>12/9/7/5</x:v>
      </x:c>
      <x:c r="X275" s="48" t="str">
        <x:v>99999/99999/99999/99999</x:v>
      </x:c>
      <x:c r="Y275" s="48" t="str">
        <x:v>—/—/—/—</x:v>
      </x:c>
      <x:c r="Z275" s="48" t="str">
        <x:v>0.33/0.33/0.33/0.33</x:v>
      </x:c>
      <x:c r="AA275" s="48" t="str">
        <x:v>—/—/—/—</x:v>
      </x:c>
      <x:c r="AB275" s="48" t="str">
        <x:v>—/—/—/—</x:v>
      </x:c>
      <x:c r="AC275" s="48" t="str">
        <x:v>主动；无目标或脚本目标；主分类：位移；标签：位移、资源机制；等级：4；魔耗：60/60/60/60；冷却：12/9/7/5；施法距离：99999/99999/99999/99999；作用范围：—/—/—/—；持续时间：0.33/0.33/0.33/0.33。</x:v>
      </x:c>
      <x:c r="AD275" s="48" t="str">
        <x:v>60 / 1 / 12 / 2 / 9 / 3 / 7 / 4 / 5</x:v>
      </x:c>
      <x:c r="AE275" s="48" t="str">
        <x:v>A</x:v>
      </x:c>
      <x:c r="AF275" s="48" t="str">
        <x:v>6.48b 地图内 UnitAbilities/AbilityData/AbilityStrings 与对象修改表</x:v>
      </x:c>
      <x:c r="AG275" s="18" t="str">
        <x:v>S1</x:v>
      </x:c>
    </x:row>
    <x:row r="276" ht="48" customHeight="1">
      <x:c r="A276" s="19" t="str">
        <x:v>UC01-3</x:v>
      </x:c>
      <x:c r="B276" s="19" t="str">
        <x:v>天灾军团</x:v>
      </x:c>
      <x:c r="C276" s="19" t="str">
        <x:v>傍晚酒馆</x:v>
      </x:c>
      <x:c r="D276" s="19" t="str">
        <x:v>痛苦女王</x:v>
      </x:c>
      <x:c r="E276" s="19" t="str">
        <x:v>Queen of Pain</x:v>
      </x:c>
      <x:c r="F276" s="19" t="str">
        <x:v>UC01</x:v>
      </x:c>
      <x:c r="G276" s="19" t="str">
        <x:v>Akasha</x:v>
      </x:c>
      <x:c r="H276" s="19" t="str">
        <x:v>INT</x:v>
      </x:c>
      <x:c r="I276" s="19" t="str">
        <x:v>远程</x:v>
      </x:c>
      <x:c r="J276" s="19" t="n">
        <x:v>3</x:v>
      </x:c>
      <x:c r="K276" s="19" t="str">
        <x:v>Scream of Pain</x:v>
      </x:c>
      <x:c r="L276" s="19" t="str">
        <x:v>A04A</x:v>
      </x:c>
      <x:c r="M276" s="49" t="str">
        <x:v>否</x:v>
      </x:c>
      <x:c r="N276" s="49" t="n">
        <x:v>4</x:v>
      </x:c>
      <x:c r="O276" s="49" t="n">
        <x:v>1</x:v>
      </x:c>
      <x:c r="P276" s="49" t="n">
        <x:v>2</x:v>
      </x:c>
      <x:c r="Q276" s="19" t="str">
        <x:v>主动</x:v>
      </x:c>
      <x:c r="R276" s="19" t="str">
        <x:v>无目标/范围</x:v>
      </x:c>
      <x:c r="S276" s="19" t="str">
        <x:v>伤害</x:v>
      </x:c>
      <x:c r="T276" s="19" t="str">
        <x:v>伤害、范围效果</x:v>
      </x:c>
      <x:c r="U276" s="48" t="str">
        <x:v>主动；无目标/范围；主分类：伤害；标签：伤害、范围效果</x:v>
      </x:c>
      <x:c r="V276" s="48" t="str">
        <x:v>85/105/120/140</x:v>
      </x:c>
      <x:c r="W276" s="48" t="str">
        <x:v>10/10/10/10</x:v>
      </x:c>
      <x:c r="X276" s="48" t="str">
        <x:v>—/—/—/—</x:v>
      </x:c>
      <x:c r="Y276" s="48" t="str">
        <x:v>400/450/475/500</x:v>
      </x:c>
      <x:c r="Z276" s="48" t="str">
        <x:v>—/—/—/—</x:v>
      </x:c>
      <x:c r="AA276" s="48" t="str">
        <x:v>—/—/—/—</x:v>
      </x:c>
      <x:c r="AB276" s="48" t="str">
        <x:v>air,ground,enemy,organic/air,ground,enemy,organic/air,ground,enemy,organic/air,ground,enemy,organic</x:v>
      </x:c>
      <x:c r="AC276" s="48" t="str">
        <x:v>主动；无目标/范围；主分类：伤害；标签：伤害、范围效果；等级：4；魔耗：85/105/120/140；冷却：10/10/10/10；施法距离：—/—/—/—；作用范围：400/450/475/500；持续时间：—/—/—/—。</x:v>
      </x:c>
      <x:c r="AD276" s="48" t="str">
        <x:v>1 / 85 / 2 / 165 / 3 / 225 / 4 / 300 / 10</x:v>
      </x:c>
      <x:c r="AE276" s="48" t="str">
        <x:v>A</x:v>
      </x:c>
      <x:c r="AF276" s="48" t="str">
        <x:v>6.48b 地图内 UnitAbilities/AbilityData/AbilityStrings 与对象修改表</x:v>
      </x:c>
      <x:c r="AG276" s="18" t="str">
        <x:v>S1</x:v>
      </x:c>
    </x:row>
    <x:row r="277" ht="48" customHeight="1">
      <x:c r="A277" s="19" t="str">
        <x:v>UC01-4</x:v>
      </x:c>
      <x:c r="B277" s="19" t="str">
        <x:v>天灾军团</x:v>
      </x:c>
      <x:c r="C277" s="19" t="str">
        <x:v>傍晚酒馆</x:v>
      </x:c>
      <x:c r="D277" s="19" t="str">
        <x:v>痛苦女王</x:v>
      </x:c>
      <x:c r="E277" s="19" t="str">
        <x:v>Queen of Pain</x:v>
      </x:c>
      <x:c r="F277" s="19" t="str">
        <x:v>UC01</x:v>
      </x:c>
      <x:c r="G277" s="19" t="str">
        <x:v>Akasha</x:v>
      </x:c>
      <x:c r="H277" s="19" t="str">
        <x:v>INT</x:v>
      </x:c>
      <x:c r="I277" s="19" t="str">
        <x:v>远程</x:v>
      </x:c>
      <x:c r="J277" s="19" t="n">
        <x:v>4</x:v>
      </x:c>
      <x:c r="K277" s="19" t="str">
        <x:v>Sonic Wave</x:v>
      </x:c>
      <x:c r="L277" s="19" t="str">
        <x:v>A00O</x:v>
      </x:c>
      <x:c r="M277" s="49" t="str">
        <x:v>是</x:v>
      </x:c>
      <x:c r="N277" s="49" t="n">
        <x:v>3</x:v>
      </x:c>
      <x:c r="O277" s="49" t="n">
        <x:v>6</x:v>
      </x:c>
      <x:c r="P277" s="49" t="n">
        <x:v>5</x:v>
      </x:c>
      <x:c r="Q277" s="19" t="str">
        <x:v>主动</x:v>
      </x:c>
      <x:c r="R277" s="19" t="str">
        <x:v>无目标/范围</x:v>
      </x:c>
      <x:c r="S277" s="19" t="str">
        <x:v>伤害</x:v>
      </x:c>
      <x:c r="T277" s="19" t="str">
        <x:v>伤害、范围效果</x:v>
      </x:c>
      <x:c r="U277" s="48" t="str">
        <x:v>主动；无目标/范围；主分类：伤害；标签：伤害、范围效果</x:v>
      </x:c>
      <x:c r="V277" s="48" t="str">
        <x:v>250/360/500</x:v>
      </x:c>
      <x:c r="W277" s="48" t="str">
        <x:v>120/100/75</x:v>
      </x:c>
      <x:c r="X277" s="48" t="str">
        <x:v>700/700/700</x:v>
      </x:c>
      <x:c r="Y277" s="48" t="str">
        <x:v>100/100/100</x:v>
      </x:c>
      <x:c r="Z277" s="48" t="str">
        <x:v>—/—/—</x:v>
      </x:c>
      <x:c r="AA277" s="48" t="str">
        <x:v>—/—/—</x:v>
      </x:c>
      <x:c r="AB277" s="48" t="str">
        <x:v>air,enemies,ground,neutral,organic/air,enemies,ground,neutral,organic/air,enemies,ground,neutral,organic</x:v>
      </x:c>
      <x:c r="AC277" s="48" t="str">
        <x:v>主动；无目标/范围；主分类：伤害；标签：伤害、范围效果；等级：3；魔耗：250/360/500；冷却：120/100/75；施法距离：700/700/700；作用范围：100/100/100；持续时间：—/—/—。</x:v>
      </x:c>
      <x:c r="AD277" s="48" t="str">
        <x:v>1 / 290 / 2 / 430 / 3 / 600 / 120 / 100 / 75</x:v>
      </x:c>
      <x:c r="AE277" s="48" t="str">
        <x:v>A</x:v>
      </x:c>
      <x:c r="AF277" s="48" t="str">
        <x:v>6.48b 地图内 UnitAbilities/AbilityData/AbilityStrings 与对象修改表</x:v>
      </x:c>
      <x:c r="AG277" s="18" t="str">
        <x:v>S1</x:v>
      </x:c>
    </x:row>
    <x:row r="278" ht="48" customHeight="1">
      <x:c r="A278" s="19" t="str">
        <x:v>UC91-1</x:v>
      </x:c>
      <x:c r="B278" s="19" t="str">
        <x:v>天灾军团</x:v>
      </x:c>
      <x:c r="C278" s="19" t="str">
        <x:v>傍晚酒馆</x:v>
      </x:c>
      <x:c r="D278" s="19" t="str">
        <x:v>鱼人守卫</x:v>
      </x:c>
      <x:c r="E278" s="19" t="str">
        <x:v>Slithereen Guard</x:v>
      </x:c>
      <x:c r="F278" s="19" t="str">
        <x:v>UC91</x:v>
      </x:c>
      <x:c r="G278" s="19" t="str">
        <x:v>Slardar</x:v>
      </x:c>
      <x:c r="H278" s="19" t="str">
        <x:v>STR</x:v>
      </x:c>
      <x:c r="I278" s="19" t="str">
        <x:v>近战</x:v>
      </x:c>
      <x:c r="J278" s="19" t="n">
        <x:v>1</x:v>
      </x:c>
      <x:c r="K278" s="19" t="str">
        <x:v>Slithereen Crush</x:v>
      </x:c>
      <x:c r="L278" s="19" t="str">
        <x:v>A01W</x:v>
      </x:c>
      <x:c r="M278" s="49" t="str">
        <x:v>否</x:v>
      </x:c>
      <x:c r="N278" s="49" t="n">
        <x:v>4</x:v>
      </x:c>
      <x:c r="O278" s="49" t="n">
        <x:v>1</x:v>
      </x:c>
      <x:c r="P278" s="49" t="n">
        <x:v>2</x:v>
      </x:c>
      <x:c r="Q278" s="19" t="str">
        <x:v>主动</x:v>
      </x:c>
      <x:c r="R278" s="19" t="str">
        <x:v>无目标/范围</x:v>
      </x:c>
      <x:c r="S278" s="19" t="str">
        <x:v>召唤</x:v>
      </x:c>
      <x:c r="T278" s="19" t="str">
        <x:v>伤害、硬控、软控、召唤、强化、范围效果</x:v>
      </x:c>
      <x:c r="U278" s="48" t="str">
        <x:v>主动；无目标/范围；主分类：召唤；标签：伤害、硬控、软控、召唤、强化、范围效果</x:v>
      </x:c>
      <x:c r="V278" s="48" t="str">
        <x:v>80/95/105/115</x:v>
      </x:c>
      <x:c r="W278" s="48" t="str">
        <x:v>8/8/8/8</x:v>
      </x:c>
      <x:c r="X278" s="48" t="str">
        <x:v>—/—/—/—</x:v>
      </x:c>
      <x:c r="Y278" s="48" t="str">
        <x:v>350/350/350/350</x:v>
      </x:c>
      <x:c r="Z278" s="48" t="str">
        <x:v>1/1.5/2/2.5</x:v>
      </x:c>
      <x:c r="AA278" s="48" t="str">
        <x:v>1/1.5/2/2.5</x:v>
      </x:c>
      <x:c r="AB278" s="48" t="str">
        <x:v>ground,organic/ground,organic/ground,organic/ground,organic</x:v>
      </x:c>
      <x:c r="AC278" s="48" t="str">
        <x:v>主动；无目标/范围；主分类：召唤；标签：伤害、硬控、软控、召唤、强化、范围效果；等级：4；魔耗：80/95/105/115；冷却：8/8/8/8；施法距离：—/—/—/—；作用范围：350/350/350/350；持续时间：1/1.5/2/2.5。</x:v>
      </x:c>
      <x:c r="AD278" s="48" t="str">
        <x:v>20% / 2 / 1 / 50 / 75 / 1.5 / 3 / 100 / 4 / 150 / 2.5 / 8</x:v>
      </x:c>
      <x:c r="AE278" s="48" t="str">
        <x:v>A</x:v>
      </x:c>
      <x:c r="AF278" s="48" t="str">
        <x:v>6.48b 地图内 UnitAbilities/AbilityData/AbilityStrings 与对象修改表</x:v>
      </x:c>
      <x:c r="AG278" s="18" t="str">
        <x:v>S1</x:v>
      </x:c>
    </x:row>
    <x:row r="279" ht="48" customHeight="1">
      <x:c r="A279" s="19" t="str">
        <x:v>UC91-2</x:v>
      </x:c>
      <x:c r="B279" s="19" t="str">
        <x:v>天灾军团</x:v>
      </x:c>
      <x:c r="C279" s="19" t="str">
        <x:v>傍晚酒馆</x:v>
      </x:c>
      <x:c r="D279" s="19" t="str">
        <x:v>鱼人守卫</x:v>
      </x:c>
      <x:c r="E279" s="19" t="str">
        <x:v>Slithereen Guard</x:v>
      </x:c>
      <x:c r="F279" s="19" t="str">
        <x:v>UC91</x:v>
      </x:c>
      <x:c r="G279" s="19" t="str">
        <x:v>Slardar</x:v>
      </x:c>
      <x:c r="H279" s="19" t="str">
        <x:v>STR</x:v>
      </x:c>
      <x:c r="I279" s="19" t="str">
        <x:v>近战</x:v>
      </x:c>
      <x:c r="J279" s="19" t="n">
        <x:v>2</x:v>
      </x:c>
      <x:c r="K279" s="19" t="str">
        <x:v>Bash</x:v>
      </x:c>
      <x:c r="L279" s="19" t="str">
        <x:v>A0JJ</x:v>
      </x:c>
      <x:c r="M279" s="49" t="str">
        <x:v>否</x:v>
      </x:c>
      <x:c r="N279" s="49" t="n">
        <x:v>4</x:v>
      </x:c>
      <x:c r="O279" s="49" t="n">
        <x:v>1</x:v>
      </x:c>
      <x:c r="P279" s="49" t="n">
        <x:v>2</x:v>
      </x:c>
      <x:c r="Q279" s="19" t="str">
        <x:v>主动</x:v>
      </x:c>
      <x:c r="R279" s="19" t="str">
        <x:v>无目标或脚本目标</x:v>
      </x:c>
      <x:c r="S279" s="19" t="str">
        <x:v>硬控</x:v>
      </x:c>
      <x:c r="T279" s="19" t="str">
        <x:v>伤害、硬控、强化</x:v>
      </x:c>
      <x:c r="U279" s="48" t="str">
        <x:v>主动；无目标或脚本目标；主分类：硬控；标签：伤害、硬控、强化</x:v>
      </x:c>
      <x:c r="V279" s="48" t="str">
        <x:v>—/—/—/—</x:v>
      </x:c>
      <x:c r="W279" s="48" t="str">
        <x:v>—/—/—/—</x:v>
      </x:c>
      <x:c r="X279" s="48" t="str">
        <x:v>—/—/—/—</x:v>
      </x:c>
      <x:c r="Y279" s="48" t="str">
        <x:v>—/—/—/—</x:v>
      </x:c>
      <x:c r="Z279" s="48" t="str">
        <x:v>2/2/2/2</x:v>
      </x:c>
      <x:c r="AA279" s="48" t="str">
        <x:v>1/1/1/1</x:v>
      </x:c>
      <x:c r="AB279" s="48" t="str">
        <x:v>ground,air/ground,air/ground,air/ground,air</x:v>
      </x:c>
      <x:c r="AC279" s="48" t="str">
        <x:v>主动；无目标或脚本目标；主分类：硬控；标签：伤害、硬控、强化；等级：4；魔耗：—/—/—/—；冷却：—/—/—/—；施法距离：—/—/—/—；作用范围：—/—/—/—；持续时间：2/2/2/2。</x:v>
      </x:c>
      <x:c r="AD279" s="48" t="str">
        <x:v>1 / 10% / 2 / 15% / 3 / 20% / 4 / 25% / 40 / 50 / 60 / 70</x:v>
      </x:c>
      <x:c r="AE279" s="48" t="str">
        <x:v>A</x:v>
      </x:c>
      <x:c r="AF279" s="48" t="str">
        <x:v>6.48b 地图内 UnitAbilities/AbilityData/AbilityStrings 与对象修改表</x:v>
      </x:c>
      <x:c r="AG279" s="18" t="str">
        <x:v>S1</x:v>
      </x:c>
    </x:row>
    <x:row r="280" ht="48" customHeight="1">
      <x:c r="A280" s="19" t="str">
        <x:v>UC91-3</x:v>
      </x:c>
      <x:c r="B280" s="19" t="str">
        <x:v>天灾军团</x:v>
      </x:c>
      <x:c r="C280" s="19" t="str">
        <x:v>傍晚酒馆</x:v>
      </x:c>
      <x:c r="D280" s="19" t="str">
        <x:v>鱼人守卫</x:v>
      </x:c>
      <x:c r="E280" s="19" t="str">
        <x:v>Slithereen Guard</x:v>
      </x:c>
      <x:c r="F280" s="19" t="str">
        <x:v>UC91</x:v>
      </x:c>
      <x:c r="G280" s="19" t="str">
        <x:v>Slardar</x:v>
      </x:c>
      <x:c r="H280" s="19" t="str">
        <x:v>STR</x:v>
      </x:c>
      <x:c r="I280" s="19" t="str">
        <x:v>近战</x:v>
      </x:c>
      <x:c r="J280" s="19" t="n">
        <x:v>3</x:v>
      </x:c>
      <x:c r="K280" s="19" t="str">
        <x:v>Amplify Damage</x:v>
      </x:c>
      <x:c r="L280" s="19" t="str">
        <x:v>A034</x:v>
      </x:c>
      <x:c r="M280" s="49" t="str">
        <x:v>是</x:v>
      </x:c>
      <x:c r="N280" s="49" t="n">
        <x:v>3</x:v>
      </x:c>
      <x:c r="O280" s="49" t="n">
        <x:v>6</x:v>
      </x:c>
      <x:c r="P280" s="49" t="n">
        <x:v>5</x:v>
      </x:c>
      <x:c r="Q280" s="19" t="str">
        <x:v>开关/自动施放</x:v>
      </x:c>
      <x:c r="R280" s="19" t="str">
        <x:v>—</x:v>
      </x:c>
      <x:c r="S280" s="19" t="str">
        <x:v>防御/生存</x:v>
      </x:c>
      <x:c r="T280" s="19" t="str">
        <x:v>伤害、防御/生存、强化</x:v>
      </x:c>
      <x:c r="U280" s="48" t="str">
        <x:v>开关/自动施放；—；主分类：防御/生存；标签：伤害、防御/生存、强化</x:v>
      </x:c>
      <x:c r="V280" s="48" t="str">
        <x:v>25/25/25</x:v>
      </x:c>
      <x:c r="W280" s="48" t="str">
        <x:v>10/10/10</x:v>
      </x:c>
      <x:c r="X280" s="48" t="str">
        <x:v>700/700/700</x:v>
      </x:c>
      <x:c r="Y280" s="48" t="str">
        <x:v>—/—/—</x:v>
      </x:c>
      <x:c r="Z280" s="48" t="str">
        <x:v>120/120/120</x:v>
      </x:c>
      <x:c r="AA280" s="48" t="str">
        <x:v>30/30/30</x:v>
      </x:c>
      <x:c r="AB280" s="48" t="str">
        <x:v>air,enemies,ground,neutral/air,enemies,ground,neutral/air,enemies,ground,neutral</x:v>
      </x:c>
      <x:c r="AC280" s="48" t="str">
        <x:v>开关/自动施放；—；主分类：防御/生存；标签：伤害、防御/生存、强化；等级：3；魔耗：25/25/25；冷却：10/10/10；施法距离：700/700/700；作用范围：—/—/—；持续时间：120/120/120。</x:v>
      </x:c>
      <x:c r="AD280" s="48" t="str">
        <x:v>1 / 5 / 2 / 10 / 3 / 15</x:v>
      </x:c>
      <x:c r="AE280" s="48" t="str">
        <x:v>A</x:v>
      </x:c>
      <x:c r="AF280" s="48" t="str">
        <x:v>6.48b 地图内 UnitAbilities/AbilityData/AbilityStrings 与对象修改表</x:v>
      </x:c>
      <x:c r="AG280" s="18" t="str">
        <x:v>S1</x:v>
      </x:c>
    </x:row>
    <x:row r="281" ht="48" customHeight="1">
      <x:c r="A281" s="19" t="str">
        <x:v>UC91-4</x:v>
      </x:c>
      <x:c r="B281" s="19" t="str">
        <x:v>天灾军团</x:v>
      </x:c>
      <x:c r="C281" s="19" t="str">
        <x:v>傍晚酒馆</x:v>
      </x:c>
      <x:c r="D281" s="19" t="str">
        <x:v>鱼人守卫</x:v>
      </x:c>
      <x:c r="E281" s="19" t="str">
        <x:v>Slithereen Guard</x:v>
      </x:c>
      <x:c r="F281" s="19" t="str">
        <x:v>UC91</x:v>
      </x:c>
      <x:c r="G281" s="19" t="str">
        <x:v>Slardar</x:v>
      </x:c>
      <x:c r="H281" s="19" t="str">
        <x:v>STR</x:v>
      </x:c>
      <x:c r="I281" s="19" t="str">
        <x:v>近战</x:v>
      </x:c>
      <x:c r="J281" s="19" t="n">
        <x:v>4</x:v>
      </x:c>
      <x:c r="K281" s="19" t="str">
        <x:v>Sprint</x:v>
      </x:c>
      <x:c r="L281" s="19" t="str">
        <x:v>A05C</x:v>
      </x:c>
      <x:c r="M281" s="49" t="str">
        <x:v>否</x:v>
      </x:c>
      <x:c r="N281" s="49" t="n">
        <x:v>4</x:v>
      </x:c>
      <x:c r="O281" s="49" t="n">
        <x:v>1</x:v>
      </x:c>
      <x:c r="P281" s="49" t="n">
        <x:v>2</x:v>
      </x:c>
      <x:c r="Q281" s="19" t="str">
        <x:v>主动</x:v>
      </x:c>
      <x:c r="R281" s="19" t="str">
        <x:v>无目标或脚本目标</x:v>
      </x:c>
      <x:c r="S281" s="19" t="str">
        <x:v>软控</x:v>
      </x:c>
      <x:c r="T281" s="19" t="str">
        <x:v>伤害、软控、强化</x:v>
      </x:c>
      <x:c r="U281" s="48" t="str">
        <x:v>主动；无目标或脚本目标；主分类：软控；标签：伤害、软控、强化</x:v>
      </x:c>
      <x:c r="V281" s="48" t="str">
        <x:v>50/50/50/50</x:v>
      </x:c>
      <x:c r="W281" s="48" t="str">
        <x:v>45/45/45/45</x:v>
      </x:c>
      <x:c r="X281" s="48" t="str">
        <x:v>—/—/—/—</x:v>
      </x:c>
      <x:c r="Y281" s="48" t="str">
        <x:v>—/—/—/—</x:v>
      </x:c>
      <x:c r="Z281" s="48" t="str">
        <x:v>25/25/25/25</x:v>
      </x:c>
      <x:c r="AA281" s="48" t="str">
        <x:v>25/25/25/25</x:v>
      </x:c>
      <x:c r="AB281" s="48" t="str">
        <x:v>—/—/—/—</x:v>
      </x:c>
      <x:c r="AC281" s="48" t="str">
        <x:v>主动；无目标或脚本目标；主分类：软控；标签：伤害、软控、强化；等级：4；魔耗：50/50/50/50；冷却：45/45/45/45；施法距离：—/—/—/—；作用范围：—/—/—/—；持续时间：25/25/25/25。</x:v>
      </x:c>
      <x:c r="AD281" s="48" t="str">
        <x:v>20% / 25 / 1 / 10% / 2 / 3 / 30% / 4 / 40% / 45</x:v>
      </x:c>
      <x:c r="AE281" s="48" t="str">
        <x:v>A</x:v>
      </x:c>
      <x:c r="AF281" s="48" t="str">
        <x:v>6.48b 地图内 UnitAbilities/AbilityData/AbilityStrings 与对象修改表</x:v>
      </x:c>
      <x:c r="AG281" s="18" t="str">
        <x:v>S1</x:v>
      </x:c>
    </x:row>
    <x:row r="282" ht="48" customHeight="1">
      <x:c r="A282" s="19" t="str">
        <x:v>UC42-1</x:v>
      </x:c>
      <x:c r="B282" s="19" t="str">
        <x:v>天灾军团</x:v>
      </x:c>
      <x:c r="C282" s="19" t="str">
        <x:v>傍晚酒馆</x:v>
      </x:c>
      <x:c r="D282" s="19" t="str">
        <x:v>末日使者</x:v>
      </x:c>
      <x:c r="E282" s="19" t="str">
        <x:v>Doom Bringer</x:v>
      </x:c>
      <x:c r="F282" s="19" t="str">
        <x:v>UC42</x:v>
      </x:c>
      <x:c r="G282" s="19" t="str">
        <x:v>Lucifer</x:v>
      </x:c>
      <x:c r="H282" s="19" t="str">
        <x:v>STR</x:v>
      </x:c>
      <x:c r="I282" s="19" t="str">
        <x:v>远程</x:v>
      </x:c>
      <x:c r="J282" s="19" t="n">
        <x:v>1</x:v>
      </x:c>
      <x:c r="K282" s="19" t="str">
        <x:v>Scorched Earth</x:v>
      </x:c>
      <x:c r="L282" s="19" t="str">
        <x:v>A0FE</x:v>
      </x:c>
      <x:c r="M282" s="49" t="str">
        <x:v>否</x:v>
      </x:c>
      <x:c r="N282" s="49" t="n">
        <x:v>4</x:v>
      </x:c>
      <x:c r="O282" s="49" t="n">
        <x:v>1</x:v>
      </x:c>
      <x:c r="P282" s="49" t="n">
        <x:v>2</x:v>
      </x:c>
      <x:c r="Q282" s="19" t="str">
        <x:v>主动</x:v>
      </x:c>
      <x:c r="R282" s="19" t="str">
        <x:v>无目标或脚本目标</x:v>
      </x:c>
      <x:c r="S282" s="19" t="str">
        <x:v>治疗/回复</x:v>
      </x:c>
      <x:c r="T282" s="19" t="str">
        <x:v>伤害、软控、治疗/回复、强化</x:v>
      </x:c>
      <x:c r="U282" s="48" t="str">
        <x:v>主动；无目标或脚本目标；主分类：治疗/回复；标签：伤害、软控、治疗/回复、强化</x:v>
      </x:c>
      <x:c r="V282" s="48" t="str">
        <x:v>60/60/60/60</x:v>
      </x:c>
      <x:c r="W282" s="48" t="str">
        <x:v>10/10/10/10</x:v>
      </x:c>
      <x:c r="X282" s="48" t="str">
        <x:v>800/800/800/800</x:v>
      </x:c>
      <x:c r="Y282" s="48" t="str">
        <x:v>700/700/700/700</x:v>
      </x:c>
      <x:c r="Z282" s="48" t="str">
        <x:v>20/20/20/20</x:v>
      </x:c>
      <x:c r="AA282" s="48" t="str">
        <x:v>—/—/—/—</x:v>
      </x:c>
      <x:c r="AB282" s="48" t="str">
        <x:v>debris,enemies,ground,neutral/debris,enemies,ground,neutral/debris,enemies,ground,neutral/debris,enemies,ground,neutral</x:v>
      </x:c>
      <x:c r="AC282" s="48" t="str">
        <x:v>主动；无目标或脚本目标；主分类：治疗/回复；标签：伤害、软控、治疗/回复、强化；等级：4；魔耗：60/60/60/60；冷却：10/10/10/10；施法距离：800/800/800/800；作用范围：700/700/700/700；持续时间：20/20/20/20。</x:v>
      </x:c>
      <x:c r="AD282" s="48" t="str">
        <x:v>20 / 1 / 10% / 2 / 15% / 3 / 20% / 4 / 30% / 10</x:v>
      </x:c>
      <x:c r="AE282" s="48" t="str">
        <x:v>A</x:v>
      </x:c>
      <x:c r="AF282" s="48" t="str">
        <x:v>6.48b 地图内 UnitAbilities/AbilityData/AbilityStrings 与对象修改表</x:v>
      </x:c>
      <x:c r="AG282" s="18" t="str">
        <x:v>S1</x:v>
      </x:c>
    </x:row>
    <x:row r="283" ht="48" customHeight="1">
      <x:c r="A283" s="19" t="str">
        <x:v>UC42-2</x:v>
      </x:c>
      <x:c r="B283" s="19" t="str">
        <x:v>天灾军团</x:v>
      </x:c>
      <x:c r="C283" s="19" t="str">
        <x:v>傍晚酒馆</x:v>
      </x:c>
      <x:c r="D283" s="19" t="str">
        <x:v>末日使者</x:v>
      </x:c>
      <x:c r="E283" s="19" t="str">
        <x:v>Doom Bringer</x:v>
      </x:c>
      <x:c r="F283" s="19" t="str">
        <x:v>UC42</x:v>
      </x:c>
      <x:c r="G283" s="19" t="str">
        <x:v>Lucifer</x:v>
      </x:c>
      <x:c r="H283" s="19" t="str">
        <x:v>STR</x:v>
      </x:c>
      <x:c r="I283" s="19" t="str">
        <x:v>远程</x:v>
      </x:c>
      <x:c r="J283" s="19" t="n">
        <x:v>2</x:v>
      </x:c>
      <x:c r="K283" s="19" t="str">
        <x:v>LVL? Death</x:v>
      </x:c>
      <x:c r="L283" s="19" t="str">
        <x:v>A094</x:v>
      </x:c>
      <x:c r="M283" s="49" t="str">
        <x:v>否</x:v>
      </x:c>
      <x:c r="N283" s="49" t="n">
        <x:v>4</x:v>
      </x:c>
      <x:c r="O283" s="49" t="n">
        <x:v>1</x:v>
      </x:c>
      <x:c r="P283" s="49" t="n">
        <x:v>2</x:v>
      </x:c>
      <x:c r="Q283" s="19" t="str">
        <x:v>主动</x:v>
      </x:c>
      <x:c r="R283" s="19" t="str">
        <x:v>单位目标</x:v>
      </x:c>
      <x:c r="S283" s="19" t="str">
        <x:v>强化</x:v>
      </x:c>
      <x:c r="T283" s="19" t="str">
        <x:v>伤害、强化</x:v>
      </x:c>
      <x:c r="U283" s="48" t="str">
        <x:v>主动；单位目标；主分类：强化；标签：伤害、强化</x:v>
      </x:c>
      <x:c r="V283" s="48" t="str">
        <x:v>85/105/125/145</x:v>
      </x:c>
      <x:c r="W283" s="48" t="str">
        <x:v>8/8/8/8</x:v>
      </x:c>
      <x:c r="X283" s="48" t="str">
        <x:v>600/600/600/600</x:v>
      </x:c>
      <x:c r="Y283" s="48" t="str">
        <x:v>—/—/—/—</x:v>
      </x:c>
      <x:c r="Z283" s="48" t="str">
        <x:v>0.01/0.01/0.01/0.01</x:v>
      </x:c>
      <x:c r="AA283" s="48" t="str">
        <x:v>0.01/0.01/0.01/0.01</x:v>
      </x:c>
      <x:c r="AB283" s="48" t="str">
        <x:v>enemies,hero,neutral/enemies,hero,neutral/enemies,hero,neutral/enemies,hero,neutral</x:v>
      </x:c>
      <x:c r="AC283" s="48" t="str">
        <x:v>主动；单位目标；主分类：强化；标签：伤害、强化；等级：4；魔耗：85/105/125/145；冷却：8/8/8/8；施法距离：600/600/600/600；作用范围：—/—/—/—；持续时间：0.01/0.01/0.01/0.01。</x:v>
      </x:c>
      <x:c r="AD283" s="48" t="str">
        <x:v>250 / 25 / 1 / 100 / 6 / 2 / 150 / 5 / 3 / 200 / 4 / 8</x:v>
      </x:c>
      <x:c r="AE283" s="48" t="str">
        <x:v>A</x:v>
      </x:c>
      <x:c r="AF283" s="48" t="str">
        <x:v>6.48b 地图内 UnitAbilities/AbilityData/AbilityStrings 与对象修改表</x:v>
      </x:c>
      <x:c r="AG283" s="18" t="str">
        <x:v>S1</x:v>
      </x:c>
    </x:row>
    <x:row r="284" ht="48" customHeight="1">
      <x:c r="A284" s="19" t="str">
        <x:v>UC42-3</x:v>
      </x:c>
      <x:c r="B284" s="19" t="str">
        <x:v>天灾军团</x:v>
      </x:c>
      <x:c r="C284" s="19" t="str">
        <x:v>傍晚酒馆</x:v>
      </x:c>
      <x:c r="D284" s="19" t="str">
        <x:v>末日使者</x:v>
      </x:c>
      <x:c r="E284" s="19" t="str">
        <x:v>Doom Bringer</x:v>
      </x:c>
      <x:c r="F284" s="19" t="str">
        <x:v>UC42</x:v>
      </x:c>
      <x:c r="G284" s="19" t="str">
        <x:v>Lucifer</x:v>
      </x:c>
      <x:c r="H284" s="19" t="str">
        <x:v>STR</x:v>
      </x:c>
      <x:c r="I284" s="19" t="str">
        <x:v>远程</x:v>
      </x:c>
      <x:c r="J284" s="19" t="n">
        <x:v>3</x:v>
      </x:c>
      <x:c r="K284" s="19" t="str">
        <x:v>Doom</x:v>
      </x:c>
      <x:c r="L284" s="19" t="str">
        <x:v>A0MU</x:v>
      </x:c>
      <x:c r="M284" s="49" t="str">
        <x:v>是</x:v>
      </x:c>
      <x:c r="N284" s="49" t="n">
        <x:v>3</x:v>
      </x:c>
      <x:c r="O284" s="49" t="n">
        <x:v>6</x:v>
      </x:c>
      <x:c r="P284" s="49" t="n">
        <x:v>5</x:v>
      </x:c>
      <x:c r="Q284" s="19" t="str">
        <x:v>主动</x:v>
      </x:c>
      <x:c r="R284" s="19" t="str">
        <x:v>单位目标</x:v>
      </x:c>
      <x:c r="S284" s="19" t="str">
        <x:v>伤害</x:v>
      </x:c>
      <x:c r="T284" s="19" t="str">
        <x:v>伤害</x:v>
      </x:c>
      <x:c r="U284" s="48" t="str">
        <x:v>主动；单位目标；主分类：伤害；标签：伤害</x:v>
      </x:c>
      <x:c r="V284" s="48" t="str">
        <x:v>150/200/250</x:v>
      </x:c>
      <x:c r="W284" s="48" t="str">
        <x:v>180/150/120</x:v>
      </x:c>
      <x:c r="X284" s="48" t="str">
        <x:v>650/650/650</x:v>
      </x:c>
      <x:c r="Y284" s="48" t="str">
        <x:v>—/—/—</x:v>
      </x:c>
      <x:c r="Z284" s="48" t="str">
        <x:v>12/14/16</x:v>
      </x:c>
      <x:c r="AA284" s="48" t="str">
        <x:v>12/14/16</x:v>
      </x:c>
      <x:c r="AB284" s="48" t="str">
        <x:v>air,enemies,ground,neutral,organic/air,enemies,ground,neutral,organic/air,enemies,ground,neutral,organic</x:v>
      </x:c>
      <x:c r="AC284" s="48" t="str">
        <x:v>主动；单位目标；主分类：伤害；标签：伤害；等级：3；魔耗：150/200/250；冷却：180/150/120；施法距离：650/650/650；作用范围：—/—/—；持续时间：12/14/16。</x:v>
      </x:c>
      <x:c r="AD284" s="48" t="str">
        <x:v>1 / 40 / 12 / 2 / 60 / 14 / 3 / 80 / 16 / 180 / 150 / 120</x:v>
      </x:c>
      <x:c r="AE284" s="48" t="str">
        <x:v>A</x:v>
      </x:c>
      <x:c r="AF284" s="48" t="str">
        <x:v>6.48b 地图内 UnitAbilities/AbilityData/AbilityStrings 与对象修改表</x:v>
      </x:c>
      <x:c r="AG284" s="18" t="str">
        <x:v>S1</x:v>
      </x:c>
    </x:row>
    <x:row r="285" ht="48" customHeight="1">
      <x:c r="A285" s="19" t="str">
        <x:v>UC42-4</x:v>
      </x:c>
      <x:c r="B285" s="19" t="str">
        <x:v>天灾军团</x:v>
      </x:c>
      <x:c r="C285" s="19" t="str">
        <x:v>傍晚酒馆</x:v>
      </x:c>
      <x:c r="D285" s="19" t="str">
        <x:v>末日使者</x:v>
      </x:c>
      <x:c r="E285" s="19" t="str">
        <x:v>Doom Bringer</x:v>
      </x:c>
      <x:c r="F285" s="19" t="str">
        <x:v>UC42</x:v>
      </x:c>
      <x:c r="G285" s="19" t="str">
        <x:v>Lucifer</x:v>
      </x:c>
      <x:c r="H285" s="19" t="str">
        <x:v>STR</x:v>
      </x:c>
      <x:c r="I285" s="19" t="str">
        <x:v>远程</x:v>
      </x:c>
      <x:c r="J285" s="19" t="n">
        <x:v>4</x:v>
      </x:c>
      <x:c r="K285" s="19" t="str">
        <x:v>Devour</x:v>
      </x:c>
      <x:c r="L285" s="19" t="str">
        <x:v>A05Y</x:v>
      </x:c>
      <x:c r="M285" s="49" t="str">
        <x:v>否</x:v>
      </x:c>
      <x:c r="N285" s="49" t="n">
        <x:v>4</x:v>
      </x:c>
      <x:c r="O285" s="49" t="n">
        <x:v>1</x:v>
      </x:c>
      <x:c r="P285" s="49" t="n">
        <x:v>2</x:v>
      </x:c>
      <x:c r="Q285" s="19" t="str">
        <x:v>主动</x:v>
      </x:c>
      <x:c r="R285" s="19" t="str">
        <x:v>无目标或脚本目标</x:v>
      </x:c>
      <x:c r="S285" s="19" t="str">
        <x:v>强化</x:v>
      </x:c>
      <x:c r="T285" s="19" t="str">
        <x:v>伤害、强化、资源机制</x:v>
      </x:c>
      <x:c r="U285" s="48" t="str">
        <x:v>主动；无目标或脚本目标；主分类：强化；标签：伤害、强化、资源机制</x:v>
      </x:c>
      <x:c r="V285" s="48" t="str">
        <x:v>50/45/40/35</x:v>
      </x:c>
      <x:c r="W285" s="48" t="str">
        <x:v>30/25/20/15</x:v>
      </x:c>
      <x:c r="X285" s="48" t="str">
        <x:v>100/100/100/100</x:v>
      </x:c>
      <x:c r="Y285" s="48" t="str">
        <x:v>—/—/—/—</x:v>
      </x:c>
      <x:c r="Z285" s="48" t="str">
        <x:v>20/40/60/80</x:v>
      </x:c>
      <x:c r="AA285" s="48" t="str">
        <x:v>—/—/—/—</x:v>
      </x:c>
      <x:c r="AB285" s="48" t="str">
        <x:v>nonancient,nonhero,organic/nonancient,nonhero,organic/nonancient,nonhero,organic/nonancient,nonhero,organic</x:v>
      </x:c>
      <x:c r="AC285" s="48" t="str">
        <x:v>主动；无目标或脚本目标；主分类：强化；标签：伤害、强化、资源机制；等级：4；魔耗：50/45/40/35；冷却：30/25/20/15；施法距离：100/100/100/100；作用范围：—/—/—/—；持续时间：20/40/60/80。</x:v>
      </x:c>
      <x:c r="AD285" s="48" t="str">
        <x:v>1 / 10 / 2 / 20 / 3 / 30 / 4 / 40 / 25 / 15</x:v>
      </x:c>
      <x:c r="AE285" s="48" t="str">
        <x:v>A</x:v>
      </x:c>
      <x:c r="AF285" s="48" t="str">
        <x:v>6.48b 地图内 UnitAbilities/AbilityData/AbilityStrings 与对象修改表</x:v>
      </x:c>
      <x:c r="AG285" s="18" t="str">
        <x:v>S1</x:v>
      </x:c>
    </x:row>
    <x:row r="286" ht="48" customHeight="1">
      <x:c r="A286" s="19" t="str">
        <x:v>NC00-1</x:v>
      </x:c>
      <x:c r="B286" s="19" t="str">
        <x:v>天灾军团</x:v>
      </x:c>
      <x:c r="C286" s="19" t="str">
        <x:v>傍晚酒馆</x:v>
      </x:c>
      <x:c r="D286" s="19" t="str">
        <x:v>骷髅王</x:v>
      </x:c>
      <x:c r="E286" s="19" t="str">
        <x:v>Skeleton King</x:v>
      </x:c>
      <x:c r="F286" s="19" t="str">
        <x:v>NC00</x:v>
      </x:c>
      <x:c r="G286" s="19" t="str">
        <x:v>King Leoric</x:v>
      </x:c>
      <x:c r="H286" s="19" t="str">
        <x:v>STR</x:v>
      </x:c>
      <x:c r="I286" s="19" t="str">
        <x:v>近战</x:v>
      </x:c>
      <x:c r="J286" s="19" t="n">
        <x:v>1</x:v>
      </x:c>
      <x:c r="K286" s="19" t="str">
        <x:v>Storm Bolt</x:v>
      </x:c>
      <x:c r="L286" s="19" t="str">
        <x:v>AHtb</x:v>
      </x:c>
      <x:c r="M286" s="49" t="str">
        <x:v>否</x:v>
      </x:c>
      <x:c r="N286" s="49" t="n">
        <x:v>4</x:v>
      </x:c>
      <x:c r="O286" s="49" t="n">
        <x:v>1</x:v>
      </x:c>
      <x:c r="P286" s="49" t="n">
        <x:v>2</x:v>
      </x:c>
      <x:c r="Q286" s="19" t="str">
        <x:v>主动</x:v>
      </x:c>
      <x:c r="R286" s="19" t="str">
        <x:v>无目标或脚本目标</x:v>
      </x:c>
      <x:c r="S286" s="19" t="str">
        <x:v>硬控</x:v>
      </x:c>
      <x:c r="T286" s="19" t="str">
        <x:v>伤害、硬控</x:v>
      </x:c>
      <x:c r="U286" s="48" t="str">
        <x:v>主动；无目标或脚本目标；主分类：硬控；标签：伤害、硬控</x:v>
      </x:c>
      <x:c r="V286" s="48" t="str">
        <x:v>140/140/140/140</x:v>
      </x:c>
      <x:c r="W286" s="48" t="str">
        <x:v>8/8/8/8</x:v>
      </x:c>
      <x:c r="X286" s="48" t="str">
        <x:v>525/525/525/525</x:v>
      </x:c>
      <x:c r="Y286" s="48" t="str">
        <x:v>—/—/—/—</x:v>
      </x:c>
      <x:c r="Z286" s="48" t="str">
        <x:v>2/2/2/2</x:v>
      </x:c>
      <x:c r="AA286" s="48" t="str">
        <x:v>2/2/2/2</x:v>
      </x:c>
      <x:c r="AB286" s="48" t="str">
        <x:v>air,debris,enemies,ground,neutral,organic/air,ground,debris,enemy,neutral,organic/air,ground,debris,enemy,neutral,organic/air,ground,debris,enemy,neutral,organic</x:v>
      </x:c>
      <x:c r="AC286" s="48" t="str">
        <x:v>主动；无目标或脚本目标；主分类：硬控；标签：伤害、硬控；等级：4；魔耗：140/140/140/140；冷却：8/8/8/8；施法距离：525/525/525/525；作用范围：—/—/—/—；持续时间：2/2/2/2。</x:v>
      </x:c>
      <x:c r="AD286" s="48" t="str">
        <x:v>2 / 1 / 100 / 150 / 3 / 200 / 4 / 250 / 8</x:v>
      </x:c>
      <x:c r="AE286" s="48" t="str">
        <x:v>A</x:v>
      </x:c>
      <x:c r="AF286" s="48" t="str">
        <x:v>6.48b 地图内 UnitAbilities/AbilityData/AbilityStrings 与对象修改表</x:v>
      </x:c>
      <x:c r="AG286" s="18" t="str">
        <x:v>S1</x:v>
      </x:c>
    </x:row>
    <x:row r="287" ht="48" customHeight="1">
      <x:c r="A287" s="19" t="str">
        <x:v>NC00-2</x:v>
      </x:c>
      <x:c r="B287" s="19" t="str">
        <x:v>天灾军团</x:v>
      </x:c>
      <x:c r="C287" s="19" t="str">
        <x:v>傍晚酒馆</x:v>
      </x:c>
      <x:c r="D287" s="19" t="str">
        <x:v>骷髅王</x:v>
      </x:c>
      <x:c r="E287" s="19" t="str">
        <x:v>Skeleton King</x:v>
      </x:c>
      <x:c r="F287" s="19" t="str">
        <x:v>NC00</x:v>
      </x:c>
      <x:c r="G287" s="19" t="str">
        <x:v>King Leoric</x:v>
      </x:c>
      <x:c r="H287" s="19" t="str">
        <x:v>STR</x:v>
      </x:c>
      <x:c r="I287" s="19" t="str">
        <x:v>近战</x:v>
      </x:c>
      <x:c r="J287" s="19" t="n">
        <x:v>2</x:v>
      </x:c>
      <x:c r="K287" s="19" t="str">
        <x:v>Vampiric Aura</x:v>
      </x:c>
      <x:c r="L287" s="19" t="str">
        <x:v>AUav</x:v>
      </x:c>
      <x:c r="M287" s="49" t="str">
        <x:v>否</x:v>
      </x:c>
      <x:c r="N287" s="49" t="n">
        <x:v>4</x:v>
      </x:c>
      <x:c r="O287" s="49" t="n">
        <x:v>1</x:v>
      </x:c>
      <x:c r="P287" s="49" t="n">
        <x:v>2</x:v>
      </x:c>
      <x:c r="Q287" s="19" t="str">
        <x:v>被动</x:v>
      </x:c>
      <x:c r="R287" s="19" t="str">
        <x:v>被动</x:v>
      </x:c>
      <x:c r="S287" s="19" t="str">
        <x:v>强化</x:v>
      </x:c>
      <x:c r="T287" s="19" t="str">
        <x:v>伤害、强化、光环、范围效果、被动触发</x:v>
      </x:c>
      <x:c r="U287" s="48" t="str">
        <x:v>被动；被动；主分类：强化；标签：伤害、强化、光环、范围效果、被动触发</x:v>
      </x:c>
      <x:c r="V287" s="48" t="str">
        <x:v>—/—/—/—</x:v>
      </x:c>
      <x:c r="W287" s="48" t="str">
        <x:v>—/—/—/—</x:v>
      </x:c>
      <x:c r="X287" s="48" t="str">
        <x:v>—/—/—/—</x:v>
      </x:c>
      <x:c r="Y287" s="48" t="str">
        <x:v>600/600/600/600</x:v>
      </x:c>
      <x:c r="Z287" s="48" t="str">
        <x:v>—/—/—/—</x:v>
      </x:c>
      <x:c r="AA287" s="48" t="str">
        <x:v>—/—/—/—</x:v>
      </x:c>
      <x:c r="AB287" s="48" t="str">
        <x:v>air,ground,friend,self,vuln,invu,organic/air,ground,friend,self,vuln,invu,organic/air,ground,friend,self,vuln,invu,organic/air,ground,friend,self,vuln,invu,organic</x:v>
      </x:c>
      <x:c r="AC287" s="48" t="str">
        <x:v>被动；被动；主分类：强化；标签：伤害、强化、光环、范围效果、被动触发；等级：4；魔耗：—/—/—/—；冷却：—/—/—/—；施法距离：—/—/—/—；作用范围：600/600/600/600；持续时间：—/—/—/—。</x:v>
      </x:c>
      <x:c r="AD287" s="48" t="str">
        <x:v>1 / 5% / 2 / 10% / 3 / 15% / 4 / 20%</x:v>
      </x:c>
      <x:c r="AE287" s="48" t="str">
        <x:v>A</x:v>
      </x:c>
      <x:c r="AF287" s="48" t="str">
        <x:v>6.48b 地图内 UnitAbilities/AbilityData/AbilityStrings 与对象修改表</x:v>
      </x:c>
      <x:c r="AG287" s="18" t="str">
        <x:v>S1</x:v>
      </x:c>
    </x:row>
    <x:row r="288" ht="48" customHeight="1">
      <x:c r="A288" s="19" t="str">
        <x:v>NC00-3</x:v>
      </x:c>
      <x:c r="B288" s="19" t="str">
        <x:v>天灾军团</x:v>
      </x:c>
      <x:c r="C288" s="19" t="str">
        <x:v>傍晚酒馆</x:v>
      </x:c>
      <x:c r="D288" s="19" t="str">
        <x:v>骷髅王</x:v>
      </x:c>
      <x:c r="E288" s="19" t="str">
        <x:v>Skeleton King</x:v>
      </x:c>
      <x:c r="F288" s="19" t="str">
        <x:v>NC00</x:v>
      </x:c>
      <x:c r="G288" s="19" t="str">
        <x:v>King Leoric</x:v>
      </x:c>
      <x:c r="H288" s="19" t="str">
        <x:v>STR</x:v>
      </x:c>
      <x:c r="I288" s="19" t="str">
        <x:v>近战</x:v>
      </x:c>
      <x:c r="J288" s="19" t="n">
        <x:v>3</x:v>
      </x:c>
      <x:c r="K288" s="19" t="str">
        <x:v>Critical Strike</x:v>
      </x:c>
      <x:c r="L288" s="19" t="str">
        <x:v>AOcr</x:v>
      </x:c>
      <x:c r="M288" s="49" t="str">
        <x:v>否</x:v>
      </x:c>
      <x:c r="N288" s="49" t="n">
        <x:v>4</x:v>
      </x:c>
      <x:c r="O288" s="49" t="n">
        <x:v>1</x:v>
      </x:c>
      <x:c r="P288" s="49" t="n">
        <x:v>2</x:v>
      </x:c>
      <x:c r="Q288" s="19" t="str">
        <x:v>被动</x:v>
      </x:c>
      <x:c r="R288" s="19" t="str">
        <x:v>被动</x:v>
      </x:c>
      <x:c r="S288" s="19" t="str">
        <x:v>伤害</x:v>
      </x:c>
      <x:c r="T288" s="19" t="str">
        <x:v>伤害、被动触发</x:v>
      </x:c>
      <x:c r="U288" s="48" t="str">
        <x:v>被动；被动；主分类：伤害；标签：伤害、被动触发</x:v>
      </x:c>
      <x:c r="V288" s="48" t="str">
        <x:v>—/—/—/—</x:v>
      </x:c>
      <x:c r="W288" s="48" t="str">
        <x:v>—/—/—/—</x:v>
      </x:c>
      <x:c r="X288" s="48" t="str">
        <x:v>—/—/—/—</x:v>
      </x:c>
      <x:c r="Y288" s="48" t="str">
        <x:v>—/—/—/—</x:v>
      </x:c>
      <x:c r="Z288" s="48" t="str">
        <x:v>—/—/—/—</x:v>
      </x:c>
      <x:c r="AA288" s="48" t="str">
        <x:v>—/—/—/—</x:v>
      </x:c>
      <x:c r="AB288" s="48" t="str">
        <x:v>air,ground,enemy,neutral/air,ground,enemy,neutral/air,ground,enemy,neutral/air,ground,enemy,neutral</x:v>
      </x:c>
      <x:c r="AC288" s="48" t="str">
        <x:v>被动；被动；主分类：伤害；标签：伤害、被动触发；等级：4；魔耗：—/—/—/—；冷却：—/—/—/—；施法距离：—/—/—/—；作用范围：—/—/—/—；持续时间：—/—/—/—。</x:v>
      </x:c>
      <x:c r="AD288" s="48" t="str">
        <x:v>1 / 15% / 1.25 / 2 / 1.75 / 3 / 2.25 / 4 / 2.75</x:v>
      </x:c>
      <x:c r="AE288" s="48" t="str">
        <x:v>A</x:v>
      </x:c>
      <x:c r="AF288" s="48" t="str">
        <x:v>6.48b 地图内 UnitAbilities/AbilityData/AbilityStrings 与对象修改表</x:v>
      </x:c>
      <x:c r="AG288" s="18" t="str">
        <x:v>S1</x:v>
      </x:c>
    </x:row>
    <x:row r="289" ht="48" customHeight="1">
      <x:c r="A289" s="19" t="str">
        <x:v>NC00-4</x:v>
      </x:c>
      <x:c r="B289" s="19" t="str">
        <x:v>天灾军团</x:v>
      </x:c>
      <x:c r="C289" s="19" t="str">
        <x:v>傍晚酒馆</x:v>
      </x:c>
      <x:c r="D289" s="19" t="str">
        <x:v>骷髅王</x:v>
      </x:c>
      <x:c r="E289" s="19" t="str">
        <x:v>Skeleton King</x:v>
      </x:c>
      <x:c r="F289" s="19" t="str">
        <x:v>NC00</x:v>
      </x:c>
      <x:c r="G289" s="19" t="str">
        <x:v>King Leoric</x:v>
      </x:c>
      <x:c r="H289" s="19" t="str">
        <x:v>STR</x:v>
      </x:c>
      <x:c r="I289" s="19" t="str">
        <x:v>近战</x:v>
      </x:c>
      <x:c r="J289" s="19" t="n">
        <x:v>4</x:v>
      </x:c>
      <x:c r="K289" s="19" t="str">
        <x:v>Reincarnation</x:v>
      </x:c>
      <x:c r="L289" s="19" t="str">
        <x:v>A01Y</x:v>
      </x:c>
      <x:c r="M289" s="49" t="str">
        <x:v>是</x:v>
      </x:c>
      <x:c r="N289" s="49" t="n">
        <x:v>3</x:v>
      </x:c>
      <x:c r="O289" s="49" t="n">
        <x:v>6</x:v>
      </x:c>
      <x:c r="P289" s="49" t="n">
        <x:v>5</x:v>
      </x:c>
      <x:c r="Q289" s="19" t="str">
        <x:v>主动</x:v>
      </x:c>
      <x:c r="R289" s="19" t="str">
        <x:v>无目标或脚本目标</x:v>
      </x:c>
      <x:c r="S289" s="19" t="str">
        <x:v>复活/死亡</x:v>
      </x:c>
      <x:c r="T289" s="19" t="str">
        <x:v>复活/死亡</x:v>
      </x:c>
      <x:c r="U289" s="48" t="str">
        <x:v>主动；无目标或脚本目标；主分类：复活/死亡；标签：复活/死亡</x:v>
      </x:c>
      <x:c r="V289" s="48" t="str">
        <x:v>100/150/200</x:v>
      </x:c>
      <x:c r="W289" s="48" t="str">
        <x:v>300/220/140</x:v>
      </x:c>
      <x:c r="X289" s="48" t="str">
        <x:v>—/—/—</x:v>
      </x:c>
      <x:c r="Y289" s="48" t="str">
        <x:v>—/—/—</x:v>
      </x:c>
      <x:c r="Z289" s="48" t="str">
        <x:v>—/—/—</x:v>
      </x:c>
      <x:c r="AA289" s="48" t="str">
        <x:v>—/—/—</x:v>
      </x:c>
      <x:c r="AB289" s="48" t="str">
        <x:v>—/—/—</x:v>
      </x:c>
      <x:c r="AC289" s="48" t="str">
        <x:v>主动；无目标或脚本目标；主分类：复活/死亡；标签：复活/死亡；等级：3；魔耗：100/150/200；冷却：300/220/140；施法距离：—/—/—；作用范围：—/—/—；持续时间：—/—/—。</x:v>
      </x:c>
      <x:c r="AD289" s="48" t="str">
        <x:v>1 / 300 / 2 / 220 / 3 / 140</x:v>
      </x:c>
      <x:c r="AE289" s="48" t="str">
        <x:v>A</x:v>
      </x:c>
      <x:c r="AF289" s="48" t="str">
        <x:v>6.48b 地图内 UnitAbilities/AbilityData/AbilityStrings 与对象修改表</x:v>
      </x:c>
      <x:c r="AG289" s="18" t="str">
        <x:v>S1</x:v>
      </x:c>
    </x:row>
    <x:row r="290" ht="48" customHeight="1">
      <x:c r="A290" s="19" t="str">
        <x:v>N00B-1</x:v>
      </x:c>
      <x:c r="B290" s="19" t="str">
        <x:v>近卫军团</x:v>
      </x:c>
      <x:c r="C290" s="19" t="str">
        <x:v>黎明酒馆</x:v>
      </x:c>
      <x:c r="D290" s="19" t="str">
        <x:v>仙女龙</x:v>
      </x:c>
      <x:c r="E290" s="19" t="str">
        <x:v>Faerie Dragon</x:v>
      </x:c>
      <x:c r="F290" s="19" t="str">
        <x:v>N00B</x:v>
      </x:c>
      <x:c r="G290" s="19" t="str">
        <x:v>Puck</x:v>
      </x:c>
      <x:c r="H290" s="19" t="str">
        <x:v>INT</x:v>
      </x:c>
      <x:c r="I290" s="19" t="str">
        <x:v>远程</x:v>
      </x:c>
      <x:c r="J290" s="19" t="n">
        <x:v>1</x:v>
      </x:c>
      <x:c r="K290" s="19" t="str">
        <x:v>Waning Rift</x:v>
      </x:c>
      <x:c r="L290" s="19" t="str">
        <x:v>A0SC</x:v>
      </x:c>
      <x:c r="M290" s="49" t="str">
        <x:v>否</x:v>
      </x:c>
      <x:c r="N290" s="49" t="n">
        <x:v>4</x:v>
      </x:c>
      <x:c r="O290" s="49" t="n">
        <x:v>1</x:v>
      </x:c>
      <x:c r="P290" s="49" t="n">
        <x:v>2</x:v>
      </x:c>
      <x:c r="Q290" s="19" t="str">
        <x:v>主动</x:v>
      </x:c>
      <x:c r="R290" s="19" t="str">
        <x:v>无目标或脚本目标</x:v>
      </x:c>
      <x:c r="S290" s="19" t="str">
        <x:v>软控</x:v>
      </x:c>
      <x:c r="T290" s="19" t="str">
        <x:v>伤害、软控、资源机制</x:v>
      </x:c>
      <x:c r="U290" s="48" t="str">
        <x:v>主动；无目标或脚本目标；主分类：软控；标签：伤害、软控、资源机制</x:v>
      </x:c>
      <x:c r="V290" s="48" t="str">
        <x:v>100/110/120/130</x:v>
      </x:c>
      <x:c r="W290" s="48" t="str">
        <x:v>20/20/20/20</x:v>
      </x:c>
      <x:c r="X290" s="48" t="str">
        <x:v>500/500/500/500</x:v>
      </x:c>
      <x:c r="Y290" s="48" t="str">
        <x:v>—/—/—/—</x:v>
      </x:c>
      <x:c r="Z290" s="48" t="str">
        <x:v>—/—/—/—</x:v>
      </x:c>
      <x:c r="AA290" s="48" t="str">
        <x:v>—/—/—/—</x:v>
      </x:c>
      <x:c r="AB290" s="48" t="str">
        <x:v>—/—/—/—</x:v>
      </x:c>
      <x:c r="AC290" s="48" t="str">
        <x:v>主动；无目标或脚本目标；主分类：软控；标签：伤害、软控、资源机制；等级：4；魔耗：100/110/120/130；冷却：20/20/20/20；施法距离：500/500/500/500；作用范围：—/—/—/—；持续时间：—/—/—/—。</x:v>
      </x:c>
      <x:c r="AD290" s="48" t="str">
        <x:v>400 / 1 / 60 / 0.1 / 2 / 120 / 3 / 180 / 4 / 240 / 20 / 100 / 110 / 130</x:v>
      </x:c>
      <x:c r="AE290" s="48" t="str">
        <x:v>A</x:v>
      </x:c>
      <x:c r="AF290" s="48" t="str">
        <x:v>6.48b 地图内 UnitAbilities/AbilityData/AbilityStrings 与对象修改表</x:v>
      </x:c>
      <x:c r="AG290" s="18" t="str">
        <x:v>S1</x:v>
      </x:c>
    </x:row>
    <x:row r="291" ht="48" customHeight="1">
      <x:c r="A291" s="19" t="str">
        <x:v>N00B-2</x:v>
      </x:c>
      <x:c r="B291" s="19" t="str">
        <x:v>近卫军团</x:v>
      </x:c>
      <x:c r="C291" s="19" t="str">
        <x:v>黎明酒馆</x:v>
      </x:c>
      <x:c r="D291" s="19" t="str">
        <x:v>仙女龙</x:v>
      </x:c>
      <x:c r="E291" s="19" t="str">
        <x:v>Faerie Dragon</x:v>
      </x:c>
      <x:c r="F291" s="19" t="str">
        <x:v>N00B</x:v>
      </x:c>
      <x:c r="G291" s="19" t="str">
        <x:v>Puck</x:v>
      </x:c>
      <x:c r="H291" s="19" t="str">
        <x:v>INT</x:v>
      </x:c>
      <x:c r="I291" s="19" t="str">
        <x:v>远程</x:v>
      </x:c>
      <x:c r="J291" s="19" t="n">
        <x:v>2</x:v>
      </x:c>
      <x:c r="K291" s="19" t="str">
        <x:v>Phase Shift</x:v>
      </x:c>
      <x:c r="L291" s="19" t="str">
        <x:v>A0SB</x:v>
      </x:c>
      <x:c r="M291" s="49" t="str">
        <x:v>否</x:v>
      </x:c>
      <x:c r="N291" s="49" t="n">
        <x:v>4</x:v>
      </x:c>
      <x:c r="O291" s="49" t="n">
        <x:v>1</x:v>
      </x:c>
      <x:c r="P291" s="49" t="n">
        <x:v>2</x:v>
      </x:c>
      <x:c r="Q291" s="19" t="str">
        <x:v>开关/自动施放</x:v>
      </x:c>
      <x:c r="R291" s="19" t="str">
        <x:v>—</x:v>
      </x:c>
      <x:c r="S291" s="19" t="str">
        <x:v>资源机制</x:v>
      </x:c>
      <x:c r="T291" s="19" t="str">
        <x:v>伤害、资源机制</x:v>
      </x:c>
      <x:c r="U291" s="48" t="str">
        <x:v>开关/自动施放；—；主分类：资源机制；标签：伤害、资源机制</x:v>
      </x:c>
      <x:c r="V291" s="48" t="str">
        <x:v>50/40/30/20</x:v>
      </x:c>
      <x:c r="W291" s="48" t="str">
        <x:v>6/6/6/6</x:v>
      </x:c>
      <x:c r="X291" s="48" t="str">
        <x:v>—/—/—/—</x:v>
      </x:c>
      <x:c r="Y291" s="48" t="str">
        <x:v>—/—/—/—</x:v>
      </x:c>
      <x:c r="Z291" s="48" t="str">
        <x:v>0.75/1.5/2.25/3</x:v>
      </x:c>
      <x:c r="AA291" s="48" t="str">
        <x:v>0.75/1.5/2.25/3</x:v>
      </x:c>
      <x:c r="AB291" s="48" t="str">
        <x:v>—/—/—/—</x:v>
      </x:c>
      <x:c r="AC291" s="48" t="str">
        <x:v>开关/自动施放；—；主分类：资源机制；标签：伤害、资源机制；等级：4；魔耗：50/40/30/20；冷却：6/6/6/6；施法距离：—/—/—/—；作用范围：—/—/—/—；持续时间：0.75/1.5/2.25/3。</x:v>
      </x:c>
      <x:c r="AD291" s="48" t="str">
        <x:v>1 / 0.75 / 2 / 1.5 / 3 / 2.25 / 4 / 6 / 50 / 40 / 30 / 20</x:v>
      </x:c>
      <x:c r="AE291" s="48" t="str">
        <x:v>A</x:v>
      </x:c>
      <x:c r="AF291" s="48" t="str">
        <x:v>6.48b 地图内 UnitAbilities/AbilityData/AbilityStrings 与对象修改表</x:v>
      </x:c>
      <x:c r="AG291" s="18" t="str">
        <x:v>S1</x:v>
      </x:c>
    </x:row>
    <x:row r="292" ht="48" customHeight="1">
      <x:c r="A292" s="19" t="str">
        <x:v>N00B-3</x:v>
      </x:c>
      <x:c r="B292" s="19" t="str">
        <x:v>近卫军团</x:v>
      </x:c>
      <x:c r="C292" s="19" t="str">
        <x:v>黎明酒馆</x:v>
      </x:c>
      <x:c r="D292" s="19" t="str">
        <x:v>仙女龙</x:v>
      </x:c>
      <x:c r="E292" s="19" t="str">
        <x:v>Faerie Dragon</x:v>
      </x:c>
      <x:c r="F292" s="19" t="str">
        <x:v>N00B</x:v>
      </x:c>
      <x:c r="G292" s="19" t="str">
        <x:v>Puck</x:v>
      </x:c>
      <x:c r="H292" s="19" t="str">
        <x:v>INT</x:v>
      </x:c>
      <x:c r="I292" s="19" t="str">
        <x:v>远程</x:v>
      </x:c>
      <x:c r="J292" s="19" t="n">
        <x:v>3</x:v>
      </x:c>
      <x:c r="K292" s="19" t="str">
        <x:v>Dream Coil</x:v>
      </x:c>
      <x:c r="L292" s="19" t="str">
        <x:v>A0S8</x:v>
      </x:c>
      <x:c r="M292" s="49" t="str">
        <x:v>是</x:v>
      </x:c>
      <x:c r="N292" s="49" t="n">
        <x:v>3</x:v>
      </x:c>
      <x:c r="O292" s="49" t="n">
        <x:v>6</x:v>
      </x:c>
      <x:c r="P292" s="49" t="n">
        <x:v>5</x:v>
      </x:c>
      <x:c r="Q292" s="19" t="str">
        <x:v>主动</x:v>
      </x:c>
      <x:c r="R292" s="19" t="str">
        <x:v>无目标或脚本目标</x:v>
      </x:c>
      <x:c r="S292" s="19" t="str">
        <x:v>硬控</x:v>
      </x:c>
      <x:c r="T292" s="19" t="str">
        <x:v>伤害、硬控、资源机制、范围效果</x:v>
      </x:c>
      <x:c r="U292" s="48" t="str">
        <x:v>主动；无目标或脚本目标；主分类：硬控；标签：伤害、硬控、资源机制、范围效果</x:v>
      </x:c>
      <x:c r="V292" s="48" t="str">
        <x:v>100/150/200</x:v>
      </x:c>
      <x:c r="W292" s="48" t="str">
        <x:v>85/85/85</x:v>
      </x:c>
      <x:c r="X292" s="48" t="str">
        <x:v>750/750/750</x:v>
      </x:c>
      <x:c r="Y292" s="48" t="str">
        <x:v>380/380/380</x:v>
      </x:c>
      <x:c r="Z292" s="48" t="str">
        <x:v>—/—/—</x:v>
      </x:c>
      <x:c r="AA292" s="48" t="str">
        <x:v>—/—/—</x:v>
      </x:c>
      <x:c r="AB292" s="48" t="str">
        <x:v>debris,enemies,ground,neutral/debris,enemies,ground,neutral/debris,enemies,ground,neutral</x:v>
      </x:c>
      <x:c r="AC292" s="48" t="str">
        <x:v>主动；无目标或脚本目标；主分类：硬控；标签：伤害、硬控、资源机制、范围效果；等级：3；魔耗：100/150/200；冷却：85/85/85；施法距离：750/750/750；作用范围：380/380/380；持续时间：—/—/—。</x:v>
      </x:c>
      <x:c r="AD292" s="48" t="str">
        <x:v>600 / 5 / 1 / 100 / 0.5 / 1.5 / 2 / 150 / 2.25 / 3 / 200 / 85</x:v>
      </x:c>
      <x:c r="AE292" s="48" t="str">
        <x:v>A</x:v>
      </x:c>
      <x:c r="AF292" s="48" t="str">
        <x:v>6.48b 地图内 UnitAbilities/AbilityData/AbilityStrings 与对象修改表</x:v>
      </x:c>
      <x:c r="AG292" s="18" t="str">
        <x:v>S1</x:v>
      </x:c>
    </x:row>
    <x:row r="293" ht="48" customHeight="1">
      <x:c r="A293" s="19" t="str">
        <x:v>N00B-4</x:v>
      </x:c>
      <x:c r="B293" s="19" t="str">
        <x:v>近卫军团</x:v>
      </x:c>
      <x:c r="C293" s="19" t="str">
        <x:v>黎明酒馆</x:v>
      </x:c>
      <x:c r="D293" s="19" t="str">
        <x:v>仙女龙</x:v>
      </x:c>
      <x:c r="E293" s="19" t="str">
        <x:v>Faerie Dragon</x:v>
      </x:c>
      <x:c r="F293" s="19" t="str">
        <x:v>N00B</x:v>
      </x:c>
      <x:c r="G293" s="19" t="str">
        <x:v>Puck</x:v>
      </x:c>
      <x:c r="H293" s="19" t="str">
        <x:v>INT</x:v>
      </x:c>
      <x:c r="I293" s="19" t="str">
        <x:v>远程</x:v>
      </x:c>
      <x:c r="J293" s="19" t="n">
        <x:v>4</x:v>
      </x:c>
      <x:c r="K293" s="19" t="str">
        <x:v>Illusory Orb</x:v>
      </x:c>
      <x:c r="L293" s="19" t="str">
        <x:v>A0S9</x:v>
      </x:c>
      <x:c r="M293" s="49" t="str">
        <x:v>否</x:v>
      </x:c>
      <x:c r="N293" s="49" t="n">
        <x:v>4</x:v>
      </x:c>
      <x:c r="O293" s="49" t="n">
        <x:v>1</x:v>
      </x:c>
      <x:c r="P293" s="49" t="n">
        <x:v>2</x:v>
      </x:c>
      <x:c r="Q293" s="19" t="str">
        <x:v>主动</x:v>
      </x:c>
      <x:c r="R293" s="19" t="str">
        <x:v>无目标或脚本目标</x:v>
      </x:c>
      <x:c r="S293" s="19" t="str">
        <x:v>位移</x:v>
      </x:c>
      <x:c r="T293" s="19" t="str">
        <x:v>伤害、位移</x:v>
      </x:c>
      <x:c r="U293" s="48" t="str">
        <x:v>主动；无目标或脚本目标；主分类：位移；标签：伤害、位移</x:v>
      </x:c>
      <x:c r="V293" s="48" t="str">
        <x:v>125/125/125/125</x:v>
      </x:c>
      <x:c r="W293" s="48" t="str">
        <x:v>15/15/15/15</x:v>
      </x:c>
      <x:c r="X293" s="48" t="str">
        <x:v>3000/3000/3000/3000</x:v>
      </x:c>
      <x:c r="Y293" s="48" t="str">
        <x:v>—/—/—/—</x:v>
      </x:c>
      <x:c r="Z293" s="48" t="str">
        <x:v>—/—/—/—</x:v>
      </x:c>
      <x:c r="AA293" s="48" t="str">
        <x:v>—/—/—/—</x:v>
      </x:c>
      <x:c r="AB293" s="48" t="str">
        <x:v>air,enemies,ground,hero/air,enemies,ground,hero/air,enemies,ground,hero/air,enemies,ground,hero</x:v>
      </x:c>
      <x:c r="AC293" s="48" t="str">
        <x:v>主动；无目标或脚本目标；主分类：位移；标签：伤害、位移；等级：4；魔耗：125/125/125/125；冷却：15/15/15/15；施法距离：3000/3000/3000/3000；作用范围：—/—/—/—；持续时间：—/—/—/—。</x:v>
      </x:c>
      <x:c r="AD293" s="48" t="str">
        <x:v>1800 / 225 / 1 / 70 / 2 / 140 / 3 / 210 / 4 / 280 / 15</x:v>
      </x:c>
      <x:c r="AE293" s="48" t="str">
        <x:v>A</x:v>
      </x:c>
      <x:c r="AF293" s="48" t="str">
        <x:v>6.48b 地图内 UnitAbilities/AbilityData/AbilityStrings 与对象修改表</x:v>
      </x:c>
      <x:c r="AG293" s="18" t="str">
        <x:v>S1</x:v>
      </x:c>
    </x:row>
    <x:row r="294" ht="48" customHeight="1">
      <x:c r="A294" s="19" t="str">
        <x:v>E01Y-1</x:v>
      </x:c>
      <x:c r="B294" s="19" t="str">
        <x:v>近卫军团</x:v>
      </x:c>
      <x:c r="C294" s="19" t="str">
        <x:v>黎明酒馆</x:v>
      </x:c>
      <x:c r="D294" s="19" t="str">
        <x:v>圣堂刺客</x:v>
      </x:c>
      <x:c r="E294" s="19" t="str">
        <x:v>Templar Assassin</x:v>
      </x:c>
      <x:c r="F294" s="19" t="str">
        <x:v>E01Y</x:v>
      </x:c>
      <x:c r="G294" s="19" t="str">
        <x:v>Lanaya</x:v>
      </x:c>
      <x:c r="H294" s="19" t="str">
        <x:v>AGI</x:v>
      </x:c>
      <x:c r="I294" s="19" t="str">
        <x:v>远程</x:v>
      </x:c>
      <x:c r="J294" s="19" t="n">
        <x:v>1</x:v>
      </x:c>
      <x:c r="K294" s="19" t="str">
        <x:v>Meld</x:v>
      </x:c>
      <x:c r="L294" s="19" t="str">
        <x:v>A0RV</x:v>
      </x:c>
      <x:c r="M294" s="49" t="str">
        <x:v>否</x:v>
      </x:c>
      <x:c r="N294" s="49" t="n">
        <x:v>4</x:v>
      </x:c>
      <x:c r="O294" s="49" t="n">
        <x:v>1</x:v>
      </x:c>
      <x:c r="P294" s="49" t="n">
        <x:v>2</x:v>
      </x:c>
      <x:c r="Q294" s="19" t="str">
        <x:v>主动</x:v>
      </x:c>
      <x:c r="R294" s="19" t="str">
        <x:v>无目标或脚本目标</x:v>
      </x:c>
      <x:c r="S294" s="19" t="str">
        <x:v>防御/生存</x:v>
      </x:c>
      <x:c r="T294" s="19" t="str">
        <x:v>伤害、防御/生存、强化、削弱、资源机制</x:v>
      </x:c>
      <x:c r="U294" s="48" t="str">
        <x:v>主动；无目标或脚本目标；主分类：防御/生存；标签：伤害、防御/生存、强化、削弱、资源机制</x:v>
      </x:c>
      <x:c r="V294" s="48" t="str">
        <x:v>50/50/50/50</x:v>
      </x:c>
      <x:c r="W294" s="48" t="str">
        <x:v>7/7/7/7</x:v>
      </x:c>
      <x:c r="X294" s="48" t="str">
        <x:v>—/—/—/—</x:v>
      </x:c>
      <x:c r="Y294" s="48" t="str">
        <x:v>—/—/—/—</x:v>
      </x:c>
      <x:c r="Z294" s="48" t="str">
        <x:v>3600/3600/3600/3600</x:v>
      </x:c>
      <x:c r="AA294" s="48" t="str">
        <x:v>3600/3600/3600/3600</x:v>
      </x:c>
      <x:c r="AB294" s="48" t="str">
        <x:v>air,ground,enemy,neutral/air,ground,enemy,neutral/air,ground,enemy,neutral/air,ground,enemy,neutral</x:v>
      </x:c>
      <x:c r="AC294" s="48" t="str">
        <x:v>主动；无目标或脚本目标；主分类：防御/生存；标签：伤害、防御/生存、强化、削弱、资源机制；等级：4；魔耗：50/50/50/50；冷却：7/7/7/7；施法距离：—/—/—/—；作用范围：—/—/—/—；持续时间：3600/3600/3600/3600。</x:v>
      </x:c>
      <x:c r="AD294" s="48" t="str">
        <x:v>10 / 1 / 50 / -2 / 2 / 100 / -4 / 3 / 150 / -6 / 4 / 200 / -8 / 7 / 6 / 8</x:v>
      </x:c>
      <x:c r="AE294" s="48" t="str">
        <x:v>A</x:v>
      </x:c>
      <x:c r="AF294" s="48" t="str">
        <x:v>6.48b 地图内 UnitAbilities/AbilityData/AbilityStrings 与对象修改表</x:v>
      </x:c>
      <x:c r="AG294" s="18" t="str">
        <x:v>S1</x:v>
      </x:c>
    </x:row>
    <x:row r="295" ht="48" customHeight="1">
      <x:c r="A295" s="19" t="str">
        <x:v>E01Y-2</x:v>
      </x:c>
      <x:c r="B295" s="19" t="str">
        <x:v>近卫军团</x:v>
      </x:c>
      <x:c r="C295" s="19" t="str">
        <x:v>黎明酒馆</x:v>
      </x:c>
      <x:c r="D295" s="19" t="str">
        <x:v>圣堂刺客</x:v>
      </x:c>
      <x:c r="E295" s="19" t="str">
        <x:v>Templar Assassin</x:v>
      </x:c>
      <x:c r="F295" s="19" t="str">
        <x:v>E01Y</x:v>
      </x:c>
      <x:c r="G295" s="19" t="str">
        <x:v>Lanaya</x:v>
      </x:c>
      <x:c r="H295" s="19" t="str">
        <x:v>AGI</x:v>
      </x:c>
      <x:c r="I295" s="19" t="str">
        <x:v>远程</x:v>
      </x:c>
      <x:c r="J295" s="19" t="n">
        <x:v>2</x:v>
      </x:c>
      <x:c r="K295" s="19" t="str">
        <x:v>Psi Blades</x:v>
      </x:c>
      <x:c r="L295" s="19" t="str">
        <x:v>A0RO</x:v>
      </x:c>
      <x:c r="M295" s="49" t="str">
        <x:v>否</x:v>
      </x:c>
      <x:c r="N295" s="49" t="n">
        <x:v>4</x:v>
      </x:c>
      <x:c r="O295" s="49" t="n">
        <x:v>1</x:v>
      </x:c>
      <x:c r="P295" s="49" t="n">
        <x:v>2</x:v>
      </x:c>
      <x:c r="Q295" s="19" t="str">
        <x:v>被动/脚本触发</x:v>
      </x:c>
      <x:c r="R295" s="19" t="str">
        <x:v>被动</x:v>
      </x:c>
      <x:c r="S295" s="19" t="str">
        <x:v>强化</x:v>
      </x:c>
      <x:c r="T295" s="19" t="str">
        <x:v>强化、被动触发</x:v>
      </x:c>
      <x:c r="U295" s="48" t="str">
        <x:v>被动/脚本触发；被动；主分类：强化；标签：强化、被动触发</x:v>
      </x:c>
      <x:c r="V295" s="48" t="str">
        <x:v>—/—/—/—</x:v>
      </x:c>
      <x:c r="W295" s="48" t="str">
        <x:v>—/—/—/—</x:v>
      </x:c>
      <x:c r="X295" s="48" t="str">
        <x:v>—/—/—/—</x:v>
      </x:c>
      <x:c r="Y295" s="48" t="str">
        <x:v>—/—/—/—</x:v>
      </x:c>
      <x:c r="Z295" s="48" t="str">
        <x:v>—/—/—/—</x:v>
      </x:c>
      <x:c r="AA295" s="48" t="str">
        <x:v>—/—/—/—</x:v>
      </x:c>
      <x:c r="AB295" s="48" t="str">
        <x:v>—/—/—/—</x:v>
      </x:c>
      <x:c r="AC295" s="48" t="str">
        <x:v>被动/脚本触发；被动；主分类：强化；标签：强化、被动触发；等级：4；魔耗：—/—/—/—；冷却：—/—/—/—；施法距离：—/—/—/—；作用范围：—/—/—/—；持续时间：—/—/—/—。</x:v>
      </x:c>
      <x:c r="AD295" s="48" t="str">
        <x:v>1 / 40 / 60 / 2 / 80 / 120 / 3 / 180 / 4 / 160 / 240</x:v>
      </x:c>
      <x:c r="AE295" s="48" t="str">
        <x:v>A</x:v>
      </x:c>
      <x:c r="AF295" s="48" t="str">
        <x:v>6.48b 地图内 UnitAbilities/AbilityData/AbilityStrings 与对象修改表</x:v>
      </x:c>
      <x:c r="AG295" s="18" t="str">
        <x:v>S1</x:v>
      </x:c>
    </x:row>
    <x:row r="296" ht="48" customHeight="1">
      <x:c r="A296" s="19" t="str">
        <x:v>E01Y-3</x:v>
      </x:c>
      <x:c r="B296" s="19" t="str">
        <x:v>近卫军团</x:v>
      </x:c>
      <x:c r="C296" s="19" t="str">
        <x:v>黎明酒馆</x:v>
      </x:c>
      <x:c r="D296" s="19" t="str">
        <x:v>圣堂刺客</x:v>
      </x:c>
      <x:c r="E296" s="19" t="str">
        <x:v>Templar Assassin</x:v>
      </x:c>
      <x:c r="F296" s="19" t="str">
        <x:v>E01Y</x:v>
      </x:c>
      <x:c r="G296" s="19" t="str">
        <x:v>Lanaya</x:v>
      </x:c>
      <x:c r="H296" s="19" t="str">
        <x:v>AGI</x:v>
      </x:c>
      <x:c r="I296" s="19" t="str">
        <x:v>远程</x:v>
      </x:c>
      <x:c r="J296" s="19" t="n">
        <x:v>3</x:v>
      </x:c>
      <x:c r="K296" s="19" t="str">
        <x:v>Psionic Trap</x:v>
      </x:c>
      <x:c r="L296" s="19" t="str">
        <x:v>A0RP</x:v>
      </x:c>
      <x:c r="M296" s="49" t="str">
        <x:v>是</x:v>
      </x:c>
      <x:c r="N296" s="49" t="n">
        <x:v>3</x:v>
      </x:c>
      <x:c r="O296" s="49" t="n">
        <x:v>6</x:v>
      </x:c>
      <x:c r="P296" s="49" t="n">
        <x:v>5</x:v>
      </x:c>
      <x:c r="Q296" s="19" t="str">
        <x:v>主动</x:v>
      </x:c>
      <x:c r="R296" s="19" t="str">
        <x:v>无目标或脚本目标</x:v>
      </x:c>
      <x:c r="S296" s="19" t="str">
        <x:v>软控</x:v>
      </x:c>
      <x:c r="T296" s="19" t="str">
        <x:v>软控、资源机制</x:v>
      </x:c>
      <x:c r="U296" s="48" t="str">
        <x:v>主动；无目标或脚本目标；主分类：软控；标签：软控、资源机制</x:v>
      </x:c>
      <x:c r="V296" s="48" t="str">
        <x:v>15/15/15</x:v>
      </x:c>
      <x:c r="W296" s="48" t="str">
        <x:v>7/7/7</x:v>
      </x:c>
      <x:c r="X296" s="48" t="str">
        <x:v>2000/2000/2000</x:v>
      </x:c>
      <x:c r="Y296" s="48" t="str">
        <x:v>300/300/300</x:v>
      </x:c>
      <x:c r="Z296" s="48" t="str">
        <x:v>—/—/—</x:v>
      </x:c>
      <x:c r="AA296" s="48" t="str">
        <x:v>—/—/—</x:v>
      </x:c>
      <x:c r="AB296" s="48" t="str">
        <x:v>debris,ground,neutral/debris,ground,neutral/debris,ground,neutral</x:v>
      </x:c>
      <x:c r="AC296" s="48" t="str">
        <x:v>主动；无目标或脚本目标；主分类：软控；标签：软控、资源机制；等级：3；魔耗：15/15/15；冷却：7/7/7；施法距离：2000/2000/2000；作用范围：300/300/300；持续时间：—/—/—。</x:v>
      </x:c>
      <x:c r="AD296" s="48" t="str">
        <x:v>400 / 50% / 1 / 5 / 2 / 8 / 3 / 11 / 7 / 15</x:v>
      </x:c>
      <x:c r="AE296" s="48" t="str">
        <x:v>A</x:v>
      </x:c>
      <x:c r="AF296" s="48" t="str">
        <x:v>6.48b 地图内 UnitAbilities/AbilityData/AbilityStrings 与对象修改表</x:v>
      </x:c>
      <x:c r="AG296" s="18" t="str">
        <x:v>S1</x:v>
      </x:c>
    </x:row>
    <x:row r="297" ht="48" customHeight="1">
      <x:c r="A297" s="19" t="str">
        <x:v>E01Y-4</x:v>
      </x:c>
      <x:c r="B297" s="19" t="str">
        <x:v>近卫军团</x:v>
      </x:c>
      <x:c r="C297" s="19" t="str">
        <x:v>黎明酒馆</x:v>
      </x:c>
      <x:c r="D297" s="19" t="str">
        <x:v>圣堂刺客</x:v>
      </x:c>
      <x:c r="E297" s="19" t="str">
        <x:v>Templar Assassin</x:v>
      </x:c>
      <x:c r="F297" s="19" t="str">
        <x:v>E01Y</x:v>
      </x:c>
      <x:c r="G297" s="19" t="str">
        <x:v>Lanaya</x:v>
      </x:c>
      <x:c r="H297" s="19" t="str">
        <x:v>AGI</x:v>
      </x:c>
      <x:c r="I297" s="19" t="str">
        <x:v>远程</x:v>
      </x:c>
      <x:c r="J297" s="19" t="n">
        <x:v>4</x:v>
      </x:c>
      <x:c r="K297" s="19" t="str">
        <x:v>Refraction</x:v>
      </x:c>
      <x:c r="L297" s="19" t="str">
        <x:v>A0RE</x:v>
      </x:c>
      <x:c r="M297" s="49" t="str">
        <x:v>否</x:v>
      </x:c>
      <x:c r="N297" s="49" t="n">
        <x:v>4</x:v>
      </x:c>
      <x:c r="O297" s="49" t="n">
        <x:v>1</x:v>
      </x:c>
      <x:c r="P297" s="49" t="n">
        <x:v>2</x:v>
      </x:c>
      <x:c r="Q297" s="19" t="str">
        <x:v>主动</x:v>
      </x:c>
      <x:c r="R297" s="19" t="str">
        <x:v>无目标或脚本目标</x:v>
      </x:c>
      <x:c r="S297" s="19" t="str">
        <x:v>强化</x:v>
      </x:c>
      <x:c r="T297" s="19" t="str">
        <x:v>伤害、强化、资源机制</x:v>
      </x:c>
      <x:c r="U297" s="48" t="str">
        <x:v>主动；无目标或脚本目标；主分类：强化；标签：伤害、强化、资源机制</x:v>
      </x:c>
      <x:c r="V297" s="48" t="str">
        <x:v>75/75/75/75</x:v>
      </x:c>
      <x:c r="W297" s="48" t="str">
        <x:v>23/23/23/23</x:v>
      </x:c>
      <x:c r="X297" s="48" t="str">
        <x:v>500/500/500/500</x:v>
      </x:c>
      <x:c r="Y297" s="48" t="str">
        <x:v>—/—/—/—</x:v>
      </x:c>
      <x:c r="Z297" s="48" t="str">
        <x:v>—/—/—/—</x:v>
      </x:c>
      <x:c r="AA297" s="48" t="str">
        <x:v>—/—/—/—</x:v>
      </x:c>
      <x:c r="AB297" s="48" t="str">
        <x:v>—/—/—/—</x:v>
      </x:c>
      <x:c r="AC297" s="48" t="str">
        <x:v>主动；无目标或脚本目标；主分类：强化；标签：伤害、强化、资源机制；等级：4；魔耗：75/75/75/75；冷却：23/23/23/23；施法距离：500/500/500/500；作用范围：—/—/—/—；持续时间：—/—/—/—。</x:v>
      </x:c>
      <x:c r="AD297" s="48" t="str">
        <x:v>20 / 1 / 2 / 40 / 3 / 60 / 4 / 80 / 5 / 23 / 75</x:v>
      </x:c>
      <x:c r="AE297" s="48" t="str">
        <x:v>A</x:v>
      </x:c>
      <x:c r="AF297" s="48" t="str">
        <x:v>6.48b 地图内 UnitAbilities/AbilityData/AbilityStrings 与对象修改表</x:v>
      </x:c>
      <x:c r="AG297" s="18" t="str">
        <x:v>S1</x:v>
      </x:c>
    </x:row>
    <x:row r="298" ht="48" customHeight="1">
      <x:c r="A298" s="19" t="str">
        <x:v>H00Q-1</x:v>
      </x:c>
      <x:c r="B298" s="19" t="str">
        <x:v>近卫军团</x:v>
      </x:c>
      <x:c r="C298" s="19" t="str">
        <x:v>黎明酒馆</x:v>
      </x:c>
      <x:c r="D298" s="19" t="str">
        <x:v>神灵武士</x:v>
      </x:c>
      <x:c r="E298" s="19" t="str">
        <x:v>Sacred Warrior</x:v>
      </x:c>
      <x:c r="F298" s="19" t="str">
        <x:v>H00Q</x:v>
      </x:c>
      <x:c r="G298" s="19" t="str">
        <x:v>Huskar</x:v>
      </x:c>
      <x:c r="H298" s="19" t="str">
        <x:v>STR</x:v>
      </x:c>
      <x:c r="I298" s="19" t="str">
        <x:v>远程</x:v>
      </x:c>
      <x:c r="J298" s="19" t="n">
        <x:v>1</x:v>
      </x:c>
      <x:c r="K298" s="19" t="str">
        <x:v>Burning Spear</x:v>
      </x:c>
      <x:c r="L298" s="19" t="str">
        <x:v>A0QN</x:v>
      </x:c>
      <x:c r="M298" s="49" t="str">
        <x:v>否</x:v>
      </x:c>
      <x:c r="N298" s="49" t="n">
        <x:v>4</x:v>
      </x:c>
      <x:c r="O298" s="49" t="n">
        <x:v>1</x:v>
      </x:c>
      <x:c r="P298" s="49" t="n">
        <x:v>2</x:v>
      </x:c>
      <x:c r="Q298" s="19" t="str">
        <x:v>开关/自动施放</x:v>
      </x:c>
      <x:c r="R298" s="19" t="str">
        <x:v>—</x:v>
      </x:c>
      <x:c r="S298" s="19" t="str">
        <x:v>治疗/回复</x:v>
      </x:c>
      <x:c r="T298" s="19" t="str">
        <x:v>伤害、治疗/回复</x:v>
      </x:c>
      <x:c r="U298" s="48" t="str">
        <x:v>开关/自动施放；—；主分类：治疗/回复；标签：伤害、治疗/回复</x:v>
      </x:c>
      <x:c r="V298" s="48" t="str">
        <x:v>—/—/—/—</x:v>
      </x:c>
      <x:c r="W298" s="48" t="str">
        <x:v>—/—/—/—</x:v>
      </x:c>
      <x:c r="X298" s="48" t="str">
        <x:v>450/450/450/450</x:v>
      </x:c>
      <x:c r="Y298" s="48" t="str">
        <x:v>—/—/—/—</x:v>
      </x:c>
      <x:c r="Z298" s="48" t="str">
        <x:v>1/1/1/1</x:v>
      </x:c>
      <x:c r="AA298" s="48" t="str">
        <x:v>1/1/1/1</x:v>
      </x:c>
      <x:c r="AB298" s="48" t="str">
        <x:v>air,enemies,ground,organic/air,enemies,ground,organic/air,enemies,ground,organic/air,enemies,ground,organic</x:v>
      </x:c>
      <x:c r="AC298" s="48" t="str">
        <x:v>开关/自动施放；—；主分类：治疗/回复；标签：伤害、治疗/回复；等级：4；魔耗：—/—/—/—；冷却：—/—/—/—；施法距离：450/450/450/450；作用范围：—/—/—/—；持续时间：1/1/1/1。</x:v>
      </x:c>
      <x:c r="AD298" s="48" t="str">
        <x:v>100 / 5 / 6 / 1 / 2 / 8 / 3 / 10 / 4 / 12 / 0 / 15</x:v>
      </x:c>
      <x:c r="AE298" s="48" t="str">
        <x:v>A</x:v>
      </x:c>
      <x:c r="AF298" s="48" t="str">
        <x:v>6.48b 地图内 UnitAbilities/AbilityData/AbilityStrings 与对象修改表</x:v>
      </x:c>
      <x:c r="AG298" s="18" t="str">
        <x:v>S1</x:v>
      </x:c>
    </x:row>
    <x:row r="299" ht="48" customHeight="1">
      <x:c r="A299" s="19" t="str">
        <x:v>H00Q-2</x:v>
      </x:c>
      <x:c r="B299" s="19" t="str">
        <x:v>近卫军团</x:v>
      </x:c>
      <x:c r="C299" s="19" t="str">
        <x:v>黎明酒馆</x:v>
      </x:c>
      <x:c r="D299" s="19" t="str">
        <x:v>神灵武士</x:v>
      </x:c>
      <x:c r="E299" s="19" t="str">
        <x:v>Sacred Warrior</x:v>
      </x:c>
      <x:c r="F299" s="19" t="str">
        <x:v>H00Q</x:v>
      </x:c>
      <x:c r="G299" s="19" t="str">
        <x:v>Huskar</x:v>
      </x:c>
      <x:c r="H299" s="19" t="str">
        <x:v>STR</x:v>
      </x:c>
      <x:c r="I299" s="19" t="str">
        <x:v>远程</x:v>
      </x:c>
      <x:c r="J299" s="19" t="n">
        <x:v>2</x:v>
      </x:c>
      <x:c r="K299" s="19" t="str">
        <x:v>Berserker's Blood</x:v>
      </x:c>
      <x:c r="L299" s="19" t="str">
        <x:v>A0QQ</x:v>
      </x:c>
      <x:c r="M299" s="49" t="str">
        <x:v>否</x:v>
      </x:c>
      <x:c r="N299" s="49" t="n">
        <x:v>4</x:v>
      </x:c>
      <x:c r="O299" s="49" t="n">
        <x:v>1</x:v>
      </x:c>
      <x:c r="P299" s="49" t="n">
        <x:v>2</x:v>
      </x:c>
      <x:c r="Q299" s="19" t="str">
        <x:v>主动</x:v>
      </x:c>
      <x:c r="R299" s="19" t="str">
        <x:v>无目标或脚本目标</x:v>
      </x:c>
      <x:c r="S299" s="19" t="str">
        <x:v>治疗/回复</x:v>
      </x:c>
      <x:c r="T299" s="19" t="str">
        <x:v>伤害、软控、治疗/回复、强化、持续施法</x:v>
      </x:c>
      <x:c r="U299" s="48" t="str">
        <x:v>主动；无目标或脚本目标；主分类：治疗/回复；标签：伤害、软控、治疗/回复、强化、持续施法</x:v>
      </x:c>
      <x:c r="V299" s="48" t="str">
        <x:v>—/—/—/—</x:v>
      </x:c>
      <x:c r="W299" s="48" t="str">
        <x:v>—/—/—/—</x:v>
      </x:c>
      <x:c r="X299" s="48" t="str">
        <x:v>—/—/—/—</x:v>
      </x:c>
      <x:c r="Y299" s="48" t="str">
        <x:v>—/—/—/—</x:v>
      </x:c>
      <x:c r="Z299" s="48" t="str">
        <x:v>—/—/—/—</x:v>
      </x:c>
      <x:c r="AA299" s="48" t="str">
        <x:v>—/—/—/—</x:v>
      </x:c>
      <x:c r="AB299" s="48" t="str">
        <x:v>—/—/—/—</x:v>
      </x:c>
      <x:c r="AC299" s="48" t="str">
        <x:v>主动；无目标或脚本目标；主分类：治疗/回复；标签：伤害、软控、治疗/回复、强化、持续施法；等级：4；魔耗：—/—/—/—；冷却：—/—/—/—；施法距离：—/—/—/—；作用范围：—/—/—/—；持续时间：—/—/—/—。</x:v>
      </x:c>
      <x:c r="AD299" s="48" t="str">
        <x:v>7% / 7 / 1 / 2% / 2 / 4% / 4 / 3 / 6% / 6 / 8% / 8</x:v>
      </x:c>
      <x:c r="AE299" s="48" t="str">
        <x:v>A</x:v>
      </x:c>
      <x:c r="AF299" s="48" t="str">
        <x:v>6.48b 地图内 UnitAbilities/AbilityData/AbilityStrings 与对象修改表</x:v>
      </x:c>
      <x:c r="AG299" s="18" t="str">
        <x:v>S1</x:v>
      </x:c>
    </x:row>
    <x:row r="300" ht="48" customHeight="1">
      <x:c r="A300" s="19" t="str">
        <x:v>H00Q-3</x:v>
      </x:c>
      <x:c r="B300" s="19" t="str">
        <x:v>近卫军团</x:v>
      </x:c>
      <x:c r="C300" s="19" t="str">
        <x:v>黎明酒馆</x:v>
      </x:c>
      <x:c r="D300" s="19" t="str">
        <x:v>神灵武士</x:v>
      </x:c>
      <x:c r="E300" s="19" t="str">
        <x:v>Sacred Warrior</x:v>
      </x:c>
      <x:c r="F300" s="19" t="str">
        <x:v>H00Q</x:v>
      </x:c>
      <x:c r="G300" s="19" t="str">
        <x:v>Huskar</x:v>
      </x:c>
      <x:c r="H300" s="19" t="str">
        <x:v>STR</x:v>
      </x:c>
      <x:c r="I300" s="19" t="str">
        <x:v>远程</x:v>
      </x:c>
      <x:c r="J300" s="19" t="n">
        <x:v>3</x:v>
      </x:c>
      <x:c r="K300" s="19" t="str">
        <x:v>Life Break</x:v>
      </x:c>
      <x:c r="L300" s="19" t="str">
        <x:v>A0QR</x:v>
      </x:c>
      <x:c r="M300" s="49" t="str">
        <x:v>是</x:v>
      </x:c>
      <x:c r="N300" s="49" t="n">
        <x:v>3</x:v>
      </x:c>
      <x:c r="O300" s="49" t="n">
        <x:v>6</x:v>
      </x:c>
      <x:c r="P300" s="49" t="n">
        <x:v>5</x:v>
      </x:c>
      <x:c r="Q300" s="19" t="str">
        <x:v>主动</x:v>
      </x:c>
      <x:c r="R300" s="19" t="str">
        <x:v>无目标或脚本目标</x:v>
      </x:c>
      <x:c r="S300" s="19" t="str">
        <x:v>软控</x:v>
      </x:c>
      <x:c r="T300" s="19" t="str">
        <x:v>伤害、软控</x:v>
      </x:c>
      <x:c r="U300" s="48" t="str">
        <x:v>主动；无目标或脚本目标；主分类：软控；标签：伤害、软控</x:v>
      </x:c>
      <x:c r="V300" s="48" t="str">
        <x:v>—/—/—</x:v>
      </x:c>
      <x:c r="W300" s="48" t="str">
        <x:v>45/45/45</x:v>
      </x:c>
      <x:c r="X300" s="48" t="str">
        <x:v>135/135/135</x:v>
      </x:c>
      <x:c r="Y300" s="48" t="str">
        <x:v>—/—/—</x:v>
      </x:c>
      <x:c r="Z300" s="48" t="str">
        <x:v>—/—/—</x:v>
      </x:c>
      <x:c r="AA300" s="48" t="str">
        <x:v>—/—/—</x:v>
      </x:c>
      <x:c r="AB300" s="48" t="str">
        <x:v>air,ground,enemy,organic,neutral/air,ground,enemy,organic,neutral/air,ground,enemy,organic,neutral</x:v>
      </x:c>
      <x:c r="AC300" s="48" t="str">
        <x:v>主动；无目标或脚本目标；主分类：软控；标签：伤害、软控；等级：3；魔耗：—/—/—；冷却：45/45/45；施法距离：135/135/135；作用范围：—/—/—；持续时间：—/—/—。</x:v>
      </x:c>
      <x:c r="AD300" s="48" t="str">
        <x:v>40% / 50% / 5 / 1 / 2 / 33% / 3 / 25% / 45</x:v>
      </x:c>
      <x:c r="AE300" s="48" t="str">
        <x:v>A</x:v>
      </x:c>
      <x:c r="AF300" s="48" t="str">
        <x:v>6.48b 地图内 UnitAbilities/AbilityData/AbilityStrings 与对象修改表</x:v>
      </x:c>
      <x:c r="AG300" s="18" t="str">
        <x:v>S1</x:v>
      </x:c>
    </x:row>
    <x:row r="301" ht="48" customHeight="1">
      <x:c r="A301" s="19" t="str">
        <x:v>H00Q-4</x:v>
      </x:c>
      <x:c r="B301" s="19" t="str">
        <x:v>近卫军团</x:v>
      </x:c>
      <x:c r="C301" s="19" t="str">
        <x:v>黎明酒馆</x:v>
      </x:c>
      <x:c r="D301" s="19" t="str">
        <x:v>神灵武士</x:v>
      </x:c>
      <x:c r="E301" s="19" t="str">
        <x:v>Sacred Warrior</x:v>
      </x:c>
      <x:c r="F301" s="19" t="str">
        <x:v>H00Q</x:v>
      </x:c>
      <x:c r="G301" s="19" t="str">
        <x:v>Huskar</x:v>
      </x:c>
      <x:c r="H301" s="19" t="str">
        <x:v>STR</x:v>
      </x:c>
      <x:c r="I301" s="19" t="str">
        <x:v>远程</x:v>
      </x:c>
      <x:c r="J301" s="19" t="n">
        <x:v>4</x:v>
      </x:c>
      <x:c r="K301" s="19" t="str">
        <x:v>Inner Vitality</x:v>
      </x:c>
      <x:c r="L301" s="19" t="str">
        <x:v>A0QP</x:v>
      </x:c>
      <x:c r="M301" s="49" t="str">
        <x:v>否</x:v>
      </x:c>
      <x:c r="N301" s="49" t="n">
        <x:v>4</x:v>
      </x:c>
      <x:c r="O301" s="49" t="n">
        <x:v>1</x:v>
      </x:c>
      <x:c r="P301" s="49" t="n">
        <x:v>2</x:v>
      </x:c>
      <x:c r="Q301" s="19" t="str">
        <x:v>主动</x:v>
      </x:c>
      <x:c r="R301" s="19" t="str">
        <x:v>单位目标</x:v>
      </x:c>
      <x:c r="S301" s="19" t="str">
        <x:v>治疗/回复</x:v>
      </x:c>
      <x:c r="T301" s="19" t="str">
        <x:v>治疗/回复、资源机制</x:v>
      </x:c>
      <x:c r="U301" s="48" t="str">
        <x:v>主动；单位目标；主分类：治疗/回复；标签：治疗/回复、资源机制</x:v>
      </x:c>
      <x:c r="V301" s="48" t="str">
        <x:v>170/170/170/170</x:v>
      </x:c>
      <x:c r="W301" s="48" t="str">
        <x:v>30/30/30/30</x:v>
      </x:c>
      <x:c r="X301" s="48" t="str">
        <x:v>400/400/400/400</x:v>
      </x:c>
      <x:c r="Y301" s="48" t="str">
        <x:v>—/—/—/—</x:v>
      </x:c>
      <x:c r="Z301" s="48" t="str">
        <x:v>—/—/—/—</x:v>
      </x:c>
      <x:c r="AA301" s="48" t="str">
        <x:v>—/—/—/—</x:v>
      </x:c>
      <x:c r="AB301" s="48" t="str">
        <x:v>air,friend,ground,nonancient,self/air,friend,ground,nonancient,self/air,friend,ground,nonancient,self/air,friend,ground,nonancient,self</x:v>
      </x:c>
      <x:c r="AC301" s="48" t="str">
        <x:v>主动；单位目标；主分类：治疗/回复；标签：治疗/回复、资源机制；等级：4；魔耗：170/170/170/170；冷却：30/30/30/30；施法距离：400/400/400/400；作用范围：—/—/—/—；持续时间：—/—/—/—。</x:v>
      </x:c>
      <x:c r="AD301" s="48" t="str">
        <x:v>40% / 16 / 1 / 5 / 15 / 2 / 10 / 30 / 4 / 3 / 45 / 6 / 20 / 60 / 8 / 170</x:v>
      </x:c>
      <x:c r="AE301" s="48" t="str">
        <x:v>A</x:v>
      </x:c>
      <x:c r="AF301" s="48" t="str">
        <x:v>6.48b 地图内 UnitAbilities/AbilityData/AbilityStrings 与对象修改表</x:v>
      </x:c>
      <x:c r="AG301" s="18" t="str">
        <x:v>S1</x:v>
      </x:c>
    </x:row>
    <x:row r="302" ht="48" customHeight="1">
      <x:c r="A302" s="19" t="str">
        <x:v>H00S-1</x:v>
      </x:c>
      <x:c r="B302" s="19" t="str">
        <x:v>近卫军团</x:v>
      </x:c>
      <x:c r="C302" s="19" t="str">
        <x:v>黎明酒馆</x:v>
      </x:c>
      <x:c r="D302" s="19" t="str">
        <x:v>风暴之灵</x:v>
      </x:c>
      <x:c r="E302" s="19" t="str">
        <x:v>Storm Spirit</x:v>
      </x:c>
      <x:c r="F302" s="19" t="str">
        <x:v>H00S</x:v>
      </x:c>
      <x:c r="G302" s="19" t="str">
        <x:v>Raijin Thunderkeg</x:v>
      </x:c>
      <x:c r="H302" s="19" t="str">
        <x:v>INT</x:v>
      </x:c>
      <x:c r="I302" s="19" t="str">
        <x:v>远程</x:v>
      </x:c>
      <x:c r="J302" s="19" t="n">
        <x:v>1</x:v>
      </x:c>
      <x:c r="K302" s="19" t="str">
        <x:v>Electric Rave</x:v>
      </x:c>
      <x:c r="L302" s="19" t="str">
        <x:v>A0QY</x:v>
      </x:c>
      <x:c r="M302" s="49" t="str">
        <x:v>否</x:v>
      </x:c>
      <x:c r="N302" s="49" t="n">
        <x:v>4</x:v>
      </x:c>
      <x:c r="O302" s="49" t="n">
        <x:v>1</x:v>
      </x:c>
      <x:c r="P302" s="49" t="n">
        <x:v>2</x:v>
      </x:c>
      <x:c r="Q302" s="19" t="str">
        <x:v>主动</x:v>
      </x:c>
      <x:c r="R302" s="19" t="str">
        <x:v>无目标或脚本目标</x:v>
      </x:c>
      <x:c r="S302" s="19" t="str">
        <x:v>软控</x:v>
      </x:c>
      <x:c r="T302" s="19" t="str">
        <x:v>软控、强化、削弱、资源机制</x:v>
      </x:c>
      <x:c r="U302" s="48" t="str">
        <x:v>主动；无目标或脚本目标；主分类：软控；标签：软控、强化、削弱、资源机制</x:v>
      </x:c>
      <x:c r="V302" s="48" t="str">
        <x:v>3/6/9/12</x:v>
      </x:c>
      <x:c r="W302" s="48" t="str">
        <x:v>2/2/2/2</x:v>
      </x:c>
      <x:c r="X302" s="48" t="str">
        <x:v>—/—/—/—</x:v>
      </x:c>
      <x:c r="Y302" s="48" t="str">
        <x:v>—/—/—/—</x:v>
      </x:c>
      <x:c r="Z302" s="48" t="str">
        <x:v>1/1/1/1</x:v>
      </x:c>
      <x:c r="AA302" s="48" t="str">
        <x:v>1/1/1/1</x:v>
      </x:c>
      <x:c r="AB302" s="48" t="str">
        <x:v>none/none/none/none</x:v>
      </x:c>
      <x:c r="AC302" s="48" t="str">
        <x:v>主动；无目标或脚本目标；主分类：软控；标签：软控、强化、削弱、资源机制；等级：4；魔耗：3/6/9/12；冷却：2/2/2/2；施法距离：—/—/—/—；作用范围：—/—/—/—；持续时间：1/1/1/1。</x:v>
      </x:c>
      <x:c r="AD302" s="48" t="str">
        <x:v>1 / 20% / 2 / 40% / 3 / 60% / 4 / 80% / 6 / 9 / 12 / 15</x:v>
      </x:c>
      <x:c r="AE302" s="48" t="str">
        <x:v>A</x:v>
      </x:c>
      <x:c r="AF302" s="48" t="str">
        <x:v>6.48b 地图内 UnitAbilities/AbilityData/AbilityStrings 与对象修改表</x:v>
      </x:c>
      <x:c r="AG302" s="18" t="str">
        <x:v>S1</x:v>
      </x:c>
    </x:row>
    <x:row r="303" ht="48" customHeight="1">
      <x:c r="A303" s="19" t="str">
        <x:v>H00S-2</x:v>
      </x:c>
      <x:c r="B303" s="19" t="str">
        <x:v>近卫军团</x:v>
      </x:c>
      <x:c r="C303" s="19" t="str">
        <x:v>黎明酒馆</x:v>
      </x:c>
      <x:c r="D303" s="19" t="str">
        <x:v>风暴之灵</x:v>
      </x:c>
      <x:c r="E303" s="19" t="str">
        <x:v>Storm Spirit</x:v>
      </x:c>
      <x:c r="F303" s="19" t="str">
        <x:v>H00S</x:v>
      </x:c>
      <x:c r="G303" s="19" t="str">
        <x:v>Raijin Thunderkeg</x:v>
      </x:c>
      <x:c r="H303" s="19" t="str">
        <x:v>INT</x:v>
      </x:c>
      <x:c r="I303" s="19" t="str">
        <x:v>远程</x:v>
      </x:c>
      <x:c r="J303" s="19" t="n">
        <x:v>2</x:v>
      </x:c>
      <x:c r="K303" s="19" t="str">
        <x:v>Barrier</x:v>
      </x:c>
      <x:c r="L303" s="19" t="str">
        <x:v>A0R6</x:v>
      </x:c>
      <x:c r="M303" s="49" t="str">
        <x:v>否</x:v>
      </x:c>
      <x:c r="N303" s="49" t="n">
        <x:v>4</x:v>
      </x:c>
      <x:c r="O303" s="49" t="n">
        <x:v>1</x:v>
      </x:c>
      <x:c r="P303" s="49" t="n">
        <x:v>2</x:v>
      </x:c>
      <x:c r="Q303" s="19" t="str">
        <x:v>主动</x:v>
      </x:c>
      <x:c r="R303" s="19" t="str">
        <x:v>单位目标</x:v>
      </x:c>
      <x:c r="S303" s="19" t="str">
        <x:v>位移</x:v>
      </x:c>
      <x:c r="T303" s="19" t="str">
        <x:v>伤害、位移、资源机制</x:v>
      </x:c>
      <x:c r="U303" s="48" t="str">
        <x:v>主动；单位目标；主分类：位移；标签：伤害、位移、资源机制</x:v>
      </x:c>
      <x:c r="V303" s="48" t="str">
        <x:v>75/75/75/75</x:v>
      </x:c>
      <x:c r="W303" s="48" t="str">
        <x:v>20/20/20/20</x:v>
      </x:c>
      <x:c r="X303" s="48" t="str">
        <x:v>500/500/500/500</x:v>
      </x:c>
      <x:c r="Y303" s="48" t="str">
        <x:v>—/—/—/—</x:v>
      </x:c>
      <x:c r="Z303" s="48" t="str">
        <x:v>20/20/20/20</x:v>
      </x:c>
      <x:c r="AA303" s="48" t="str">
        <x:v>20/20/20/20</x:v>
      </x:c>
      <x:c r="AB303" s="48" t="str">
        <x:v>air,ground,vuln,invu,friend,self/air,ground,vuln,invu,friend,self/air,ground,vuln,invu,friend,self/air,ground,vuln,invu,friend,self</x:v>
      </x:c>
      <x:c r="AC303" s="48" t="str">
        <x:v>主动；单位目标；主分类：位移；标签：伤害、位移、资源机制；等级：4；魔耗：75/75/75/75；冷却：20/20/20/20；施法距离：500/500/500/500；作用范围：—/—/—/—；持续时间：20/20/20/20。</x:v>
      </x:c>
      <x:c r="AD303" s="48" t="str">
        <x:v>20 / 1 / 150 / 2 / 300 / 3 / 450 / 4 / 600 / 75</x:v>
      </x:c>
      <x:c r="AE303" s="48" t="str">
        <x:v>A</x:v>
      </x:c>
      <x:c r="AF303" s="48" t="str">
        <x:v>6.48b 地图内 UnitAbilities/AbilityData/AbilityStrings 与对象修改表</x:v>
      </x:c>
      <x:c r="AG303" s="18" t="str">
        <x:v>S1</x:v>
      </x:c>
    </x:row>
    <x:row r="304" ht="48" customHeight="1">
      <x:c r="A304" s="19" t="str">
        <x:v>H00S-3</x:v>
      </x:c>
      <x:c r="B304" s="19" t="str">
        <x:v>近卫军团</x:v>
      </x:c>
      <x:c r="C304" s="19" t="str">
        <x:v>黎明酒馆</x:v>
      </x:c>
      <x:c r="D304" s="19" t="str">
        <x:v>风暴之灵</x:v>
      </x:c>
      <x:c r="E304" s="19" t="str">
        <x:v>Storm Spirit</x:v>
      </x:c>
      <x:c r="F304" s="19" t="str">
        <x:v>H00S</x:v>
      </x:c>
      <x:c r="G304" s="19" t="str">
        <x:v>Raijin Thunderkeg</x:v>
      </x:c>
      <x:c r="H304" s="19" t="str">
        <x:v>INT</x:v>
      </x:c>
      <x:c r="I304" s="19" t="str">
        <x:v>远程</x:v>
      </x:c>
      <x:c r="J304" s="19" t="n">
        <x:v>3</x:v>
      </x:c>
      <x:c r="K304" s="19" t="str">
        <x:v>Overload</x:v>
      </x:c>
      <x:c r="L304" s="19" t="str">
        <x:v>A0QW</x:v>
      </x:c>
      <x:c r="M304" s="49" t="str">
        <x:v>否</x:v>
      </x:c>
      <x:c r="N304" s="49" t="n">
        <x:v>4</x:v>
      </x:c>
      <x:c r="O304" s="49" t="n">
        <x:v>1</x:v>
      </x:c>
      <x:c r="P304" s="49" t="n">
        <x:v>2</x:v>
      </x:c>
      <x:c r="Q304" s="19" t="str">
        <x:v>被动/脚本触发</x:v>
      </x:c>
      <x:c r="R304" s="19" t="str">
        <x:v>被动</x:v>
      </x:c>
      <x:c r="S304" s="19" t="str">
        <x:v>位移</x:v>
      </x:c>
      <x:c r="T304" s="19" t="str">
        <x:v>伤害、软控、位移、范围效果、被动触发</x:v>
      </x:c>
      <x:c r="U304" s="48" t="str">
        <x:v>被动/脚本触发；被动；主分类：位移；标签：伤害、软控、位移、范围效果、被动触发</x:v>
      </x:c>
      <x:c r="V304" s="48" t="str">
        <x:v>—/—/—/—</x:v>
      </x:c>
      <x:c r="W304" s="48" t="str">
        <x:v>—/—/—/—</x:v>
      </x:c>
      <x:c r="X304" s="48" t="str">
        <x:v>—/—/—/—</x:v>
      </x:c>
      <x:c r="Y304" s="48" t="str">
        <x:v>—/—/—/—</x:v>
      </x:c>
      <x:c r="Z304" s="48" t="str">
        <x:v>—/—/—/—</x:v>
      </x:c>
      <x:c r="AA304" s="48" t="str">
        <x:v>—/—/—/—</x:v>
      </x:c>
      <x:c r="AB304" s="48" t="str">
        <x:v>—/—/—/—</x:v>
      </x:c>
      <x:c r="AC304" s="48" t="str">
        <x:v>被动/脚本触发；被动；主分类：位移；标签：伤害、软控、位移、范围效果、被动触发；等级：4；魔耗：—/—/—/—；冷却：—/—/—/—；施法距离：—/—/—/—；作用范围：—/—/—/—；持续时间：—/—/—/—。</x:v>
      </x:c>
      <x:c r="AD304" s="48" t="str">
        <x:v>1 / 8 / 30 / 2 / 7 / 45 / 3 / 6 / 60 / 4 / 5 / 75</x:v>
      </x:c>
      <x:c r="AE304" s="48" t="str">
        <x:v>A</x:v>
      </x:c>
      <x:c r="AF304" s="48" t="str">
        <x:v>6.48b 地图内 UnitAbilities/AbilityData/AbilityStrings 与对象修改表</x:v>
      </x:c>
      <x:c r="AG304" s="18" t="str">
        <x:v>S1</x:v>
      </x:c>
    </x:row>
    <x:row r="305" ht="48" customHeight="1">
      <x:c r="A305" s="19" t="str">
        <x:v>H00S-4</x:v>
      </x:c>
      <x:c r="B305" s="19" t="str">
        <x:v>近卫军团</x:v>
      </x:c>
      <x:c r="C305" s="19" t="str">
        <x:v>黎明酒馆</x:v>
      </x:c>
      <x:c r="D305" s="19" t="str">
        <x:v>风暴之灵</x:v>
      </x:c>
      <x:c r="E305" s="19" t="str">
        <x:v>Storm Spirit</x:v>
      </x:c>
      <x:c r="F305" s="19" t="str">
        <x:v>H00S</x:v>
      </x:c>
      <x:c r="G305" s="19" t="str">
        <x:v>Raijin Thunderkeg</x:v>
      </x:c>
      <x:c r="H305" s="19" t="str">
        <x:v>INT</x:v>
      </x:c>
      <x:c r="I305" s="19" t="str">
        <x:v>远程</x:v>
      </x:c>
      <x:c r="J305" s="19" t="n">
        <x:v>4</x:v>
      </x:c>
      <x:c r="K305" s="19" t="str">
        <x:v>Lightning Grapple</x:v>
      </x:c>
      <x:c r="L305" s="19" t="str">
        <x:v>A0R1</x:v>
      </x:c>
      <x:c r="M305" s="49" t="str">
        <x:v>是</x:v>
      </x:c>
      <x:c r="N305" s="49" t="n">
        <x:v>3</x:v>
      </x:c>
      <x:c r="O305" s="49" t="n">
        <x:v>6</x:v>
      </x:c>
      <x:c r="P305" s="49" t="n">
        <x:v>5</x:v>
      </x:c>
      <x:c r="Q305" s="19" t="str">
        <x:v>主动</x:v>
      </x:c>
      <x:c r="R305" s="19" t="str">
        <x:v>点目标/区域</x:v>
      </x:c>
      <x:c r="S305" s="19" t="str">
        <x:v>资源机制</x:v>
      </x:c>
      <x:c r="T305" s="19" t="str">
        <x:v>资源机制、范围效果</x:v>
      </x:c>
      <x:c r="U305" s="48" t="str">
        <x:v>主动；点目标/区域；主分类：资源机制；标签：资源机制、范围效果</x:v>
      </x:c>
      <x:c r="V305" s="48" t="str">
        <x:v>100/100/100</x:v>
      </x:c>
      <x:c r="W305" s="48" t="str">
        <x:v>35/35/35</x:v>
      </x:c>
      <x:c r="X305" s="48" t="str">
        <x:v>700/1050/1400</x:v>
      </x:c>
      <x:c r="Y305" s="48" t="str">
        <x:v>—/—/—</x:v>
      </x:c>
      <x:c r="Z305" s="48" t="str">
        <x:v>—/—/—</x:v>
      </x:c>
      <x:c r="AA305" s="48" t="str">
        <x:v>—/—/—</x:v>
      </x:c>
      <x:c r="AB305" s="48" t="str">
        <x:v>air,enemies,ground,neutral/air,enemies,ground,neutral/air,enemies,ground,neutral</x:v>
      </x:c>
      <x:c r="AC305" s="48" t="str">
        <x:v>主动；点目标/区域；主分类：资源机制；标签：资源机制、范围效果；等级：3；魔耗：100/100/100；冷却：35/35/35；施法距离：700/1050/1400；作用范围：—/—/—；持续时间：—/—/—。</x:v>
      </x:c>
      <x:c r="AD305" s="48" t="str">
        <x:v>1 / 700 / 2 / 1050 / 3 / 1400 / 35 / 100</x:v>
      </x:c>
      <x:c r="AE305" s="48" t="str">
        <x:v>A</x:v>
      </x:c>
      <x:c r="AF305" s="48" t="str">
        <x:v>6.48b 地图内 UnitAbilities/AbilityData/AbilityStrings 与对象修改表</x:v>
      </x:c>
      <x:c r="AG305" s="18" t="str">
        <x:v>S1</x:v>
      </x:c>
    </x:row>
    <x:row r="306" ht="48" customHeight="1">
      <x:c r="A306" s="19" t="str">
        <x:v>N01V-1</x:v>
      </x:c>
      <x:c r="B306" s="19" t="str">
        <x:v>近卫军团</x:v>
      </x:c>
      <x:c r="C306" s="19" t="str">
        <x:v>黎明酒馆</x:v>
      </x:c>
      <x:c r="D306" s="19" t="str">
        <x:v>月之女祭司</x:v>
      </x:c>
      <x:c r="E306" s="19" t="str">
        <x:v>Priestess of the Moon</x:v>
      </x:c>
      <x:c r="F306" s="19" t="str">
        <x:v>N01V</x:v>
      </x:c>
      <x:c r="G306" s="19" t="str">
        <x:v>Mirana Nightshade</x:v>
      </x:c>
      <x:c r="H306" s="19" t="str">
        <x:v>AGI</x:v>
      </x:c>
      <x:c r="I306" s="19" t="str">
        <x:v>远程</x:v>
      </x:c>
      <x:c r="J306" s="19" t="n">
        <x:v>1</x:v>
      </x:c>
      <x:c r="K306" s="19" t="str">
        <x:v>Elune's Arrow</x:v>
      </x:c>
      <x:c r="L306" s="19" t="str">
        <x:v>A0L8</x:v>
      </x:c>
      <x:c r="M306" s="49" t="str">
        <x:v>否</x:v>
      </x:c>
      <x:c r="N306" s="49" t="n">
        <x:v>4</x:v>
      </x:c>
      <x:c r="O306" s="49" t="n">
        <x:v>1</x:v>
      </x:c>
      <x:c r="P306" s="49" t="n">
        <x:v>2</x:v>
      </x:c>
      <x:c r="Q306" s="19" t="str">
        <x:v>主动</x:v>
      </x:c>
      <x:c r="R306" s="19" t="str">
        <x:v>无目标或脚本目标</x:v>
      </x:c>
      <x:c r="S306" s="19" t="str">
        <x:v>硬控</x:v>
      </x:c>
      <x:c r="T306" s="19" t="str">
        <x:v>伤害、硬控、强化</x:v>
      </x:c>
      <x:c r="U306" s="48" t="str">
        <x:v>主动；无目标或脚本目标；主分类：硬控；标签：伤害、硬控、强化</x:v>
      </x:c>
      <x:c r="V306" s="48" t="str">
        <x:v>100/100/100/100</x:v>
      </x:c>
      <x:c r="W306" s="48" t="str">
        <x:v>25/25/25/25</x:v>
      </x:c>
      <x:c r="X306" s="48" t="str">
        <x:v>3000/3000/3000/3000</x:v>
      </x:c>
      <x:c r="Y306" s="48" t="str">
        <x:v>—/—/—/—</x:v>
      </x:c>
      <x:c r="Z306" s="48" t="str">
        <x:v>—/—/—/—</x:v>
      </x:c>
      <x:c r="AA306" s="48" t="str">
        <x:v>—/—/—/—</x:v>
      </x:c>
      <x:c r="AB306" s="48" t="str">
        <x:v>air,enemies,ground,hero/air,enemies,ground,hero/air,enemies,ground,hero/air,enemies,ground,hero</x:v>
      </x:c>
      <x:c r="AC306" s="48" t="str">
        <x:v>主动；无目标或脚本目标；主分类：硬控；标签：伤害、硬控、强化；等级：4；魔耗：100/100/100/100；冷却：25/25/25/25；施法距离：3000/3000/3000/3000；作用范围：—/—/—/—；持续时间：—/—/—/—。</x:v>
      </x:c>
      <x:c r="AD306" s="48" t="str">
        <x:v>0.5 / 5 / 1 / 90 / 2 / 180 / 3 / 270 / 4 / 360 / 25</x:v>
      </x:c>
      <x:c r="AE306" s="48" t="str">
        <x:v>A</x:v>
      </x:c>
      <x:c r="AF306" s="48" t="str">
        <x:v>6.48b 地图内 UnitAbilities/AbilityData/AbilityStrings 与对象修改表</x:v>
      </x:c>
      <x:c r="AG306" s="18" t="str">
        <x:v>S1</x:v>
      </x:c>
    </x:row>
    <x:row r="307" ht="48" customHeight="1">
      <x:c r="A307" s="19" t="str">
        <x:v>N01V-2</x:v>
      </x:c>
      <x:c r="B307" s="19" t="str">
        <x:v>近卫军团</x:v>
      </x:c>
      <x:c r="C307" s="19" t="str">
        <x:v>黎明酒馆</x:v>
      </x:c>
      <x:c r="D307" s="19" t="str">
        <x:v>月之女祭司</x:v>
      </x:c>
      <x:c r="E307" s="19" t="str">
        <x:v>Priestess of the Moon</x:v>
      </x:c>
      <x:c r="F307" s="19" t="str">
        <x:v>N01V</x:v>
      </x:c>
      <x:c r="G307" s="19" t="str">
        <x:v>Mirana Nightshade</x:v>
      </x:c>
      <x:c r="H307" s="19" t="str">
        <x:v>AGI</x:v>
      </x:c>
      <x:c r="I307" s="19" t="str">
        <x:v>远程</x:v>
      </x:c>
      <x:c r="J307" s="19" t="n">
        <x:v>2</x:v>
      </x:c>
      <x:c r="K307" s="19" t="str">
        <x:v>Leap</x:v>
      </x:c>
      <x:c r="L307" s="19" t="str">
        <x:v>A0LN</x:v>
      </x:c>
      <x:c r="M307" s="49" t="str">
        <x:v>否</x:v>
      </x:c>
      <x:c r="N307" s="49" t="n">
        <x:v>4</x:v>
      </x:c>
      <x:c r="O307" s="49" t="n">
        <x:v>1</x:v>
      </x:c>
      <x:c r="P307" s="49" t="n">
        <x:v>2</x:v>
      </x:c>
      <x:c r="Q307" s="19" t="str">
        <x:v>主动</x:v>
      </x:c>
      <x:c r="R307" s="19" t="str">
        <x:v>无目标或脚本目标</x:v>
      </x:c>
      <x:c r="S307" s="19" t="str">
        <x:v>召唤</x:v>
      </x:c>
      <x:c r="T307" s="19" t="str">
        <x:v>软控、召唤、位移、强化、光环</x:v>
      </x:c>
      <x:c r="U307" s="48" t="str">
        <x:v>主动；无目标或脚本目标；主分类：召唤；标签：软控、召唤、位移、强化、光环</x:v>
      </x:c>
      <x:c r="V307" s="48" t="str">
        <x:v>60/55/50/45</x:v>
      </x:c>
      <x:c r="W307" s="48" t="str">
        <x:v>20/20/20/20</x:v>
      </x:c>
      <x:c r="X307" s="48" t="str">
        <x:v>—/—/—/—</x:v>
      </x:c>
      <x:c r="Y307" s="48" t="str">
        <x:v>—/—/—/—</x:v>
      </x:c>
      <x:c r="Z307" s="48" t="str">
        <x:v>0.01/0.01/0.01/0.01</x:v>
      </x:c>
      <x:c r="AA307" s="48" t="str">
        <x:v>0.01/0.01/0.01/0.01</x:v>
      </x:c>
      <x:c r="AB307" s="48" t="str">
        <x:v>air,ground,enemy,neutral/air,ground,enemy,neutral/air,ground,enemy,neutral/air,ground,enemy,neutral</x:v>
      </x:c>
      <x:c r="AC307" s="48" t="str">
        <x:v>主动；无目标或脚本目标；主分类：召唤；标签：软控、召唤、位移、强化、光环；等级：4；魔耗：60/55/50/45；冷却：20/20/20/20；施法距离：—/—/—/—；作用范围：—/—/—/—；持续时间：0.01/0.01/0.01/0.01。</x:v>
      </x:c>
      <x:c r="AD307" s="48" t="str">
        <x:v>10 / 1 / 400 / 4% / 2 / 450 / 8% / 3 / 500 / 12% / 4 / 550 / 16% / 20</x:v>
      </x:c>
      <x:c r="AE307" s="48" t="str">
        <x:v>A</x:v>
      </x:c>
      <x:c r="AF307" s="48" t="str">
        <x:v>6.48b 地图内 UnitAbilities/AbilityData/AbilityStrings 与对象修改表</x:v>
      </x:c>
      <x:c r="AG307" s="18" t="str">
        <x:v>S1</x:v>
      </x:c>
    </x:row>
    <x:row r="308" ht="48" customHeight="1">
      <x:c r="A308" s="19" t="str">
        <x:v>N01V-3</x:v>
      </x:c>
      <x:c r="B308" s="19" t="str">
        <x:v>近卫军团</x:v>
      </x:c>
      <x:c r="C308" s="19" t="str">
        <x:v>黎明酒馆</x:v>
      </x:c>
      <x:c r="D308" s="19" t="str">
        <x:v>月之女祭司</x:v>
      </x:c>
      <x:c r="E308" s="19" t="str">
        <x:v>Priestess of the Moon</x:v>
      </x:c>
      <x:c r="F308" s="19" t="str">
        <x:v>N01V</x:v>
      </x:c>
      <x:c r="G308" s="19" t="str">
        <x:v>Mirana Nightshade</x:v>
      </x:c>
      <x:c r="H308" s="19" t="str">
        <x:v>AGI</x:v>
      </x:c>
      <x:c r="I308" s="19" t="str">
        <x:v>远程</x:v>
      </x:c>
      <x:c r="J308" s="19" t="n">
        <x:v>3</x:v>
      </x:c>
      <x:c r="K308" s="19" t="str">
        <x:v>Moonlight Shadow</x:v>
      </x:c>
      <x:c r="L308" s="19" t="str">
        <x:v>A0KU</x:v>
      </x:c>
      <x:c r="M308" s="49" t="str">
        <x:v>是</x:v>
      </x:c>
      <x:c r="N308" s="49" t="n">
        <x:v>3</x:v>
      </x:c>
      <x:c r="O308" s="49" t="n">
        <x:v>6</x:v>
      </x:c>
      <x:c r="P308" s="49" t="n">
        <x:v>5</x:v>
      </x:c>
      <x:c r="Q308" s="19" t="str">
        <x:v>主动</x:v>
      </x:c>
      <x:c r="R308" s="19" t="str">
        <x:v>无目标或脚本目标</x:v>
      </x:c>
      <x:c r="S308" s="19" t="str">
        <x:v>功能/特殊</x:v>
      </x:c>
      <x:c r="T308" s="19" t="str">
        <x:v>隐身</x:v>
      </x:c>
      <x:c r="U308" s="48" t="str">
        <x:v>主动；无目标或脚本目标；主分类：功能/特殊；标签：隐身</x:v>
      </x:c>
      <x:c r="V308" s="48" t="str">
        <x:v>200/250/300</x:v>
      </x:c>
      <x:c r="W308" s="48" t="str">
        <x:v>160/160/160</x:v>
      </x:c>
      <x:c r="X308" s="48" t="str">
        <x:v>500/500/500</x:v>
      </x:c>
      <x:c r="Y308" s="48" t="str">
        <x:v>—/—/—</x:v>
      </x:c>
      <x:c r="Z308" s="48" t="str">
        <x:v>—/—/—</x:v>
      </x:c>
      <x:c r="AA308" s="48" t="str">
        <x:v>—/—/—</x:v>
      </x:c>
      <x:c r="AB308" s="48" t="str">
        <x:v>—/—/—</x:v>
      </x:c>
      <x:c r="AC308" s="48" t="str">
        <x:v>主动；无目标或脚本目标；主分类：功能/特殊；标签：隐身；等级：3；魔耗：200/250/300；冷却：160/160/160；施法距离：500/500/500；作用范围：—/—/—；持续时间：—/—/—。</x:v>
      </x:c>
      <x:c r="AD308" s="48" t="str">
        <x:v>1 / 7 / 2.5 / 2 / 9 / 3 / 11 / 1.5 / 160</x:v>
      </x:c>
      <x:c r="AE308" s="48" t="str">
        <x:v>A</x:v>
      </x:c>
      <x:c r="AF308" s="48" t="str">
        <x:v>6.48b 地图内 UnitAbilities/AbilityData/AbilityStrings 与对象修改表</x:v>
      </x:c>
      <x:c r="AG308" s="18" t="str">
        <x:v>S1</x:v>
      </x:c>
    </x:row>
    <x:row r="309" ht="48" customHeight="1">
      <x:c r="A309" s="19" t="str">
        <x:v>N01V-4</x:v>
      </x:c>
      <x:c r="B309" s="19" t="str">
        <x:v>近卫军团</x:v>
      </x:c>
      <x:c r="C309" s="19" t="str">
        <x:v>黎明酒馆</x:v>
      </x:c>
      <x:c r="D309" s="19" t="str">
        <x:v>月之女祭司</x:v>
      </x:c>
      <x:c r="E309" s="19" t="str">
        <x:v>Priestess of the Moon</x:v>
      </x:c>
      <x:c r="F309" s="19" t="str">
        <x:v>N01V</x:v>
      </x:c>
      <x:c r="G309" s="19" t="str">
        <x:v>Mirana Nightshade</x:v>
      </x:c>
      <x:c r="H309" s="19" t="str">
        <x:v>AGI</x:v>
      </x:c>
      <x:c r="I309" s="19" t="str">
        <x:v>远程</x:v>
      </x:c>
      <x:c r="J309" s="19" t="n">
        <x:v>4</x:v>
      </x:c>
      <x:c r="K309" s="19" t="str">
        <x:v>Starfall</x:v>
      </x:c>
      <x:c r="L309" s="19" t="str">
        <x:v>A0KV</x:v>
      </x:c>
      <x:c r="M309" s="49" t="str">
        <x:v>否</x:v>
      </x:c>
      <x:c r="N309" s="49" t="n">
        <x:v>4</x:v>
      </x:c>
      <x:c r="O309" s="49" t="n">
        <x:v>1</x:v>
      </x:c>
      <x:c r="P309" s="49" t="n">
        <x:v>2</x:v>
      </x:c>
      <x:c r="Q309" s="19" t="str">
        <x:v>主动</x:v>
      </x:c>
      <x:c r="R309" s="19" t="str">
        <x:v>无目标/范围</x:v>
      </x:c>
      <x:c r="S309" s="19" t="str">
        <x:v>伤害</x:v>
      </x:c>
      <x:c r="T309" s="19" t="str">
        <x:v>伤害、范围效果</x:v>
      </x:c>
      <x:c r="U309" s="48" t="str">
        <x:v>主动；无目标/范围；主分类：伤害；标签：伤害、范围效果</x:v>
      </x:c>
      <x:c r="V309" s="48" t="str">
        <x:v>100/120/140/160</x:v>
      </x:c>
      <x:c r="W309" s="48" t="str">
        <x:v>12/12/12/12</x:v>
      </x:c>
      <x:c r="X309" s="48" t="str">
        <x:v>500/500/500/500</x:v>
      </x:c>
      <x:c r="Y309" s="48" t="str">
        <x:v>—/—/—/—</x:v>
      </x:c>
      <x:c r="Z309" s="48" t="str">
        <x:v>—/—/—/—</x:v>
      </x:c>
      <x:c r="AA309" s="48" t="str">
        <x:v>—/—/—/—</x:v>
      </x:c>
      <x:c r="AB309" s="48" t="str">
        <x:v>—/—/—/—</x:v>
      </x:c>
      <x:c r="AC309" s="48" t="str">
        <x:v>主动；无目标/范围；主分类：伤害；标签：伤害、范围效果；等级：4；魔耗：100/120/140/160；冷却：12/12/12/12；施法距离：500/500/500/500；作用范围：—/—/—/—；持续时间：—/—/—/—。</x:v>
      </x:c>
      <x:c r="AD309" s="48" t="str">
        <x:v>600 / 60% / 200 / 1 / 75 / 2 / 150 / 3 / 225 / 4 / 300 / 12 / 900</x:v>
      </x:c>
      <x:c r="AE309" s="48" t="str">
        <x:v>A</x:v>
      </x:c>
      <x:c r="AF309" s="48" t="str">
        <x:v>6.48b 地图内 UnitAbilities/AbilityData/AbilityStrings 与对象修改表</x:v>
      </x:c>
      <x:c r="AG309" s="18" t="str">
        <x:v>S1</x:v>
      </x:c>
    </x:row>
    <x:row r="310" ht="48" customHeight="1">
      <x:c r="A310" s="19" t="str">
        <x:v>N01I-1</x:v>
      </x:c>
      <x:c r="B310" s="19" t="str">
        <x:v>近卫军团</x:v>
      </x:c>
      <x:c r="C310" s="19" t="str">
        <x:v>黎明酒馆</x:v>
      </x:c>
      <x:c r="D310" s="19" t="str">
        <x:v>炼金术士</x:v>
      </x:c>
      <x:c r="E310" s="19" t="str">
        <x:v>Alchemist</x:v>
      </x:c>
      <x:c r="F310" s="19" t="str">
        <x:v>N01I</x:v>
      </x:c>
      <x:c r="G310" s="19" t="str">
        <x:v>Razzil Darkbrew</x:v>
      </x:c>
      <x:c r="H310" s="19" t="str">
        <x:v>STR</x:v>
      </x:c>
      <x:c r="I310" s="19" t="str">
        <x:v>近战</x:v>
      </x:c>
      <x:c r="J310" s="19" t="n">
        <x:v>1</x:v>
      </x:c>
      <x:c r="K310" s="19" t="str">
        <x:v>Unstable Concoction</x:v>
      </x:c>
      <x:c r="L310" s="19" t="str">
        <x:v>A0J6</x:v>
      </x:c>
      <x:c r="M310" s="49" t="str">
        <x:v>否</x:v>
      </x:c>
      <x:c r="N310" s="49" t="n">
        <x:v>4</x:v>
      </x:c>
      <x:c r="O310" s="49" t="n">
        <x:v>1</x:v>
      </x:c>
      <x:c r="P310" s="49" t="n">
        <x:v>2</x:v>
      </x:c>
      <x:c r="Q310" s="19" t="str">
        <x:v>主动</x:v>
      </x:c>
      <x:c r="R310" s="19" t="str">
        <x:v>无目标或脚本目标</x:v>
      </x:c>
      <x:c r="S310" s="19" t="str">
        <x:v>硬控</x:v>
      </x:c>
      <x:c r="T310" s="19" t="str">
        <x:v>伤害、硬控、持续施法</x:v>
      </x:c>
      <x:c r="U310" s="48" t="str">
        <x:v>主动；无目标或脚本目标；主分类：硬控；标签：伤害、硬控、持续施法</x:v>
      </x:c>
      <x:c r="V310" s="48" t="str">
        <x:v>75/75/75/75</x:v>
      </x:c>
      <x:c r="W310" s="48" t="str">
        <x:v>16/16/16/16</x:v>
      </x:c>
      <x:c r="X310" s="48" t="str">
        <x:v>650/750/850/950</x:v>
      </x:c>
      <x:c r="Y310" s="48" t="str">
        <x:v>—/—/—/—</x:v>
      </x:c>
      <x:c r="Z310" s="48" t="str">
        <x:v>—/—/—/—</x:v>
      </x:c>
      <x:c r="AA310" s="48" t="str">
        <x:v>—/—/—/—</x:v>
      </x:c>
      <x:c r="AB310" s="48" t="str">
        <x:v>ground,enemy,neutral,organic,air/ground,enemy,neutral,organic,air/ground,enemy,neutral,organic,air/ground,enemy,neutral,organic,air</x:v>
      </x:c>
      <x:c r="AC310" s="48" t="str">
        <x:v>主动；无目标或脚本目标；主分类：硬控；标签：伤害、硬控、持续施法；等级：4；魔耗：75/75/75/75；冷却：16/16/16/16；施法距离：650/750/850/950；作用范围：—/—/—/—；持续时间：—/—/—/—。</x:v>
      </x:c>
      <x:c r="AD310" s="48" t="str">
        <x:v>60 / 1 / 2 / 3 / 4 / 5 / 16 / 600 / 650 / 700 / 750</x:v>
      </x:c>
      <x:c r="AE310" s="48" t="str">
        <x:v>A</x:v>
      </x:c>
      <x:c r="AF310" s="48" t="str">
        <x:v>6.48b 地图内 UnitAbilities/AbilityData/AbilityStrings 与对象修改表</x:v>
      </x:c>
      <x:c r="AG310" s="18" t="str">
        <x:v>S1</x:v>
      </x:c>
    </x:row>
    <x:row r="311" ht="48" customHeight="1">
      <x:c r="A311" s="19" t="str">
        <x:v>N01I-2</x:v>
      </x:c>
      <x:c r="B311" s="19" t="str">
        <x:v>近卫军团</x:v>
      </x:c>
      <x:c r="C311" s="19" t="str">
        <x:v>黎明酒馆</x:v>
      </x:c>
      <x:c r="D311" s="19" t="str">
        <x:v>炼金术士</x:v>
      </x:c>
      <x:c r="E311" s="19" t="str">
        <x:v>Alchemist</x:v>
      </x:c>
      <x:c r="F311" s="19" t="str">
        <x:v>N01I</x:v>
      </x:c>
      <x:c r="G311" s="19" t="str">
        <x:v>Razzil Darkbrew</x:v>
      </x:c>
      <x:c r="H311" s="19" t="str">
        <x:v>STR</x:v>
      </x:c>
      <x:c r="I311" s="19" t="str">
        <x:v>近战</x:v>
      </x:c>
      <x:c r="J311" s="19" t="n">
        <x:v>2</x:v>
      </x:c>
      <x:c r="K311" s="19" t="str">
        <x:v>Goblin's Greed</x:v>
      </x:c>
      <x:c r="L311" s="19" t="str">
        <x:v>A0O3</x:v>
      </x:c>
      <x:c r="M311" s="49" t="str">
        <x:v>否</x:v>
      </x:c>
      <x:c r="N311" s="49" t="n">
        <x:v>4</x:v>
      </x:c>
      <x:c r="O311" s="49" t="n">
        <x:v>1</x:v>
      </x:c>
      <x:c r="P311" s="49" t="n">
        <x:v>2</x:v>
      </x:c>
      <x:c r="Q311" s="19" t="str">
        <x:v>被动/脚本触发</x:v>
      </x:c>
      <x:c r="R311" s="19" t="str">
        <x:v>被动</x:v>
      </x:c>
      <x:c r="S311" s="19" t="str">
        <x:v>强化</x:v>
      </x:c>
      <x:c r="T311" s="19" t="str">
        <x:v>强化、资源机制、被动触发</x:v>
      </x:c>
      <x:c r="U311" s="48" t="str">
        <x:v>被动/脚本触发；被动；主分类：强化；标签：强化、资源机制、被动触发</x:v>
      </x:c>
      <x:c r="V311" s="48" t="str">
        <x:v>—/—/—/—</x:v>
      </x:c>
      <x:c r="W311" s="48" t="str">
        <x:v>—/—/—/—</x:v>
      </x:c>
      <x:c r="X311" s="48" t="str">
        <x:v>—/—/—/—</x:v>
      </x:c>
      <x:c r="Y311" s="48" t="str">
        <x:v>900/900/900/900</x:v>
      </x:c>
      <x:c r="Z311" s="48" t="str">
        <x:v>—/—/—/—</x:v>
      </x:c>
      <x:c r="AA311" s="48" t="str">
        <x:v>—/—/—/—</x:v>
      </x:c>
      <x:c r="AB311" s="48" t="str">
        <x:v>self/self/self/self</x:v>
      </x:c>
      <x:c r="AC311" s="48" t="str">
        <x:v>被动/脚本触发；被动；主分类：强化；标签：强化、资源机制、被动触发；等级：4；魔耗：—/—/—/—；冷却：—/—/—/—；施法距离：—/—/—/—；作用范围：900/900/900/900；持续时间：—/—/—/—。</x:v>
      </x:c>
      <x:c r="AD311" s="48" t="str">
        <x:v>18 / 1 / 2 / 4 / 3 / 6 / 8</x:v>
      </x:c>
      <x:c r="AE311" s="48" t="str">
        <x:v>A</x:v>
      </x:c>
      <x:c r="AF311" s="48" t="str">
        <x:v>6.48b 地图内 UnitAbilities/AbilityData/AbilityStrings 与对象修改表</x:v>
      </x:c>
      <x:c r="AG311" s="18" t="str">
        <x:v>S1</x:v>
      </x:c>
    </x:row>
    <x:row r="312" ht="48" customHeight="1">
      <x:c r="A312" s="19" t="str">
        <x:v>N01I-3</x:v>
      </x:c>
      <x:c r="B312" s="19" t="str">
        <x:v>近卫军团</x:v>
      </x:c>
      <x:c r="C312" s="19" t="str">
        <x:v>黎明酒馆</x:v>
      </x:c>
      <x:c r="D312" s="19" t="str">
        <x:v>炼金术士</x:v>
      </x:c>
      <x:c r="E312" s="19" t="str">
        <x:v>Alchemist</x:v>
      </x:c>
      <x:c r="F312" s="19" t="str">
        <x:v>N01I</x:v>
      </x:c>
      <x:c r="G312" s="19" t="str">
        <x:v>Razzil Darkbrew</x:v>
      </x:c>
      <x:c r="H312" s="19" t="str">
        <x:v>STR</x:v>
      </x:c>
      <x:c r="I312" s="19" t="str">
        <x:v>近战</x:v>
      </x:c>
      <x:c r="J312" s="19" t="n">
        <x:v>3</x:v>
      </x:c>
      <x:c r="K312" s="19" t="str">
        <x:v>Chemical Rage</x:v>
      </x:c>
      <x:c r="L312" s="19" t="str">
        <x:v>ANcr</x:v>
      </x:c>
      <x:c r="M312" s="49" t="str">
        <x:v>是</x:v>
      </x:c>
      <x:c r="N312" s="49" t="n">
        <x:v>3</x:v>
      </x:c>
      <x:c r="O312" s="49" t="n">
        <x:v>6</x:v>
      </x:c>
      <x:c r="P312" s="49" t="n">
        <x:v>5</x:v>
      </x:c>
      <x:c r="Q312" s="19" t="str">
        <x:v>主动</x:v>
      </x:c>
      <x:c r="R312" s="19" t="str">
        <x:v>无目标或脚本目标</x:v>
      </x:c>
      <x:c r="S312" s="19" t="str">
        <x:v>治疗/回复</x:v>
      </x:c>
      <x:c r="T312" s="19" t="str">
        <x:v>软控、治疗/回复、强化</x:v>
      </x:c>
      <x:c r="U312" s="48" t="str">
        <x:v>主动；无目标或脚本目标；主分类：治疗/回复；标签：软控、治疗/回复、强化</x:v>
      </x:c>
      <x:c r="V312" s="48" t="str">
        <x:v>50/100/150</x:v>
      </x:c>
      <x:c r="W312" s="48" t="str">
        <x:v>45/45/45</x:v>
      </x:c>
      <x:c r="X312" s="48" t="str">
        <x:v>—/—/—</x:v>
      </x:c>
      <x:c r="Y312" s="48" t="str">
        <x:v>—/—/—</x:v>
      </x:c>
      <x:c r="Z312" s="48" t="str">
        <x:v>0.35/0.35/0.35</x:v>
      </x:c>
      <x:c r="AA312" s="48" t="str">
        <x:v>20/20/20</x:v>
      </x:c>
      <x:c r="AB312" s="48" t="str">
        <x:v>self/self/self</x:v>
      </x:c>
      <x:c r="AC312" s="48" t="str">
        <x:v>主动；无目标或脚本目标；主分类：治疗/回复；标签：软控、治疗/回复、强化；等级：3；魔耗：50/100/150；冷却：45/45/45；施法距离：—/—/—；作用范围：—/—/—；持续时间：0.35/0.35/0.35。</x:v>
      </x:c>
      <x:c r="AD312" s="48" t="str">
        <x:v>20 / 1 / 1.45 / 200 / 2 / 1.35 / 400 / 3 / 1.20 / 600 / 45 / 5 / 10 / 15</x:v>
      </x:c>
      <x:c r="AE312" s="48" t="str">
        <x:v>A</x:v>
      </x:c>
      <x:c r="AF312" s="48" t="str">
        <x:v>6.48b 地图内 UnitAbilities/AbilityData/AbilityStrings 与对象修改表</x:v>
      </x:c>
      <x:c r="AG312" s="18" t="str">
        <x:v>S1</x:v>
      </x:c>
    </x:row>
    <x:row r="313" ht="48" customHeight="1">
      <x:c r="A313" s="19" t="str">
        <x:v>N01I-4</x:v>
      </x:c>
      <x:c r="B313" s="19" t="str">
        <x:v>近卫军团</x:v>
      </x:c>
      <x:c r="C313" s="19" t="str">
        <x:v>黎明酒馆</x:v>
      </x:c>
      <x:c r="D313" s="19" t="str">
        <x:v>炼金术士</x:v>
      </x:c>
      <x:c r="E313" s="19" t="str">
        <x:v>Alchemist</x:v>
      </x:c>
      <x:c r="F313" s="19" t="str">
        <x:v>N01I</x:v>
      </x:c>
      <x:c r="G313" s="19" t="str">
        <x:v>Razzil Darkbrew</x:v>
      </x:c>
      <x:c r="H313" s="19" t="str">
        <x:v>STR</x:v>
      </x:c>
      <x:c r="I313" s="19" t="str">
        <x:v>近战</x:v>
      </x:c>
      <x:c r="J313" s="19" t="n">
        <x:v>4</x:v>
      </x:c>
      <x:c r="K313" s="19" t="str">
        <x:v>Acid Spray</x:v>
      </x:c>
      <x:c r="L313" s="19" t="str">
        <x:v>A0IL</x:v>
      </x:c>
      <x:c r="M313" s="49" t="str">
        <x:v>否</x:v>
      </x:c>
      <x:c r="N313" s="49" t="n">
        <x:v>4</x:v>
      </x:c>
      <x:c r="O313" s="49" t="n">
        <x:v>1</x:v>
      </x:c>
      <x:c r="P313" s="49" t="n">
        <x:v>2</x:v>
      </x:c>
      <x:c r="Q313" s="19" t="str">
        <x:v>主动</x:v>
      </x:c>
      <x:c r="R313" s="19" t="str">
        <x:v>点目标/区域</x:v>
      </x:c>
      <x:c r="S313" s="19" t="str">
        <x:v>防御/生存</x:v>
      </x:c>
      <x:c r="T313" s="19" t="str">
        <x:v>伤害、防御/生存、削弱、范围效果</x:v>
      </x:c>
      <x:c r="U313" s="48" t="str">
        <x:v>主动；点目标/区域；主分类：防御/生存；标签：伤害、防御/生存、削弱、范围效果</x:v>
      </x:c>
      <x:c r="V313" s="48" t="str">
        <x:v>160/160/160/160</x:v>
      </x:c>
      <x:c r="W313" s="48" t="str">
        <x:v>22/22/22/22</x:v>
      </x:c>
      <x:c r="X313" s="48" t="str">
        <x:v>625/625/625/625</x:v>
      </x:c>
      <x:c r="Y313" s="48" t="str">
        <x:v>625/625/625/625</x:v>
      </x:c>
      <x:c r="Z313" s="48" t="str">
        <x:v>—/—/—/—</x:v>
      </x:c>
      <x:c r="AA313" s="48" t="str">
        <x:v>—/—/—/—</x:v>
      </x:c>
      <x:c r="AB313" s="48" t="str">
        <x:v>enemies,ground,neutral/enemies,ground,neutral/enemies,ground,neutral/enemies,ground,neutral</x:v>
      </x:c>
      <x:c r="AC313" s="48" t="str">
        <x:v>主动；点目标/区域；主分类：防御/生存；标签：伤害、防御/生存、削弱、范围效果；等级：4；魔耗：160/160/160/160；冷却：22/22/22/22；施法距离：625/625/625/625；作用范围：625/625/625/625；持续时间：—/—/—/—。</x:v>
      </x:c>
      <x:c r="AD313" s="48" t="str">
        <x:v>12 / 1 / 8 / 3 / 2 / 16 / 4 / 24 / 5 / 32 / 6 / 22</x:v>
      </x:c>
      <x:c r="AE313" s="48" t="str">
        <x:v>A</x:v>
      </x:c>
      <x:c r="AF313" s="48" t="str">
        <x:v>6.48b 地图内 UnitAbilities/AbilityData/AbilityStrings 与对象修改表</x:v>
      </x:c>
      <x:c r="AG313" s="18" t="str">
        <x:v>S1</x:v>
      </x:c>
    </x:row>
    <x:row r="314" ht="48" customHeight="1">
      <x:c r="A314" s="19" t="str">
        <x:v>E00P-1</x:v>
      </x:c>
      <x:c r="B314" s="19" t="str">
        <x:v>近卫军团</x:v>
      </x:c>
      <x:c r="C314" s="19" t="str">
        <x:v>黎明酒馆</x:v>
      </x:c>
      <x:c r="D314" s="19" t="str">
        <x:v>双头龙</x:v>
      </x:c>
      <x:c r="E314" s="19" t="str">
        <x:v>Twin Head Dragon</x:v>
      </x:c>
      <x:c r="F314" s="19" t="str">
        <x:v>E00P</x:v>
      </x:c>
      <x:c r="G314" s="19" t="str">
        <x:v>Jakiro</x:v>
      </x:c>
      <x:c r="H314" s="19" t="str">
        <x:v>INT</x:v>
      </x:c>
      <x:c r="I314" s="19" t="str">
        <x:v>远程</x:v>
      </x:c>
      <x:c r="J314" s="19" t="n">
        <x:v>1</x:v>
      </x:c>
      <x:c r="K314" s="19" t="str">
        <x:v>Dual Breath</x:v>
      </x:c>
      <x:c r="L314" s="19" t="str">
        <x:v>A0O7</x:v>
      </x:c>
      <x:c r="M314" s="49" t="str">
        <x:v>否</x:v>
      </x:c>
      <x:c r="N314" s="49" t="n">
        <x:v>4</x:v>
      </x:c>
      <x:c r="O314" s="49" t="n">
        <x:v>1</x:v>
      </x:c>
      <x:c r="P314" s="49" t="n">
        <x:v>2</x:v>
      </x:c>
      <x:c r="Q314" s="19" t="str">
        <x:v>主动</x:v>
      </x:c>
      <x:c r="R314" s="19" t="str">
        <x:v>无目标或脚本目标</x:v>
      </x:c>
      <x:c r="S314" s="19" t="str">
        <x:v>软控</x:v>
      </x:c>
      <x:c r="T314" s="19" t="str">
        <x:v>伤害、软控</x:v>
      </x:c>
      <x:c r="U314" s="48" t="str">
        <x:v>主动；无目标或脚本目标；主分类：软控；标签：伤害、软控</x:v>
      </x:c>
      <x:c r="V314" s="48" t="str">
        <x:v>135/140/155/170</x:v>
      </x:c>
      <x:c r="W314" s="48" t="str">
        <x:v>10/10/10/10</x:v>
      </x:c>
      <x:c r="X314" s="48" t="str">
        <x:v>500/500/500/500</x:v>
      </x:c>
      <x:c r="Y314" s="48" t="str">
        <x:v>—/—/—/—</x:v>
      </x:c>
      <x:c r="Z314" s="48" t="str">
        <x:v>—/—/—/—</x:v>
      </x:c>
      <x:c r="AA314" s="48" t="str">
        <x:v>—/—/—/—</x:v>
      </x:c>
      <x:c r="AB314" s="48" t="str">
        <x:v>air,ground,enemy,neutral,organic/air,ground,enemy,neutral,organic/air,ground,enemy,neutral,organic/air,ground,enemy,neutral,organic</x:v>
      </x:c>
      <x:c r="AC314" s="48" t="str">
        <x:v>主动；无目标或脚本目标；主分类：软控；标签：伤害、软控；等级：4；魔耗：135/140/155/170；冷却：10/10/10/10；施法距离：500/500/500/500；作用范围：—/—/—/—；持续时间：—/—/—/—。</x:v>
      </x:c>
      <x:c r="AD314" s="48" t="str">
        <x:v>4 / 1 / 35 / 5 / 2 / 70 / 10 / 3 / 105 / 15 / 140 / 20</x:v>
      </x:c>
      <x:c r="AE314" s="48" t="str">
        <x:v>A</x:v>
      </x:c>
      <x:c r="AF314" s="48" t="str">
        <x:v>6.48b 地图内 UnitAbilities/AbilityData/AbilityStrings 与对象修改表</x:v>
      </x:c>
      <x:c r="AG314" s="18" t="str">
        <x:v>S1</x:v>
      </x:c>
    </x:row>
    <x:row r="315" ht="48" customHeight="1">
      <x:c r="A315" s="19" t="str">
        <x:v>E00P-2</x:v>
      </x:c>
      <x:c r="B315" s="19" t="str">
        <x:v>近卫军团</x:v>
      </x:c>
      <x:c r="C315" s="19" t="str">
        <x:v>黎明酒馆</x:v>
      </x:c>
      <x:c r="D315" s="19" t="str">
        <x:v>双头龙</x:v>
      </x:c>
      <x:c r="E315" s="19" t="str">
        <x:v>Twin Head Dragon</x:v>
      </x:c>
      <x:c r="F315" s="19" t="str">
        <x:v>E00P</x:v>
      </x:c>
      <x:c r="G315" s="19" t="str">
        <x:v>Jakiro</x:v>
      </x:c>
      <x:c r="H315" s="19" t="str">
        <x:v>INT</x:v>
      </x:c>
      <x:c r="I315" s="19" t="str">
        <x:v>远程</x:v>
      </x:c>
      <x:c r="J315" s="19" t="n">
        <x:v>2</x:v>
      </x:c>
      <x:c r="K315" s="19" t="str">
        <x:v>Ice Path</x:v>
      </x:c>
      <x:c r="L315" s="19" t="str">
        <x:v>A0O6</x:v>
      </x:c>
      <x:c r="M315" s="49" t="str">
        <x:v>否</x:v>
      </x:c>
      <x:c r="N315" s="49" t="n">
        <x:v>4</x:v>
      </x:c>
      <x:c r="O315" s="49" t="n">
        <x:v>1</x:v>
      </x:c>
      <x:c r="P315" s="49" t="n">
        <x:v>2</x:v>
      </x:c>
      <x:c r="Q315" s="19" t="str">
        <x:v>主动</x:v>
      </x:c>
      <x:c r="R315" s="19" t="str">
        <x:v>无目标/范围</x:v>
      </x:c>
      <x:c r="S315" s="19" t="str">
        <x:v>伤害</x:v>
      </x:c>
      <x:c r="T315" s="19" t="str">
        <x:v>伤害、范围效果</x:v>
      </x:c>
      <x:c r="U315" s="48" t="str">
        <x:v>主动；无目标/范围；主分类：伤害；标签：伤害、范围效果</x:v>
      </x:c>
      <x:c r="V315" s="48" t="str">
        <x:v>75/75/75/75</x:v>
      </x:c>
      <x:c r="W315" s="48" t="str">
        <x:v>16/16/16/16</x:v>
      </x:c>
      <x:c r="X315" s="48" t="str">
        <x:v>1100/1100/1100/1100</x:v>
      </x:c>
      <x:c r="Y315" s="48" t="str">
        <x:v>—/—/—/—</x:v>
      </x:c>
      <x:c r="Z315" s="48" t="str">
        <x:v>0.01/0.01/0.01/0.01</x:v>
      </x:c>
      <x:c r="AA315" s="48" t="str">
        <x:v>0.01/0.01/0.01/0.01</x:v>
      </x:c>
      <x:c r="AB315" s="48" t="str">
        <x:v>air,ground,enemy,neutral,organic/air,ground,enemy,neutral,organic/air,ground,enemy,neutral,organic/air,ground,enemy,neutral,organic</x:v>
      </x:c>
      <x:c r="AC315" s="48" t="str">
        <x:v>主动；无目标/范围；主分类：伤害；标签：伤害、范围效果；等级：4；魔耗：75/75/75/75；冷却：16/16/16/16；施法距离：1100/1100/1100/1100；作用范围：—/—/—/—；持续时间：0.01/0.01/0.01/0.01。</x:v>
      </x:c>
      <x:c r="AD315" s="48" t="str">
        <x:v>0.5 / 1 / 2 / 3 / 1.5 / 4 / 16</x:v>
      </x:c>
      <x:c r="AE315" s="48" t="str">
        <x:v>A</x:v>
      </x:c>
      <x:c r="AF315" s="48" t="str">
        <x:v>6.48b 地图内 UnitAbilities/AbilityData/AbilityStrings 与对象修改表</x:v>
      </x:c>
      <x:c r="AG315" s="18" t="str">
        <x:v>S1</x:v>
      </x:c>
    </x:row>
    <x:row r="316" ht="48" customHeight="1">
      <x:c r="A316" s="19" t="str">
        <x:v>E00P-3</x:v>
      </x:c>
      <x:c r="B316" s="19" t="str">
        <x:v>近卫军团</x:v>
      </x:c>
      <x:c r="C316" s="19" t="str">
        <x:v>黎明酒馆</x:v>
      </x:c>
      <x:c r="D316" s="19" t="str">
        <x:v>双头龙</x:v>
      </x:c>
      <x:c r="E316" s="19" t="str">
        <x:v>Twin Head Dragon</x:v>
      </x:c>
      <x:c r="F316" s="19" t="str">
        <x:v>E00P</x:v>
      </x:c>
      <x:c r="G316" s="19" t="str">
        <x:v>Jakiro</x:v>
      </x:c>
      <x:c r="H316" s="19" t="str">
        <x:v>INT</x:v>
      </x:c>
      <x:c r="I316" s="19" t="str">
        <x:v>远程</x:v>
      </x:c>
      <x:c r="J316" s="19" t="n">
        <x:v>3</x:v>
      </x:c>
      <x:c r="K316" s="19" t="str">
        <x:v>Auto Fire</x:v>
      </x:c>
      <x:c r="L316" s="19" t="str">
        <x:v>A0O8</x:v>
      </x:c>
      <x:c r="M316" s="49" t="str">
        <x:v>否</x:v>
      </x:c>
      <x:c r="N316" s="49" t="n">
        <x:v>4</x:v>
      </x:c>
      <x:c r="O316" s="49" t="n">
        <x:v>1</x:v>
      </x:c>
      <x:c r="P316" s="49" t="n">
        <x:v>2</x:v>
      </x:c>
      <x:c r="Q316" s="19" t="str">
        <x:v>被动</x:v>
      </x:c>
      <x:c r="R316" s="19" t="str">
        <x:v>被动</x:v>
      </x:c>
      <x:c r="S316" s="19" t="str">
        <x:v>伤害</x:v>
      </x:c>
      <x:c r="T316" s="19" t="str">
        <x:v>伤害、范围效果、被动触发</x:v>
      </x:c>
      <x:c r="U316" s="48" t="str">
        <x:v>被动；被动；主分类：伤害；标签：伤害、范围效果、被动触发</x:v>
      </x:c>
      <x:c r="V316" s="48" t="str">
        <x:v>—/—/—/—</x:v>
      </x:c>
      <x:c r="W316" s="48" t="str">
        <x:v>—/—/—/—</x:v>
      </x:c>
      <x:c r="X316" s="48" t="str">
        <x:v>—/—/—/—</x:v>
      </x:c>
      <x:c r="Y316" s="48" t="str">
        <x:v>—/—/—/—</x:v>
      </x:c>
      <x:c r="Z316" s="48" t="str">
        <x:v>—/—/—/—</x:v>
      </x:c>
      <x:c r="AA316" s="48" t="str">
        <x:v>—/—/—/—</x:v>
      </x:c>
      <x:c r="AB316" s="48" t="str">
        <x:v>—/—/—/—</x:v>
      </x:c>
      <x:c r="AC316" s="48" t="str">
        <x:v>被动；被动；主分类：伤害；标签：伤害、范围效果、被动触发；等级：4；魔耗：—/—/—/—；冷却：—/—/—/—；施法距离：—/—/—/—；作用范围：—/—/—/—；持续时间：—/—/—/—。</x:v>
      </x:c>
      <x:c r="AD316" s="48" t="str">
        <x:v>5 / 1 / 25% / 10 / 2 / 30% / 20 / 3 / 35% / 30 / 4 / 40% / 40</x:v>
      </x:c>
      <x:c r="AE316" s="48" t="str">
        <x:v>A</x:v>
      </x:c>
      <x:c r="AF316" s="48" t="str">
        <x:v>6.48b 地图内 UnitAbilities/AbilityData/AbilityStrings 与对象修改表</x:v>
      </x:c>
      <x:c r="AG316" s="18" t="str">
        <x:v>S1</x:v>
      </x:c>
    </x:row>
    <x:row r="317" ht="48" customHeight="1">
      <x:c r="A317" s="19" t="str">
        <x:v>E00P-4</x:v>
      </x:c>
      <x:c r="B317" s="19" t="str">
        <x:v>近卫军团</x:v>
      </x:c>
      <x:c r="C317" s="19" t="str">
        <x:v>黎明酒馆</x:v>
      </x:c>
      <x:c r="D317" s="19" t="str">
        <x:v>双头龙</x:v>
      </x:c>
      <x:c r="E317" s="19" t="str">
        <x:v>Twin Head Dragon</x:v>
      </x:c>
      <x:c r="F317" s="19" t="str">
        <x:v>E00P</x:v>
      </x:c>
      <x:c r="G317" s="19" t="str">
        <x:v>Jakiro</x:v>
      </x:c>
      <x:c r="H317" s="19" t="str">
        <x:v>INT</x:v>
      </x:c>
      <x:c r="I317" s="19" t="str">
        <x:v>远程</x:v>
      </x:c>
      <x:c r="J317" s="19" t="n">
        <x:v>4</x:v>
      </x:c>
      <x:c r="K317" s="19" t="str">
        <x:v>Macropyre</x:v>
      </x:c>
      <x:c r="L317" s="19" t="str">
        <x:v>A0O5</x:v>
      </x:c>
      <x:c r="M317" s="49" t="str">
        <x:v>是</x:v>
      </x:c>
      <x:c r="N317" s="49" t="n">
        <x:v>3</x:v>
      </x:c>
      <x:c r="O317" s="49" t="n">
        <x:v>6</x:v>
      </x:c>
      <x:c r="P317" s="49" t="n">
        <x:v>5</x:v>
      </x:c>
      <x:c r="Q317" s="19" t="str">
        <x:v>主动</x:v>
      </x:c>
      <x:c r="R317" s="19" t="str">
        <x:v>无目标/范围</x:v>
      </x:c>
      <x:c r="S317" s="19" t="str">
        <x:v>强化</x:v>
      </x:c>
      <x:c r="T317" s="19" t="str">
        <x:v>伤害、强化、范围效果</x:v>
      </x:c>
      <x:c r="U317" s="48" t="str">
        <x:v>主动；无目标/范围；主分类：强化；标签：伤害、强化、范围效果</x:v>
      </x:c>
      <x:c r="V317" s="48" t="str">
        <x:v>220/330/440</x:v>
      </x:c>
      <x:c r="W317" s="48" t="str">
        <x:v>60/75/90</x:v>
      </x:c>
      <x:c r="X317" s="48" t="str">
        <x:v>550/700/850</x:v>
      </x:c>
      <x:c r="Y317" s="48" t="str">
        <x:v>—/—/—</x:v>
      </x:c>
      <x:c r="Z317" s="48" t="str">
        <x:v>—/—/—</x:v>
      </x:c>
      <x:c r="AA317" s="48" t="str">
        <x:v>—/—/—</x:v>
      </x:c>
      <x:c r="AB317" s="48" t="str">
        <x:v>air,ground,enemy,neutral,organic/air,ground,enemy,neutral,organic/air,ground,enemy,neutral,organic</x:v>
      </x:c>
      <x:c r="AC317" s="48" t="str">
        <x:v>主动；无目标/范围；主分类：强化；标签：伤害、强化、范围效果；等级：3；魔耗：220/330/440；冷却：60/75/90；施法距离：550/700/850；作用范围：—/—/—；持续时间：—/—/—。</x:v>
      </x:c>
      <x:c r="AD317" s="48" t="str">
        <x:v>5 / 200 / 1 / 75 / 2 / 125 / 3 / 175 / 60 / 90</x:v>
      </x:c>
      <x:c r="AE317" s="48" t="str">
        <x:v>A</x:v>
      </x:c>
      <x:c r="AF317" s="48" t="str">
        <x:v>6.48b 地图内 UnitAbilities/AbilityData/AbilityStrings 与对象修改表</x:v>
      </x:c>
      <x:c r="AG317" s="18" t="str">
        <x:v>S1</x:v>
      </x:c>
    </x:row>
    <x:row r="318" ht="48" customHeight="1">
      <x:c r="A318" s="19" t="str">
        <x:v>H00D-1</x:v>
      </x:c>
      <x:c r="B318" s="19" t="str">
        <x:v>近卫军团</x:v>
      </x:c>
      <x:c r="C318" s="19" t="str">
        <x:v>黎明酒馆</x:v>
      </x:c>
      <x:c r="D318" s="19" t="str">
        <x:v>兽王</x:v>
      </x:c>
      <x:c r="E318" s="19" t="str">
        <x:v>Beastmaster</x:v>
      </x:c>
      <x:c r="F318" s="19" t="str">
        <x:v>H00D</x:v>
      </x:c>
      <x:c r="G318" s="19" t="str">
        <x:v>Rexxar</x:v>
      </x:c>
      <x:c r="H318" s="19" t="str">
        <x:v>STR</x:v>
      </x:c>
      <x:c r="I318" s="19" t="str">
        <x:v>近战</x:v>
      </x:c>
      <x:c r="J318" s="19" t="n">
        <x:v>1</x:v>
      </x:c>
      <x:c r="K318" s="19" t="str">
        <x:v>Wild Axes</x:v>
      </x:c>
      <x:c r="L318" s="19" t="str">
        <x:v>A0O1</x:v>
      </x:c>
      <x:c r="M318" s="49" t="str">
        <x:v>否</x:v>
      </x:c>
      <x:c r="N318" s="49" t="n">
        <x:v>4</x:v>
      </x:c>
      <x:c r="O318" s="49" t="n">
        <x:v>1</x:v>
      </x:c>
      <x:c r="P318" s="49" t="n">
        <x:v>2</x:v>
      </x:c>
      <x:c r="Q318" s="19" t="str">
        <x:v>主动</x:v>
      </x:c>
      <x:c r="R318" s="19" t="str">
        <x:v>无目标或脚本目标</x:v>
      </x:c>
      <x:c r="S318" s="19" t="str">
        <x:v>召唤</x:v>
      </x:c>
      <x:c r="T318" s="19" t="str">
        <x:v>伤害、召唤</x:v>
      </x:c>
      <x:c r="U318" s="48" t="str">
        <x:v>主动；无目标或脚本目标；主分类：召唤；标签：伤害、召唤</x:v>
      </x:c>
      <x:c r="V318" s="48" t="str">
        <x:v>120/120/120/120</x:v>
      </x:c>
      <x:c r="W318" s="48" t="str">
        <x:v>13/13/13/13</x:v>
      </x:c>
      <x:c r="X318" s="48" t="str">
        <x:v>1300/1300/1300/1300</x:v>
      </x:c>
      <x:c r="Y318" s="48" t="str">
        <x:v>100/100/100/100</x:v>
      </x:c>
      <x:c r="Z318" s="48" t="str">
        <x:v>—/—/—/—</x:v>
      </x:c>
      <x:c r="AA318" s="48" t="str">
        <x:v>—/—/—/—</x:v>
      </x:c>
      <x:c r="AB318" s="48" t="str">
        <x:v>air,ground/air,ground/air,ground/air,ground</x:v>
      </x:c>
      <x:c r="AC318" s="48" t="str">
        <x:v>主动；无目标或脚本目标；主分类：召唤；标签：伤害、召唤；等级：4；魔耗：120/120/120/120；冷却：13/13/13/13；施法距离：1300/1300/1300/1300；作用范围：100/100/100/100；持续时间：—/—/—/—。</x:v>
      </x:c>
      <x:c r="AD318" s="48" t="str">
        <x:v>1 / 90 / 2 / 120 / 3 / 150 / 4 / 180 / 13</x:v>
      </x:c>
      <x:c r="AE318" s="48" t="str">
        <x:v>A</x:v>
      </x:c>
      <x:c r="AF318" s="48" t="str">
        <x:v>6.48b 地图内 UnitAbilities/AbilityData/AbilityStrings 与对象修改表</x:v>
      </x:c>
      <x:c r="AG318" s="18" t="str">
        <x:v>S1</x:v>
      </x:c>
    </x:row>
    <x:row r="319" ht="48" customHeight="1">
      <x:c r="A319" s="19" t="str">
        <x:v>H00D-2</x:v>
      </x:c>
      <x:c r="B319" s="19" t="str">
        <x:v>近卫军团</x:v>
      </x:c>
      <x:c r="C319" s="19" t="str">
        <x:v>黎明酒馆</x:v>
      </x:c>
      <x:c r="D319" s="19" t="str">
        <x:v>兽王</x:v>
      </x:c>
      <x:c r="E319" s="19" t="str">
        <x:v>Beastmaster</x:v>
      </x:c>
      <x:c r="F319" s="19" t="str">
        <x:v>H00D</x:v>
      </x:c>
      <x:c r="G319" s="19" t="str">
        <x:v>Rexxar</x:v>
      </x:c>
      <x:c r="H319" s="19" t="str">
        <x:v>STR</x:v>
      </x:c>
      <x:c r="I319" s="19" t="str">
        <x:v>近战</x:v>
      </x:c>
      <x:c r="J319" s="19" t="n">
        <x:v>2</x:v>
      </x:c>
      <x:c r="K319" s="19" t="str">
        <x:v>Call of the Wild</x:v>
      </x:c>
      <x:c r="L319" s="19" t="str">
        <x:v>A0OO</x:v>
      </x:c>
      <x:c r="M319" s="49" t="str">
        <x:v>否</x:v>
      </x:c>
      <x:c r="N319" s="49" t="n">
        <x:v>4</x:v>
      </x:c>
      <x:c r="O319" s="49" t="n">
        <x:v>1</x:v>
      </x:c>
      <x:c r="P319" s="49" t="n">
        <x:v>2</x:v>
      </x:c>
      <x:c r="Q319" s="19" t="str">
        <x:v>主动</x:v>
      </x:c>
      <x:c r="R319" s="19" t="str">
        <x:v>无目标或脚本目标</x:v>
      </x:c>
      <x:c r="S319" s="19" t="str">
        <x:v>召唤</x:v>
      </x:c>
      <x:c r="T319" s="19" t="str">
        <x:v>召唤、强化、削弱、隐身</x:v>
      </x:c>
      <x:c r="U319" s="48" t="str">
        <x:v>主动；无目标或脚本目标；主分类：召唤；标签：召唤、强化、削弱、隐身</x:v>
      </x:c>
      <x:c r="V319" s="48" t="str">
        <x:v>25/25/25/25</x:v>
      </x:c>
      <x:c r="W319" s="48" t="str">
        <x:v>45/45/45/45</x:v>
      </x:c>
      <x:c r="X319" s="48" t="str">
        <x:v>—/—/—/—</x:v>
      </x:c>
      <x:c r="Y319" s="48" t="str">
        <x:v>200/200/200/200</x:v>
      </x:c>
      <x:c r="Z319" s="48" t="str">
        <x:v>70/70/70/70</x:v>
      </x:c>
      <x:c r="AA319" s="48" t="str">
        <x:v>70/70/70/70</x:v>
      </x:c>
      <x:c r="AB319" s="48" t="str">
        <x:v>—/—/—/—</x:v>
      </x:c>
      <x:c r="AC319" s="48" t="str">
        <x:v>主动；无目标或脚本目标；主分类：召唤；标签：召唤、强化、削弱、隐身；等级：4；魔耗：25/25/25/25；冷却：45/45/45/45；施法距离：—/—/—/—；作用范围：200/200/200/200；持续时间：70/70/70/70。</x:v>
      </x:c>
      <x:c r="AD319" s="48" t="str">
        <x:v>1 / 2 / 3 / 4 / 45 / 60 / 20% / 70 / 80 / 35% / 90</x:v>
      </x:c>
      <x:c r="AE319" s="48" t="str">
        <x:v>A</x:v>
      </x:c>
      <x:c r="AF319" s="48" t="str">
        <x:v>6.48b 地图内 UnitAbilities/AbilityData/AbilityStrings 与对象修改表</x:v>
      </x:c>
      <x:c r="AG319" s="18" t="str">
        <x:v>S1</x:v>
      </x:c>
    </x:row>
    <x:row r="320" ht="48" customHeight="1">
      <x:c r="A320" s="19" t="str">
        <x:v>H00D-3</x:v>
      </x:c>
      <x:c r="B320" s="19" t="str">
        <x:v>近卫军团</x:v>
      </x:c>
      <x:c r="C320" s="19" t="str">
        <x:v>黎明酒馆</x:v>
      </x:c>
      <x:c r="D320" s="19" t="str">
        <x:v>兽王</x:v>
      </x:c>
      <x:c r="E320" s="19" t="str">
        <x:v>Beastmaster</x:v>
      </x:c>
      <x:c r="F320" s="19" t="str">
        <x:v>H00D</x:v>
      </x:c>
      <x:c r="G320" s="19" t="str">
        <x:v>Rexxar</x:v>
      </x:c>
      <x:c r="H320" s="19" t="str">
        <x:v>STR</x:v>
      </x:c>
      <x:c r="I320" s="19" t="str">
        <x:v>近战</x:v>
      </x:c>
      <x:c r="J320" s="19" t="n">
        <x:v>3</x:v>
      </x:c>
      <x:c r="K320" s="19" t="str">
        <x:v>Beast Rage</x:v>
      </x:c>
      <x:c r="L320" s="19" t="str">
        <x:v>A0O0</x:v>
      </x:c>
      <x:c r="M320" s="49" t="str">
        <x:v>否</x:v>
      </x:c>
      <x:c r="N320" s="49" t="n">
        <x:v>4</x:v>
      </x:c>
      <x:c r="O320" s="49" t="n">
        <x:v>1</x:v>
      </x:c>
      <x:c r="P320" s="49" t="n">
        <x:v>2</x:v>
      </x:c>
      <x:c r="Q320" s="19" t="str">
        <x:v>被动/脚本触发</x:v>
      </x:c>
      <x:c r="R320" s="19" t="str">
        <x:v>被动</x:v>
      </x:c>
      <x:c r="S320" s="19" t="str">
        <x:v>软控</x:v>
      </x:c>
      <x:c r="T320" s="19" t="str">
        <x:v>软控、强化、被动触发</x:v>
      </x:c>
      <x:c r="U320" s="48" t="str">
        <x:v>被动/脚本触发；被动；主分类：软控；标签：软控、强化、被动触发</x:v>
      </x:c>
      <x:c r="V320" s="48" t="str">
        <x:v>—/—/—/—</x:v>
      </x:c>
      <x:c r="W320" s="48" t="str">
        <x:v>—/—/—/—</x:v>
      </x:c>
      <x:c r="X320" s="48" t="str">
        <x:v>—/—/—/—</x:v>
      </x:c>
      <x:c r="Y320" s="48" t="str">
        <x:v>—/—/—/—</x:v>
      </x:c>
      <x:c r="Z320" s="48" t="str">
        <x:v>—/—/—/—</x:v>
      </x:c>
      <x:c r="AA320" s="48" t="str">
        <x:v>—/—/—/—</x:v>
      </x:c>
      <x:c r="AB320" s="48" t="str">
        <x:v>—/—/—/—</x:v>
      </x:c>
      <x:c r="AC320" s="48" t="str">
        <x:v>被动/脚本触发；被动；主分类：软控；标签：软控、强化、被动触发；等级：4；魔耗：—/—/—/—；冷却：—/—/—/—；施法距离：—/—/—/—；作用范围：—/—/—/—；持续时间：—/—/—/—。</x:v>
      </x:c>
      <x:c r="AD320" s="48" t="str">
        <x:v>100% / 1 / 5% / 2 / 10% / 3 / 15% / 4 / 20%</x:v>
      </x:c>
      <x:c r="AE320" s="48" t="str">
        <x:v>A</x:v>
      </x:c>
      <x:c r="AF320" s="48" t="str">
        <x:v>6.48b 地图内 UnitAbilities/AbilityData/AbilityStrings 与对象修改表</x:v>
      </x:c>
      <x:c r="AG320" s="18" t="str">
        <x:v>S1</x:v>
      </x:c>
    </x:row>
    <x:row r="321" ht="48" customHeight="1">
      <x:c r="A321" s="19" t="str">
        <x:v>H00D-4</x:v>
      </x:c>
      <x:c r="B321" s="19" t="str">
        <x:v>近卫军团</x:v>
      </x:c>
      <x:c r="C321" s="19" t="str">
        <x:v>黎明酒馆</x:v>
      </x:c>
      <x:c r="D321" s="19" t="str">
        <x:v>兽王</x:v>
      </x:c>
      <x:c r="E321" s="19" t="str">
        <x:v>Beastmaster</x:v>
      </x:c>
      <x:c r="F321" s="19" t="str">
        <x:v>H00D</x:v>
      </x:c>
      <x:c r="G321" s="19" t="str">
        <x:v>Rexxar</x:v>
      </x:c>
      <x:c r="H321" s="19" t="str">
        <x:v>STR</x:v>
      </x:c>
      <x:c r="I321" s="19" t="str">
        <x:v>近战</x:v>
      </x:c>
      <x:c r="J321" s="19" t="n">
        <x:v>4</x:v>
      </x:c>
      <x:c r="K321" s="19" t="str">
        <x:v>Primal Roar</x:v>
      </x:c>
      <x:c r="L321" s="19" t="str">
        <x:v>A0O2</x:v>
      </x:c>
      <x:c r="M321" s="49" t="str">
        <x:v>是</x:v>
      </x:c>
      <x:c r="N321" s="49" t="n">
        <x:v>3</x:v>
      </x:c>
      <x:c r="O321" s="49" t="n">
        <x:v>6</x:v>
      </x:c>
      <x:c r="P321" s="49" t="n">
        <x:v>5</x:v>
      </x:c>
      <x:c r="Q321" s="19" t="str">
        <x:v>主动</x:v>
      </x:c>
      <x:c r="R321" s="19" t="str">
        <x:v>无目标/范围</x:v>
      </x:c>
      <x:c r="S321" s="19" t="str">
        <x:v>硬控</x:v>
      </x:c>
      <x:c r="T321" s="19" t="str">
        <x:v>伤害、硬控、软控、强化、范围效果</x:v>
      </x:c>
      <x:c r="U321" s="48" t="str">
        <x:v>主动；无目标/范围；主分类：硬控；标签：伤害、硬控、软控、强化、范围效果</x:v>
      </x:c>
      <x:c r="V321" s="48" t="str">
        <x:v>150/175/200</x:v>
      </x:c>
      <x:c r="W321" s="48" t="str">
        <x:v>60/60/60</x:v>
      </x:c>
      <x:c r="X321" s="48" t="str">
        <x:v>600/600/600</x:v>
      </x:c>
      <x:c r="Y321" s="48" t="str">
        <x:v>—/—/—</x:v>
      </x:c>
      <x:c r="Z321" s="48" t="str">
        <x:v>3/3.5/4</x:v>
      </x:c>
      <x:c r="AA321" s="48" t="str">
        <x:v>3/3.5/4</x:v>
      </x:c>
      <x:c r="AB321" s="48" t="str">
        <x:v>air,ground,debris,enemy,neutral,organic/air,ground,debris,enemy,neutral,organic/air,ground,debris,enemy,neutral,organic</x:v>
      </x:c>
      <x:c r="AC321" s="48" t="str">
        <x:v>主动；无目标/范围；主分类：硬控；标签：伤害、硬控、软控、强化、范围效果；等级：3；魔耗：150/175/200；冷却：60/60/60；施法距离：600/600/600；作用范围：—/—/—；持续时间：3/3.5/4。</x:v>
      </x:c>
      <x:c r="AD321" s="48" t="str">
        <x:v>1 / 200 / 3 / 100 / 2 / 250 / 3.5 / 300 / 4 / 60</x:v>
      </x:c>
      <x:c r="AE321" s="48" t="str">
        <x:v>A</x:v>
      </x:c>
      <x:c r="AF321" s="48" t="str">
        <x:v>6.48b 地图内 UnitAbilities/AbilityData/AbilityStrings 与对象修改表</x:v>
      </x:c>
      <x:c r="AG321" s="18" t="str">
        <x:v>S1</x:v>
      </x:c>
    </x:row>
    <x:row r="322" ht="48" customHeight="1">
      <x:c r="A322" s="19" t="str">
        <x:v>H00I-1</x:v>
      </x:c>
      <x:c r="B322" s="19" t="str">
        <x:v>天灾军团</x:v>
      </x:c>
      <x:c r="C322" s="19" t="str">
        <x:v>黄昏酒馆</x:v>
      </x:c>
      <x:c r="D322" s="19" t="str">
        <x:v>地卜师</x:v>
      </x:c>
      <x:c r="E322" s="19" t="str">
        <x:v>Geomancer</x:v>
      </x:c>
      <x:c r="F322" s="19" t="str">
        <x:v>H00I</x:v>
      </x:c>
      <x:c r="G322" s="19" t="str">
        <x:v>Meepo</x:v>
      </x:c>
      <x:c r="H322" s="19" t="str">
        <x:v>AGI</x:v>
      </x:c>
      <x:c r="I322" s="19" t="str">
        <x:v>近战</x:v>
      </x:c>
      <x:c r="J322" s="19" t="n">
        <x:v>1</x:v>
      </x:c>
      <x:c r="K322" s="19" t="str">
        <x:v>Poof</x:v>
      </x:c>
      <x:c r="L322" s="19" t="str">
        <x:v>A0N8</x:v>
      </x:c>
      <x:c r="M322" s="49" t="str">
        <x:v>否</x:v>
      </x:c>
      <x:c r="N322" s="49" t="n">
        <x:v>4</x:v>
      </x:c>
      <x:c r="O322" s="49" t="n">
        <x:v>1</x:v>
      </x:c>
      <x:c r="P322" s="49" t="n">
        <x:v>2</x:v>
      </x:c>
      <x:c r="Q322" s="19" t="str">
        <x:v>主动</x:v>
      </x:c>
      <x:c r="R322" s="19" t="str">
        <x:v>无目标或脚本目标</x:v>
      </x:c>
      <x:c r="S322" s="19" t="str">
        <x:v>位移</x:v>
      </x:c>
      <x:c r="T322" s="19" t="str">
        <x:v>伤害、位移、持续施法</x:v>
      </x:c>
      <x:c r="U322" s="48" t="str">
        <x:v>主动；无目标或脚本目标；主分类：位移；标签：伤害、位移、持续施法</x:v>
      </x:c>
      <x:c r="V322" s="48" t="str">
        <x:v>225/210/195/180</x:v>
      </x:c>
      <x:c r="W322" s="48" t="str">
        <x:v>60/50/40/30</x:v>
      </x:c>
      <x:c r="X322" s="48" t="str">
        <x:v>99999/99999/99999/99999</x:v>
      </x:c>
      <x:c r="Y322" s="48" t="str">
        <x:v>—/—/—/—</x:v>
      </x:c>
      <x:c r="Z322" s="48" t="str">
        <x:v>—/—/—/—</x:v>
      </x:c>
      <x:c r="AA322" s="48" t="str">
        <x:v>—/—/—/—</x:v>
      </x:c>
      <x:c r="AB322" s="48" t="str">
        <x:v>hero,player,self/hero,player,self/hero,player,self/hero,player,self</x:v>
      </x:c>
      <x:c r="AC322" s="48" t="str">
        <x:v>主动；无目标或脚本目标；主分类：位移；标签：伤害、位移、持续施法；等级：4；魔耗：225/210/195/180；冷却：60/50/40/30；施法距离：99999/99999/99999/99999；作用范围：—/—/—/—；持续时间：—/—/—/—。</x:v>
      </x:c>
      <x:c r="AD322" s="48" t="str">
        <x:v>2 / 400 / 1 / 40 / 80 / 3 / 120 / 4 / 160 / 60 / 50 / 30</x:v>
      </x:c>
      <x:c r="AE322" s="48" t="str">
        <x:v>A</x:v>
      </x:c>
      <x:c r="AF322" s="48" t="str">
        <x:v>6.48b 地图内 UnitAbilities/AbilityData/AbilityStrings 与对象修改表</x:v>
      </x:c>
      <x:c r="AG322" s="18" t="str">
        <x:v>S1</x:v>
      </x:c>
    </x:row>
    <x:row r="323" ht="48" customHeight="1">
      <x:c r="A323" s="19" t="str">
        <x:v>H00I-2</x:v>
      </x:c>
      <x:c r="B323" s="19" t="str">
        <x:v>天灾军团</x:v>
      </x:c>
      <x:c r="C323" s="19" t="str">
        <x:v>黄昏酒馆</x:v>
      </x:c>
      <x:c r="D323" s="19" t="str">
        <x:v>地卜师</x:v>
      </x:c>
      <x:c r="E323" s="19" t="str">
        <x:v>Geomancer</x:v>
      </x:c>
      <x:c r="F323" s="19" t="str">
        <x:v>H00I</x:v>
      </x:c>
      <x:c r="G323" s="19" t="str">
        <x:v>Meepo</x:v>
      </x:c>
      <x:c r="H323" s="19" t="str">
        <x:v>AGI</x:v>
      </x:c>
      <x:c r="I323" s="19" t="str">
        <x:v>近战</x:v>
      </x:c>
      <x:c r="J323" s="19" t="n">
        <x:v>2</x:v>
      </x:c>
      <x:c r="K323" s="19" t="str">
        <x:v>Geostrike</x:v>
      </x:c>
      <x:c r="L323" s="19" t="str">
        <x:v>A0N7</x:v>
      </x:c>
      <x:c r="M323" s="49" t="str">
        <x:v>否</x:v>
      </x:c>
      <x:c r="N323" s="49" t="n">
        <x:v>4</x:v>
      </x:c>
      <x:c r="O323" s="49" t="n">
        <x:v>1</x:v>
      </x:c>
      <x:c r="P323" s="49" t="n">
        <x:v>2</x:v>
      </x:c>
      <x:c r="Q323" s="19" t="str">
        <x:v>被动/脚本触发</x:v>
      </x:c>
      <x:c r="R323" s="19" t="str">
        <x:v>被动</x:v>
      </x:c>
      <x:c r="S323" s="19" t="str">
        <x:v>软控</x:v>
      </x:c>
      <x:c r="T323" s="19" t="str">
        <x:v>伤害、软控、强化、被动触发</x:v>
      </x:c>
      <x:c r="U323" s="48" t="str">
        <x:v>被动/脚本触发；被动；主分类：软控；标签：伤害、软控、强化、被动触发</x:v>
      </x:c>
      <x:c r="V323" s="48" t="str">
        <x:v>—/—/—/—</x:v>
      </x:c>
      <x:c r="W323" s="48" t="str">
        <x:v>—/—/—/—</x:v>
      </x:c>
      <x:c r="X323" s="48" t="str">
        <x:v>—/—/—/—</x:v>
      </x:c>
      <x:c r="Y323" s="48" t="str">
        <x:v>—/—/—/—</x:v>
      </x:c>
      <x:c r="Z323" s="48" t="str">
        <x:v>2/2/2/2</x:v>
      </x:c>
      <x:c r="AA323" s="48" t="str">
        <x:v>2/2/2/2</x:v>
      </x:c>
      <x:c r="AB323" s="48" t="str">
        <x:v>air,enemies,ground,organic/air,enemies,ground,organic/air,enemies,ground,organic/air,enemies,ground,organic</x:v>
      </x:c>
      <x:c r="AC323" s="48" t="str">
        <x:v>被动/脚本触发；被动；主分类：软控；标签：伤害、软控、强化、被动触发；等级：4；魔耗：—/—/—/—；冷却：—/—/—/—；施法距离：—/—/—/—；作用范围：—/—/—/—；持续时间：2/2/2/2。</x:v>
      </x:c>
      <x:c r="AD323" s="48" t="str">
        <x:v>15 / 2 / 1 / 5% / 10% / 3 / 15% / 4 / 20%</x:v>
      </x:c>
      <x:c r="AE323" s="48" t="str">
        <x:v>A</x:v>
      </x:c>
      <x:c r="AF323" s="48" t="str">
        <x:v>6.48b 地图内 UnitAbilities/AbilityData/AbilityStrings 与对象修改表</x:v>
      </x:c>
      <x:c r="AG323" s="18" t="str">
        <x:v>S1</x:v>
      </x:c>
    </x:row>
    <x:row r="324" ht="48" customHeight="1">
      <x:c r="A324" s="19" t="str">
        <x:v>H00I-3</x:v>
      </x:c>
      <x:c r="B324" s="19" t="str">
        <x:v>天灾军团</x:v>
      </x:c>
      <x:c r="C324" s="19" t="str">
        <x:v>黄昏酒馆</x:v>
      </x:c>
      <x:c r="D324" s="19" t="str">
        <x:v>地卜师</x:v>
      </x:c>
      <x:c r="E324" s="19" t="str">
        <x:v>Geomancer</x:v>
      </x:c>
      <x:c r="F324" s="19" t="str">
        <x:v>H00I</x:v>
      </x:c>
      <x:c r="G324" s="19" t="str">
        <x:v>Meepo</x:v>
      </x:c>
      <x:c r="H324" s="19" t="str">
        <x:v>AGI</x:v>
      </x:c>
      <x:c r="I324" s="19" t="str">
        <x:v>近战</x:v>
      </x:c>
      <x:c r="J324" s="19" t="n">
        <x:v>3</x:v>
      </x:c>
      <x:c r="K324" s="19" t="str">
        <x:v>Divided We Stand</x:v>
      </x:c>
      <x:c r="L324" s="19" t="str">
        <x:v>A0MW</x:v>
      </x:c>
      <x:c r="M324" s="49" t="str">
        <x:v>是</x:v>
      </x:c>
      <x:c r="N324" s="49" t="n">
        <x:v>3</x:v>
      </x:c>
      <x:c r="O324" s="49" t="n">
        <x:v>6</x:v>
      </x:c>
      <x:c r="P324" s="49" t="n">
        <x:v>5</x:v>
      </x:c>
      <x:c r="Q324" s="19" t="str">
        <x:v>被动/脚本触发</x:v>
      </x:c>
      <x:c r="R324" s="19" t="str">
        <x:v>被动</x:v>
      </x:c>
      <x:c r="S324" s="19" t="str">
        <x:v>召唤</x:v>
      </x:c>
      <x:c r="T324" s="19" t="str">
        <x:v>召唤、资源机制、被动触发</x:v>
      </x:c>
      <x:c r="U324" s="48" t="str">
        <x:v>被动/脚本触发；被动；主分类：召唤；标签：召唤、资源机制、被动触发</x:v>
      </x:c>
      <x:c r="V324" s="48" t="str">
        <x:v>—/—/—</x:v>
      </x:c>
      <x:c r="W324" s="48" t="str">
        <x:v>—/—/—</x:v>
      </x:c>
      <x:c r="X324" s="48" t="str">
        <x:v>—/—/—</x:v>
      </x:c>
      <x:c r="Y324" s="48" t="str">
        <x:v>—/—/—</x:v>
      </x:c>
      <x:c r="Z324" s="48" t="str">
        <x:v>—/—/—</x:v>
      </x:c>
      <x:c r="AA324" s="48" t="str">
        <x:v>—/—/—</x:v>
      </x:c>
      <x:c r="AB324" s="48" t="str">
        <x:v>—/—/—</x:v>
      </x:c>
      <x:c r="AC324" s="48" t="str">
        <x:v>被动/脚本触发；被动；主分类：召唤；标签：召唤、资源机制、被动触发；等级：3；魔耗：—/—/—；冷却：—/—/—；施法距离：—/—/—；作用范围：—/—/—；持续时间：—/—/—。</x:v>
      </x:c>
      <x:c r="AD324" s="48" t="str">
        <x:v>25% / 1 / 2 / 3</x:v>
      </x:c>
      <x:c r="AE324" s="48" t="str">
        <x:v>A</x:v>
      </x:c>
      <x:c r="AF324" s="48" t="str">
        <x:v>6.48b 地图内 UnitAbilities/AbilityData/AbilityStrings 与对象修改表</x:v>
      </x:c>
      <x:c r="AG324" s="18" t="str">
        <x:v>S1</x:v>
      </x:c>
    </x:row>
    <x:row r="325" ht="48" customHeight="1">
      <x:c r="A325" s="19" t="str">
        <x:v>H00I-4</x:v>
      </x:c>
      <x:c r="B325" s="19" t="str">
        <x:v>天灾军团</x:v>
      </x:c>
      <x:c r="C325" s="19" t="str">
        <x:v>黄昏酒馆</x:v>
      </x:c>
      <x:c r="D325" s="19" t="str">
        <x:v>地卜师</x:v>
      </x:c>
      <x:c r="E325" s="19" t="str">
        <x:v>Geomancer</x:v>
      </x:c>
      <x:c r="F325" s="19" t="str">
        <x:v>H00I</x:v>
      </x:c>
      <x:c r="G325" s="19" t="str">
        <x:v>Meepo</x:v>
      </x:c>
      <x:c r="H325" s="19" t="str">
        <x:v>AGI</x:v>
      </x:c>
      <x:c r="I325" s="19" t="str">
        <x:v>近战</x:v>
      </x:c>
      <x:c r="J325" s="19" t="n">
        <x:v>4</x:v>
      </x:c>
      <x:c r="K325" s="19" t="str">
        <x:v>Earthbind</x:v>
      </x:c>
      <x:c r="L325" s="19" t="str">
        <x:v>A0NB</x:v>
      </x:c>
      <x:c r="M325" s="49" t="str">
        <x:v>否</x:v>
      </x:c>
      <x:c r="N325" s="49" t="n">
        <x:v>4</x:v>
      </x:c>
      <x:c r="O325" s="49" t="n">
        <x:v>1</x:v>
      </x:c>
      <x:c r="P325" s="49" t="n">
        <x:v>2</x:v>
      </x:c>
      <x:c r="Q325" s="19" t="str">
        <x:v>主动</x:v>
      </x:c>
      <x:c r="R325" s="19" t="str">
        <x:v>点目标/区域</x:v>
      </x:c>
      <x:c r="S325" s="19" t="str">
        <x:v>功能/特殊</x:v>
      </x:c>
      <x:c r="T325" s="19" t="str">
        <x:v>范围效果</x:v>
      </x:c>
      <x:c r="U325" s="48" t="str">
        <x:v>主动；点目标/区域；主分类：功能/特殊；标签：范围效果</x:v>
      </x:c>
      <x:c r="V325" s="48" t="str">
        <x:v>100/100/100/100</x:v>
      </x:c>
      <x:c r="W325" s="48" t="str">
        <x:v>20/16/12/8</x:v>
      </x:c>
      <x:c r="X325" s="48" t="str">
        <x:v>500/750/1000/1250</x:v>
      </x:c>
      <x:c r="Y325" s="48" t="str">
        <x:v>225/225/225/225</x:v>
      </x:c>
      <x:c r="Z325" s="48" t="str">
        <x:v>—/—/—/—</x:v>
      </x:c>
      <x:c r="AA325" s="48" t="str">
        <x:v>—/—/—/—</x:v>
      </x:c>
      <x:c r="AB325" s="48" t="str">
        <x:v>enemies,ground,neutral/enemies,ground,neutral/enemies,ground,neutral/enemies,ground,neutral</x:v>
      </x:c>
      <x:c r="AC325" s="48" t="str">
        <x:v>主动；点目标/区域；主分类：功能/特殊；标签：范围效果；等级：4；魔耗：100/100/100/100；冷却：20/16/12/8；施法距离：500/750/1000/1250；作用范围：225/225/225/225；持续时间：—/—/—/—。</x:v>
      </x:c>
      <x:c r="AD325" s="48" t="str">
        <x:v>225 / 2 / 1 / 500 / 750 / 3 / 1000 / 4 / 1250 / 20 / 16 / 12 / 8</x:v>
      </x:c>
      <x:c r="AE325" s="48" t="str">
        <x:v>A</x:v>
      </x:c>
      <x:c r="AF325" s="48" t="str">
        <x:v>6.48b 地图内 UnitAbilities/AbilityData/AbilityStrings 与对象修改表</x:v>
      </x:c>
      <x:c r="AG325" s="18" t="str">
        <x:v>S1</x:v>
      </x:c>
    </x:row>
    <x:row r="326" ht="48" customHeight="1">
      <x:c r="A326" s="19" t="str">
        <x:v>H00R-1</x:v>
      </x:c>
      <x:c r="B326" s="19" t="str">
        <x:v>天灾军团</x:v>
      </x:c>
      <x:c r="C326" s="19" t="str">
        <x:v>黄昏酒馆</x:v>
      </x:c>
      <x:c r="D326" s="19" t="str">
        <x:v>不朽尸王</x:v>
      </x:c>
      <x:c r="E326" s="19" t="str">
        <x:v>Undying</x:v>
      </x:c>
      <x:c r="F326" s="19" t="str">
        <x:v>H00R</x:v>
      </x:c>
      <x:c r="G326" s="19" t="str">
        <x:v>Dirge</x:v>
      </x:c>
      <x:c r="H326" s="19" t="str">
        <x:v>INT</x:v>
      </x:c>
      <x:c r="I326" s="19" t="str">
        <x:v>近战</x:v>
      </x:c>
      <x:c r="J326" s="19" t="n">
        <x:v>1</x:v>
      </x:c>
      <x:c r="K326" s="19" t="str">
        <x:v>Raise Dead</x:v>
      </x:c>
      <x:c r="L326" s="19" t="str">
        <x:v>A0QV</x:v>
      </x:c>
      <x:c r="M326" s="49" t="str">
        <x:v>否</x:v>
      </x:c>
      <x:c r="N326" s="49" t="n">
        <x:v>4</x:v>
      </x:c>
      <x:c r="O326" s="49" t="n">
        <x:v>1</x:v>
      </x:c>
      <x:c r="P326" s="49" t="n">
        <x:v>2</x:v>
      </x:c>
      <x:c r="Q326" s="19" t="str">
        <x:v>主动</x:v>
      </x:c>
      <x:c r="R326" s="19" t="str">
        <x:v>无目标或脚本目标</x:v>
      </x:c>
      <x:c r="S326" s="19" t="str">
        <x:v>治疗/回复</x:v>
      </x:c>
      <x:c r="T326" s="19" t="str">
        <x:v>治疗/回复、资源机制</x:v>
      </x:c>
      <x:c r="U326" s="48" t="str">
        <x:v>主动；无目标或脚本目标；主分类：治疗/回复；标签：治疗/回复、资源机制</x:v>
      </x:c>
      <x:c r="V326" s="48" t="str">
        <x:v>100/120/140/160</x:v>
      </x:c>
      <x:c r="W326" s="48" t="str">
        <x:v>30/30/30/30</x:v>
      </x:c>
      <x:c r="X326" s="48" t="str">
        <x:v>—/—/—/—</x:v>
      </x:c>
      <x:c r="Y326" s="48" t="str">
        <x:v>200/200/200/200</x:v>
      </x:c>
      <x:c r="Z326" s="48" t="str">
        <x:v>30/30/30/30</x:v>
      </x:c>
      <x:c r="AA326" s="48" t="str">
        <x:v>30/30/30/30</x:v>
      </x:c>
      <x:c r="AB326" s="48" t="str">
        <x:v>enemy,neutral,air,ground,ward/enemy,neutral,air,ground,ward/enemy,neutral,air,ground,ward/enemy,neutral,air,ground,ward</x:v>
      </x:c>
      <x:c r="AC326" s="48" t="str">
        <x:v>主动；无目标或脚本目标；主分类：治疗/回复；标签：治疗/回复、资源机制；等级：4；魔耗：100/120/140/160；冷却：30/30/30/30；施法距离：—/—/—/—；作用范围：200/200/200/200；持续时间：30/30/30/30。</x:v>
      </x:c>
      <x:c r="AD326" s="48" t="str">
        <x:v>50 / 30 / 1 / 2 / 3 / 4 / 100 / 120 / 140 / 160</x:v>
      </x:c>
      <x:c r="AE326" s="48" t="str">
        <x:v>A</x:v>
      </x:c>
      <x:c r="AF326" s="48" t="str">
        <x:v>6.48b 地图内 UnitAbilities/AbilityData/AbilityStrings 与对象修改表</x:v>
      </x:c>
      <x:c r="AG326" s="18" t="str">
        <x:v>S1</x:v>
      </x:c>
    </x:row>
    <x:row r="327" ht="48" customHeight="1">
      <x:c r="A327" s="19" t="str">
        <x:v>H00R-2</x:v>
      </x:c>
      <x:c r="B327" s="19" t="str">
        <x:v>天灾军团</x:v>
      </x:c>
      <x:c r="C327" s="19" t="str">
        <x:v>黄昏酒馆</x:v>
      </x:c>
      <x:c r="D327" s="19" t="str">
        <x:v>不朽尸王</x:v>
      </x:c>
      <x:c r="E327" s="19" t="str">
        <x:v>Undying</x:v>
      </x:c>
      <x:c r="F327" s="19" t="str">
        <x:v>H00R</x:v>
      </x:c>
      <x:c r="G327" s="19" t="str">
        <x:v>Dirge</x:v>
      </x:c>
      <x:c r="H327" s="19" t="str">
        <x:v>INT</x:v>
      </x:c>
      <x:c r="I327" s="19" t="str">
        <x:v>近战</x:v>
      </x:c>
      <x:c r="J327" s="19" t="n">
        <x:v>2</x:v>
      </x:c>
      <x:c r="K327" s="19" t="str">
        <x:v>Soul Rip</x:v>
      </x:c>
      <x:c r="L327" s="19" t="str">
        <x:v>A0R5</x:v>
      </x:c>
      <x:c r="M327" s="49" t="str">
        <x:v>否</x:v>
      </x:c>
      <x:c r="N327" s="49" t="n">
        <x:v>4</x:v>
      </x:c>
      <x:c r="O327" s="49" t="n">
        <x:v>1</x:v>
      </x:c>
      <x:c r="P327" s="49" t="n">
        <x:v>2</x:v>
      </x:c>
      <x:c r="Q327" s="19" t="str">
        <x:v>主动</x:v>
      </x:c>
      <x:c r="R327" s="19" t="str">
        <x:v>单位目标</x:v>
      </x:c>
      <x:c r="S327" s="19" t="str">
        <x:v>治疗/回复</x:v>
      </x:c>
      <x:c r="T327" s="19" t="str">
        <x:v>伤害、治疗/回复、资源机制</x:v>
      </x:c>
      <x:c r="U327" s="48" t="str">
        <x:v>主动；单位目标；主分类：治疗/回复；标签：伤害、治疗/回复、资源机制</x:v>
      </x:c>
      <x:c r="V327" s="48" t="str">
        <x:v>50/75/100/125</x:v>
      </x:c>
      <x:c r="W327" s="48" t="str">
        <x:v>30/30/30/30</x:v>
      </x:c>
      <x:c r="X327" s="48" t="str">
        <x:v>650/650/650/650</x:v>
      </x:c>
      <x:c r="Y327" s="48" t="str">
        <x:v>—/—/—/—</x:v>
      </x:c>
      <x:c r="Z327" s="48" t="str">
        <x:v>—/—/—/—</x:v>
      </x:c>
      <x:c r="AA327" s="48" t="str">
        <x:v>—/—/—/—</x:v>
      </x:c>
      <x:c r="AB327" s="48" t="str">
        <x:v>air,allies,enemies,ground,nonancient,player,self/air,allies,enemies,ground,nonancient,player,self/air,allies,enemies,ground,nonancient,player,self/air,allies,enemies,ground,nonancient,player,self</x:v>
      </x:c>
      <x:c r="AC327" s="48" t="str">
        <x:v>主动；单位目标；主分类：治疗/回复；标签：伤害、治疗/回复、资源机制；等级：4；魔耗：50/75/100/125；冷却：30/30/30/30；施法距离：650/650/650/650；作用范围：—/—/—/—；持续时间：—/—/—/—。</x:v>
      </x:c>
      <x:c r="AD327" s="48" t="str">
        <x:v>25 / 1 / 5 / 2 / 10 / 3 / 15 / 4 / 20 / 30 / 50 / 75 / 100 / 125</x:v>
      </x:c>
      <x:c r="AE327" s="48" t="str">
        <x:v>A</x:v>
      </x:c>
      <x:c r="AF327" s="48" t="str">
        <x:v>6.48b 地图内 UnitAbilities/AbilityData/AbilityStrings 与对象修改表</x:v>
      </x:c>
      <x:c r="AG327" s="18" t="str">
        <x:v>S1</x:v>
      </x:c>
    </x:row>
    <x:row r="328" ht="48" customHeight="1">
      <x:c r="A328" s="19" t="str">
        <x:v>H00R-3</x:v>
      </x:c>
      <x:c r="B328" s="19" t="str">
        <x:v>天灾军团</x:v>
      </x:c>
      <x:c r="C328" s="19" t="str">
        <x:v>黄昏酒馆</x:v>
      </x:c>
      <x:c r="D328" s="19" t="str">
        <x:v>不朽尸王</x:v>
      </x:c>
      <x:c r="E328" s="19" t="str">
        <x:v>Undying</x:v>
      </x:c>
      <x:c r="F328" s="19" t="str">
        <x:v>H00R</x:v>
      </x:c>
      <x:c r="G328" s="19" t="str">
        <x:v>Dirge</x:v>
      </x:c>
      <x:c r="H328" s="19" t="str">
        <x:v>INT</x:v>
      </x:c>
      <x:c r="I328" s="19" t="str">
        <x:v>近战</x:v>
      </x:c>
      <x:c r="J328" s="19" t="n">
        <x:v>3</x:v>
      </x:c>
      <x:c r="K328" s="19" t="str">
        <x:v>Heartstopper Aura</x:v>
      </x:c>
      <x:c r="L328" s="19" t="str">
        <x:v>A01N</x:v>
      </x:c>
      <x:c r="M328" s="49" t="str">
        <x:v>否</x:v>
      </x:c>
      <x:c r="N328" s="49" t="n">
        <x:v>4</x:v>
      </x:c>
      <x:c r="O328" s="49" t="n">
        <x:v>1</x:v>
      </x:c>
      <x:c r="P328" s="49" t="n">
        <x:v>2</x:v>
      </x:c>
      <x:c r="Q328" s="19" t="str">
        <x:v>被动</x:v>
      </x:c>
      <x:c r="R328" s="19" t="str">
        <x:v>被动</x:v>
      </x:c>
      <x:c r="S328" s="19" t="str">
        <x:v>治疗/回复</x:v>
      </x:c>
      <x:c r="T328" s="19" t="str">
        <x:v>治疗/回复、光环、范围效果、被动触发</x:v>
      </x:c>
      <x:c r="U328" s="48" t="str">
        <x:v>被动；被动；主分类：治疗/回复；标签：治疗/回复、光环、范围效果、被动触发</x:v>
      </x:c>
      <x:c r="V328" s="48" t="str">
        <x:v>—/—/—/—</x:v>
      </x:c>
      <x:c r="W328" s="48" t="str">
        <x:v>—/—/—/—</x:v>
      </x:c>
      <x:c r="X328" s="48" t="str">
        <x:v>—/—/—/—</x:v>
      </x:c>
      <x:c r="Y328" s="48" t="str">
        <x:v>250/500/750/1000</x:v>
      </x:c>
      <x:c r="Z328" s="48" t="str">
        <x:v>—/—/—/—</x:v>
      </x:c>
      <x:c r="AA328" s="48" t="str">
        <x:v>—/—/—/—</x:v>
      </x:c>
      <x:c r="AB328" s="48" t="str">
        <x:v>air,enemies,ground,nonancient/air,enemies,ground,nonancient/air,enemies,ground,nonancient/air,enemies,ground,nonancient</x:v>
      </x:c>
      <x:c r="AC328" s="48" t="str">
        <x:v>被动；被动；主分类：治疗/回复；标签：治疗/回复、光环、范围效果、被动触发；等级：4；魔耗：—/—/—/—；冷却：—/—/—/—；施法距离：—/—/—/—；作用范围：250/500/750/1000；持续时间：—/—/—/—。</x:v>
      </x:c>
      <x:c r="AD328" s="48" t="str">
        <x:v>1% / 1 / 250 / 2 / 500 / 3 / 750 / 4 / 1000</x:v>
      </x:c>
      <x:c r="AE328" s="48" t="str">
        <x:v>A</x:v>
      </x:c>
      <x:c r="AF328" s="48" t="str">
        <x:v>6.48b 地图内 UnitAbilities/AbilityData/AbilityStrings 与对象修改表</x:v>
      </x:c>
      <x:c r="AG328" s="18" t="str">
        <x:v>S1</x:v>
      </x:c>
    </x:row>
    <x:row r="329" ht="48" customHeight="1">
      <x:c r="A329" s="19" t="str">
        <x:v>H00R-4</x:v>
      </x:c>
      <x:c r="B329" s="19" t="str">
        <x:v>天灾军团</x:v>
      </x:c>
      <x:c r="C329" s="19" t="str">
        <x:v>黄昏酒馆</x:v>
      </x:c>
      <x:c r="D329" s="19" t="str">
        <x:v>不朽尸王</x:v>
      </x:c>
      <x:c r="E329" s="19" t="str">
        <x:v>Undying</x:v>
      </x:c>
      <x:c r="F329" s="19" t="str">
        <x:v>H00R</x:v>
      </x:c>
      <x:c r="G329" s="19" t="str">
        <x:v>Dirge</x:v>
      </x:c>
      <x:c r="H329" s="19" t="str">
        <x:v>INT</x:v>
      </x:c>
      <x:c r="I329" s="19" t="str">
        <x:v>近战</x:v>
      </x:c>
      <x:c r="J329" s="19" t="n">
        <x:v>4</x:v>
      </x:c>
      <x:c r="K329" s="19" t="str">
        <x:v>Plague</x:v>
      </x:c>
      <x:c r="L329" s="19" t="str">
        <x:v>A0R3</x:v>
      </x:c>
      <x:c r="M329" s="49" t="str">
        <x:v>是</x:v>
      </x:c>
      <x:c r="N329" s="49" t="n">
        <x:v>3</x:v>
      </x:c>
      <x:c r="O329" s="49" t="n">
        <x:v>6</x:v>
      </x:c>
      <x:c r="P329" s="49" t="n">
        <x:v>5</x:v>
      </x:c>
      <x:c r="Q329" s="19" t="str">
        <x:v>主动</x:v>
      </x:c>
      <x:c r="R329" s="19" t="str">
        <x:v>无目标或脚本目标</x:v>
      </x:c>
      <x:c r="S329" s="19" t="str">
        <x:v>软控</x:v>
      </x:c>
      <x:c r="T329" s="19" t="str">
        <x:v>伤害、软控、强化、削弱、资源机制</x:v>
      </x:c>
      <x:c r="U329" s="48" t="str">
        <x:v>主动；无目标或脚本目标；主分类：软控；标签：伤害、软控、强化、削弱、资源机制</x:v>
      </x:c>
      <x:c r="V329" s="48" t="str">
        <x:v>100/125/150</x:v>
      </x:c>
      <x:c r="W329" s="48" t="str">
        <x:v>45/45/45</x:v>
      </x:c>
      <x:c r="X329" s="48" t="str">
        <x:v>400/400/400</x:v>
      </x:c>
      <x:c r="Y329" s="48" t="str">
        <x:v>—/—/—</x:v>
      </x:c>
      <x:c r="Z329" s="48" t="str">
        <x:v>—/—/—</x:v>
      </x:c>
      <x:c r="AA329" s="48" t="str">
        <x:v>—/—/—</x:v>
      </x:c>
      <x:c r="AB329" s="48" t="str">
        <x:v>air,enemies,ground,hero,nonancient/air,enemies,ground,hero,nonancient/air,enemies,ground,hero,nonancient</x:v>
      </x:c>
      <x:c r="AC329" s="48" t="str">
        <x:v>主动；无目标或脚本目标；主分类：软控；标签：伤害、软控、强化、削弱、资源机制；等级：3；魔耗：100/125/150；冷却：45/45/45；施法距离：400/400/400；作用范围：—/—/—；持续时间：—/—/—。</x:v>
      </x:c>
      <x:c r="AD329" s="48" t="str">
        <x:v>25% / 1 / 20% / 2 / 3 / 30% / 45 / 100 / 125 / 150 / 200 / 7 / 8 / 9</x:v>
      </x:c>
      <x:c r="AE329" s="48" t="str">
        <x:v>A</x:v>
      </x:c>
      <x:c r="AF329" s="48" t="str">
        <x:v>6.48b 地图内 UnitAbilities/AbilityData/AbilityStrings 与对象修改表</x:v>
      </x:c>
      <x:c r="AG329" s="18" t="str">
        <x:v>S1</x:v>
      </x:c>
    </x:row>
    <x:row r="330" ht="48" customHeight="1">
      <x:c r="A330" s="19" t="str">
        <x:v>N00R-1</x:v>
      </x:c>
      <x:c r="B330" s="19" t="str">
        <x:v>天灾军团</x:v>
      </x:c>
      <x:c r="C330" s="19" t="str">
        <x:v>黄昏酒馆</x:v>
      </x:c>
      <x:c r="D330" s="19" t="str">
        <x:v>深渊领主</x:v>
      </x:c>
      <x:c r="E330" s="19" t="str">
        <x:v>Pit Lord</x:v>
      </x:c>
      <x:c r="F330" s="19" t="str">
        <x:v>N00R</x:v>
      </x:c>
      <x:c r="G330" s="19" t="str">
        <x:v>Azgalor</x:v>
      </x:c>
      <x:c r="H330" s="19" t="str">
        <x:v>STR</x:v>
      </x:c>
      <x:c r="I330" s="19" t="str">
        <x:v>近战</x:v>
      </x:c>
      <x:c r="J330" s="19" t="n">
        <x:v>1</x:v>
      </x:c>
      <x:c r="K330" s="19" t="str">
        <x:v>Firestorm</x:v>
      </x:c>
      <x:c r="L330" s="19" t="str">
        <x:v>A01I</x:v>
      </x:c>
      <x:c r="M330" s="49" t="str">
        <x:v>否</x:v>
      </x:c>
      <x:c r="N330" s="49" t="n">
        <x:v>4</x:v>
      </x:c>
      <x:c r="O330" s="49" t="n">
        <x:v>1</x:v>
      </x:c>
      <x:c r="P330" s="49" t="n">
        <x:v>2</x:v>
      </x:c>
      <x:c r="Q330" s="19" t="str">
        <x:v>主动</x:v>
      </x:c>
      <x:c r="R330" s="19" t="str">
        <x:v>无目标/范围</x:v>
      </x:c>
      <x:c r="S330" s="19" t="str">
        <x:v>资源机制</x:v>
      </x:c>
      <x:c r="T330" s="19" t="str">
        <x:v>伤害、资源机制、范围效果</x:v>
      </x:c>
      <x:c r="U330" s="48" t="str">
        <x:v>主动；无目标/范围；主分类：资源机制；标签：伤害、资源机制、范围效果</x:v>
      </x:c>
      <x:c r="V330" s="48" t="str">
        <x:v>100/110/120/130</x:v>
      </x:c>
      <x:c r="W330" s="48" t="str">
        <x:v>14/14/14/14</x:v>
      </x:c>
      <x:c r="X330" s="48" t="str">
        <x:v>750/750/750/750</x:v>
      </x:c>
      <x:c r="Y330" s="48" t="str">
        <x:v>300/300/300/300</x:v>
      </x:c>
      <x:c r="Z330" s="48" t="str">
        <x:v>2/2/2/2</x:v>
      </x:c>
      <x:c r="AA330" s="48" t="str">
        <x:v>2/2/2/2</x:v>
      </x:c>
      <x:c r="AB330" s="48" t="str">
        <x:v>enemies,neutral/enemies,neutral/enemies,neutral/enemies,neutral</x:v>
      </x:c>
      <x:c r="AC330" s="48" t="str">
        <x:v>主动；无目标/范围；主分类：资源机制；标签：伤害、资源机制、范围效果；等级：4；魔耗：100/110/120/130；冷却：14/14/14/14；施法距离：750/750/750/750；作用范围：300/300/300/300；持续时间：2/2/2/2。</x:v>
      </x:c>
      <x:c r="AD330" s="48" t="str">
        <x:v>6 / 2 / 1 / 25 / 5 / 40 / 10 / 3 / 55 / 15 / 4 / 70 / 20 / 14 / 100 / 110 / 120 / 130</x:v>
      </x:c>
      <x:c r="AE330" s="48" t="str">
        <x:v>A</x:v>
      </x:c>
      <x:c r="AF330" s="48" t="str">
        <x:v>6.48b 地图内 UnitAbilities/AbilityData/AbilityStrings 与对象修改表</x:v>
      </x:c>
      <x:c r="AG330" s="18" t="str">
        <x:v>S1</x:v>
      </x:c>
    </x:row>
    <x:row r="331" ht="48" customHeight="1">
      <x:c r="A331" s="19" t="str">
        <x:v>N00R-2</x:v>
      </x:c>
      <x:c r="B331" s="19" t="str">
        <x:v>天灾军团</x:v>
      </x:c>
      <x:c r="C331" s="19" t="str">
        <x:v>黄昏酒馆</x:v>
      </x:c>
      <x:c r="D331" s="19" t="str">
        <x:v>深渊领主</x:v>
      </x:c>
      <x:c r="E331" s="19" t="str">
        <x:v>Pit Lord</x:v>
      </x:c>
      <x:c r="F331" s="19" t="str">
        <x:v>N00R</x:v>
      </x:c>
      <x:c r="G331" s="19" t="str">
        <x:v>Azgalor</x:v>
      </x:c>
      <x:c r="H331" s="19" t="str">
        <x:v>STR</x:v>
      </x:c>
      <x:c r="I331" s="19" t="str">
        <x:v>近战</x:v>
      </x:c>
      <x:c r="J331" s="19" t="n">
        <x:v>2</x:v>
      </x:c>
      <x:c r="K331" s="19" t="str">
        <x:v>Pit of Malice</x:v>
      </x:c>
      <x:c r="L331" s="19" t="str">
        <x:v>A0RA</x:v>
      </x:c>
      <x:c r="M331" s="49" t="str">
        <x:v>否</x:v>
      </x:c>
      <x:c r="N331" s="49" t="n">
        <x:v>4</x:v>
      </x:c>
      <x:c r="O331" s="49" t="n">
        <x:v>1</x:v>
      </x:c>
      <x:c r="P331" s="49" t="n">
        <x:v>2</x:v>
      </x:c>
      <x:c r="Q331" s="19" t="str">
        <x:v>主动</x:v>
      </x:c>
      <x:c r="R331" s="19" t="str">
        <x:v>无目标或脚本目标</x:v>
      </x:c>
      <x:c r="S331" s="19" t="str">
        <x:v>硬控</x:v>
      </x:c>
      <x:c r="T331" s="19" t="str">
        <x:v>硬控、资源机制</x:v>
      </x:c>
      <x:c r="U331" s="48" t="str">
        <x:v>主动；无目标或脚本目标；主分类：硬控；标签：硬控、资源机制</x:v>
      </x:c>
      <x:c r="V331" s="48" t="str">
        <x:v>100/115/130/145</x:v>
      </x:c>
      <x:c r="W331" s="48" t="str">
        <x:v>24/24/24/24</x:v>
      </x:c>
      <x:c r="X331" s="48" t="str">
        <x:v>800/800/800/800</x:v>
      </x:c>
      <x:c r="Y331" s="48" t="str">
        <x:v>400/400/400/400</x:v>
      </x:c>
      <x:c r="Z331" s="48" t="str">
        <x:v>—/—/—/—</x:v>
      </x:c>
      <x:c r="AA331" s="48" t="str">
        <x:v>—/—/—/—</x:v>
      </x:c>
      <x:c r="AB331" s="48" t="str">
        <x:v>debris,enemies,ground,neutral/debris,enemies,ground,neutral/debris,enemies,ground,neutral/debris,enemies,ground,neutral</x:v>
      </x:c>
      <x:c r="AC331" s="48" t="str">
        <x:v>主动；无目标或脚本目标；主分类：硬控；标签：硬控、资源机制；等级：4；魔耗：100/115/130/145；冷却：24/24/24/24；施法距离：800/800/800/800；作用范围：400/400/400/400；持续时间：—/—/—/—。</x:v>
      </x:c>
      <x:c r="AD331" s="48" t="str">
        <x:v>1 / 0.75 / 2 / 1.5 / 3 / 2.25 / 4 / 24 / 100 / 115 / 130 / 145</x:v>
      </x:c>
      <x:c r="AE331" s="48" t="str">
        <x:v>A</x:v>
      </x:c>
      <x:c r="AF331" s="48" t="str">
        <x:v>6.48b 地图内 UnitAbilities/AbilityData/AbilityStrings 与对象修改表</x:v>
      </x:c>
      <x:c r="AG331" s="18" t="str">
        <x:v>S1</x:v>
      </x:c>
    </x:row>
    <x:row r="332" ht="48" customHeight="1">
      <x:c r="A332" s="19" t="str">
        <x:v>N00R-3</x:v>
      </x:c>
      <x:c r="B332" s="19" t="str">
        <x:v>天灾军团</x:v>
      </x:c>
      <x:c r="C332" s="19" t="str">
        <x:v>黄昏酒馆</x:v>
      </x:c>
      <x:c r="D332" s="19" t="str">
        <x:v>深渊领主</x:v>
      </x:c>
      <x:c r="E332" s="19" t="str">
        <x:v>Pit Lord</x:v>
      </x:c>
      <x:c r="F332" s="19" t="str">
        <x:v>N00R</x:v>
      </x:c>
      <x:c r="G332" s="19" t="str">
        <x:v>Azgalor</x:v>
      </x:c>
      <x:c r="H332" s="19" t="str">
        <x:v>STR</x:v>
      </x:c>
      <x:c r="I332" s="19" t="str">
        <x:v>近战</x:v>
      </x:c>
      <x:c r="J332" s="19" t="n">
        <x:v>3</x:v>
      </x:c>
      <x:c r="K332" s="19" t="str">
        <x:v>Expulsion</x:v>
      </x:c>
      <x:c r="L332" s="19" t="str">
        <x:v>A0QT</x:v>
      </x:c>
      <x:c r="M332" s="49" t="str">
        <x:v>否</x:v>
      </x:c>
      <x:c r="N332" s="49" t="n">
        <x:v>4</x:v>
      </x:c>
      <x:c r="O332" s="49" t="n">
        <x:v>1</x:v>
      </x:c>
      <x:c r="P332" s="49" t="n">
        <x:v>2</x:v>
      </x:c>
      <x:c r="Q332" s="19" t="str">
        <x:v>主动</x:v>
      </x:c>
      <x:c r="R332" s="19" t="str">
        <x:v>无目标/范围</x:v>
      </x:c>
      <x:c r="S332" s="19" t="str">
        <x:v>硬控</x:v>
      </x:c>
      <x:c r="T332" s="19" t="str">
        <x:v>伤害、硬控、资源机制、范围效果</x:v>
      </x:c>
      <x:c r="U332" s="48" t="str">
        <x:v>主动；无目标/范围；主分类：硬控；标签：伤害、硬控、资源机制、范围效果</x:v>
      </x:c>
      <x:c r="V332" s="48" t="str">
        <x:v>100/110/120/130</x:v>
      </x:c>
      <x:c r="W332" s="48" t="str">
        <x:v>15/15/15/15</x:v>
      </x:c>
      <x:c r="X332" s="48" t="str">
        <x:v>750/750/750/750</x:v>
      </x:c>
      <x:c r="Y332" s="48" t="str">
        <x:v>450/450/450/450</x:v>
      </x:c>
      <x:c r="Z332" s="48" t="str">
        <x:v>—/—/—/—</x:v>
      </x:c>
      <x:c r="AA332" s="48" t="str">
        <x:v>—/—/—/—</x:v>
      </x:c>
      <x:c r="AB332" s="48" t="str">
        <x:v>enemies,ground,neutral/enemies,ground,neutral/enemies,ground,neutral/enemies,ground,neutral</x:v>
      </x:c>
      <x:c r="AC332" s="48" t="str">
        <x:v>主动；无目标/范围；主分类：硬控；标签：伤害、硬控、资源机制、范围效果；等级：4；魔耗：100/110/120/130；冷却：15/15/15/15；施法距离：750/750/750/750；作用范围：450/450/450/450；持续时间：—/—/—/—。</x:v>
      </x:c>
      <x:c r="AD332" s="48" t="str">
        <x:v>1 / 20 / 2 / 40 / 3 / 60 / 4 / 80 / 15 / 100 / 110 / 120 / 130</x:v>
      </x:c>
      <x:c r="AE332" s="48" t="str">
        <x:v>A</x:v>
      </x:c>
      <x:c r="AF332" s="48" t="str">
        <x:v>6.48b 地图内 UnitAbilities/AbilityData/AbilityStrings 与对象修改表</x:v>
      </x:c>
      <x:c r="AG332" s="18" t="str">
        <x:v>S1</x:v>
      </x:c>
    </x:row>
    <x:row r="333" ht="48" customHeight="1">
      <x:c r="A333" s="19" t="str">
        <x:v>N00R-4</x:v>
      </x:c>
      <x:c r="B333" s="19" t="str">
        <x:v>天灾军团</x:v>
      </x:c>
      <x:c r="C333" s="19" t="str">
        <x:v>黄昏酒馆</x:v>
      </x:c>
      <x:c r="D333" s="19" t="str">
        <x:v>深渊领主</x:v>
      </x:c>
      <x:c r="E333" s="19" t="str">
        <x:v>Pit Lord</x:v>
      </x:c>
      <x:c r="F333" s="19" t="str">
        <x:v>N00R</x:v>
      </x:c>
      <x:c r="G333" s="19" t="str">
        <x:v>Azgalor</x:v>
      </x:c>
      <x:c r="H333" s="19" t="str">
        <x:v>STR</x:v>
      </x:c>
      <x:c r="I333" s="19" t="str">
        <x:v>近战</x:v>
      </x:c>
      <x:c r="J333" s="19" t="n">
        <x:v>4</x:v>
      </x:c>
      <x:c r="K333" s="19" t="str">
        <x:v>Dark Rift</x:v>
      </x:c>
      <x:c r="L333" s="19" t="str">
        <x:v>A0R0</x:v>
      </x:c>
      <x:c r="M333" s="49" t="str">
        <x:v>是</x:v>
      </x:c>
      <x:c r="N333" s="49" t="n">
        <x:v>3</x:v>
      </x:c>
      <x:c r="O333" s="49" t="n">
        <x:v>6</x:v>
      </x:c>
      <x:c r="P333" s="49" t="n">
        <x:v>5</x:v>
      </x:c>
      <x:c r="Q333" s="19" t="str">
        <x:v>主动</x:v>
      </x:c>
      <x:c r="R333" s="19" t="str">
        <x:v>单位目标</x:v>
      </x:c>
      <x:c r="S333" s="19" t="str">
        <x:v>位移</x:v>
      </x:c>
      <x:c r="T333" s="19" t="str">
        <x:v>位移、资源机制、持续施法、范围效果</x:v>
      </x:c>
      <x:c r="U333" s="48" t="str">
        <x:v>主动；单位目标；主分类：位移；标签：位移、资源机制、持续施法、范围效果</x:v>
      </x:c>
      <x:c r="V333" s="48" t="str">
        <x:v>150/225/300</x:v>
      </x:c>
      <x:c r="W333" s="48" t="str">
        <x:v>180/160/140</x:v>
      </x:c>
      <x:c r="X333" s="48" t="str">
        <x:v>99999/99999/99999</x:v>
      </x:c>
      <x:c r="Y333" s="48" t="str">
        <x:v>—/—/—</x:v>
      </x:c>
      <x:c r="Z333" s="48" t="str">
        <x:v>—/—/—</x:v>
      </x:c>
      <x:c r="AA333" s="48" t="str">
        <x:v>—/—/—</x:v>
      </x:c>
      <x:c r="AB333" s="48" t="str">
        <x:v>allies,invulnerable,vulnerable/allies,invulnerable,vulnerable/allies,invulnerable,vulnerable</x:v>
      </x:c>
      <x:c r="AC333" s="48" t="str">
        <x:v>主动；单位目标；主分类：位移；标签：位移、资源机制、持续施法、范围效果；等级：3；魔耗：150/225/300；冷却：180/160/140；施法距离：99999/99999/99999；作用范围：—/—/—；持续时间：—/—/—。</x:v>
      </x:c>
      <x:c r="AD333" s="48" t="str">
        <x:v>1 / 6 / 2 / 5 / 3 / 4 / 180 / 160 / 140 / 150 / 225 / 300</x:v>
      </x:c>
      <x:c r="AE333" s="48" t="str">
        <x:v>A</x:v>
      </x:c>
      <x:c r="AF333" s="48" t="str">
        <x:v>6.48b 地图内 UnitAbilities/AbilityData/AbilityStrings 与对象修改表</x:v>
      </x:c>
      <x:c r="AG333" s="18" t="str">
        <x:v>S1</x:v>
      </x:c>
    </x:row>
    <x:row r="334" ht="48" customHeight="1">
      <x:c r="A334" s="19" t="str">
        <x:v>H00N-1</x:v>
      </x:c>
      <x:c r="B334" s="19" t="str">
        <x:v>天灾军团</x:v>
      </x:c>
      <x:c r="C334" s="19" t="str">
        <x:v>黄昏酒馆</x:v>
      </x:c>
      <x:c r="D334" s="19" t="str">
        <x:v>黑暗贤者</x:v>
      </x:c>
      <x:c r="E334" s="19" t="str">
        <x:v>Dark Seer</x:v>
      </x:c>
      <x:c r="F334" s="19" t="str">
        <x:v>H00N</x:v>
      </x:c>
      <x:c r="G334" s="19" t="str">
        <x:v>Ish'kafel</x:v>
      </x:c>
      <x:c r="H334" s="19" t="str">
        <x:v>INT</x:v>
      </x:c>
      <x:c r="I334" s="19" t="str">
        <x:v>近战</x:v>
      </x:c>
      <x:c r="J334" s="19" t="n">
        <x:v>1</x:v>
      </x:c>
      <x:c r="K334" s="19" t="str">
        <x:v>Ion Shell</x:v>
      </x:c>
      <x:c r="L334" s="19" t="str">
        <x:v>A0QG</x:v>
      </x:c>
      <x:c r="M334" s="49" t="str">
        <x:v>否</x:v>
      </x:c>
      <x:c r="N334" s="49" t="n">
        <x:v>4</x:v>
      </x:c>
      <x:c r="O334" s="49" t="n">
        <x:v>1</x:v>
      </x:c>
      <x:c r="P334" s="49" t="n">
        <x:v>2</x:v>
      </x:c>
      <x:c r="Q334" s="19" t="str">
        <x:v>主动</x:v>
      </x:c>
      <x:c r="R334" s="19" t="str">
        <x:v>单位目标</x:v>
      </x:c>
      <x:c r="S334" s="19" t="str">
        <x:v>资源机制</x:v>
      </x:c>
      <x:c r="T334" s="19" t="str">
        <x:v>伤害、资源机制</x:v>
      </x:c>
      <x:c r="U334" s="48" t="str">
        <x:v>主动；单位目标；主分类：资源机制；标签：伤害、资源机制</x:v>
      </x:c>
      <x:c r="V334" s="48" t="str">
        <x:v>60/80/100/120</x:v>
      </x:c>
      <x:c r="W334" s="48" t="str">
        <x:v>15/15/15/15</x:v>
      </x:c>
      <x:c r="X334" s="48" t="str">
        <x:v>600/600/600/600</x:v>
      </x:c>
      <x:c r="Y334" s="48" t="str">
        <x:v>—/—/—/—</x:v>
      </x:c>
      <x:c r="Z334" s="48" t="str">
        <x:v>—/—/—/—</x:v>
      </x:c>
      <x:c r="AA334" s="48" t="str">
        <x:v>—/—/—/—</x:v>
      </x:c>
      <x:c r="AB334" s="48" t="str">
        <x:v>air,enemies,friend,ground,nonancient,self/air,enemies,friend,ground,nonancient,self/air,enemies,friend,ground,nonancient,self/air,enemies,friend,ground,nonancient,self</x:v>
      </x:c>
      <x:c r="AC334" s="48" t="str">
        <x:v>主动；单位目标；主分类：资源机制；标签：伤害、资源机制；等级：4；魔耗：60/80/100/120；冷却：15/15/15/15；施法距离：600/600/600/600；作用范围：—/—/—/—；持续时间：—/—/—/—。</x:v>
      </x:c>
      <x:c r="AD334" s="48" t="str">
        <x:v>15 / 1 / 30 / 2 / 45 / 3 / 60 / 4 / 75 / 80 / 100 / 120</x:v>
      </x:c>
      <x:c r="AE334" s="48" t="str">
        <x:v>A</x:v>
      </x:c>
      <x:c r="AF334" s="48" t="str">
        <x:v>6.48b 地图内 UnitAbilities/AbilityData/AbilityStrings 与对象修改表</x:v>
      </x:c>
      <x:c r="AG334" s="18" t="str">
        <x:v>S1</x:v>
      </x:c>
    </x:row>
    <x:row r="335" ht="48" customHeight="1">
      <x:c r="A335" s="19" t="str">
        <x:v>H00N-2</x:v>
      </x:c>
      <x:c r="B335" s="19" t="str">
        <x:v>天灾军团</x:v>
      </x:c>
      <x:c r="C335" s="19" t="str">
        <x:v>黄昏酒馆</x:v>
      </x:c>
      <x:c r="D335" s="19" t="str">
        <x:v>黑暗贤者</x:v>
      </x:c>
      <x:c r="E335" s="19" t="str">
        <x:v>Dark Seer</x:v>
      </x:c>
      <x:c r="F335" s="19" t="str">
        <x:v>H00N</x:v>
      </x:c>
      <x:c r="G335" s="19" t="str">
        <x:v>Ish'kafel</x:v>
      </x:c>
      <x:c r="H335" s="19" t="str">
        <x:v>INT</x:v>
      </x:c>
      <x:c r="I335" s="19" t="str">
        <x:v>近战</x:v>
      </x:c>
      <x:c r="J335" s="19" t="n">
        <x:v>2</x:v>
      </x:c>
      <x:c r="K335" s="19" t="str">
        <x:v>Surge</x:v>
      </x:c>
      <x:c r="L335" s="19" t="str">
        <x:v>A0R7</x:v>
      </x:c>
      <x:c r="M335" s="49" t="str">
        <x:v>否</x:v>
      </x:c>
      <x:c r="N335" s="49" t="n">
        <x:v>4</x:v>
      </x:c>
      <x:c r="O335" s="49" t="n">
        <x:v>1</x:v>
      </x:c>
      <x:c r="P335" s="49" t="n">
        <x:v>2</x:v>
      </x:c>
      <x:c r="Q335" s="19" t="str">
        <x:v>开关/自动施放</x:v>
      </x:c>
      <x:c r="R335" s="19" t="str">
        <x:v>单位目标</x:v>
      </x:c>
      <x:c r="S335" s="19" t="str">
        <x:v>资源机制</x:v>
      </x:c>
      <x:c r="T335" s="19" t="str">
        <x:v>资源机制</x:v>
      </x:c>
      <x:c r="U335" s="48" t="str">
        <x:v>开关/自动施放；单位目标；主分类：资源机制；标签：资源机制</x:v>
      </x:c>
      <x:c r="V335" s="48" t="str">
        <x:v>20/30/40/50</x:v>
      </x:c>
      <x:c r="W335" s="48" t="str">
        <x:v>12/11/10/9</x:v>
      </x:c>
      <x:c r="X335" s="48" t="str">
        <x:v>600/600/600/600</x:v>
      </x:c>
      <x:c r="Y335" s="48" t="str">
        <x:v>—/—/—/—</x:v>
      </x:c>
      <x:c r="Z335" s="48" t="str">
        <x:v>2/3.5/5/6.5</x:v>
      </x:c>
      <x:c r="AA335" s="48" t="str">
        <x:v>2/3.5/5/6.5</x:v>
      </x:c>
      <x:c r="AB335" s="48" t="str">
        <x:v>air,friend,ground,invulnerable,self,vulnerable/air,friend,ground,invulnerable,self,vulnerable/air,friend,ground,invulnerable,self,vulnerable/air,friend,ground,invulnerable,self,vulnerable</x:v>
      </x:c>
      <x:c r="AC335" s="48" t="str">
        <x:v>开关/自动施放；单位目标；主分类：资源机制；标签：资源机制；等级：4；魔耗：20/30/40/50；冷却：12/11/10/9；施法距离：600/600/600/600；作用范围：—/—/—/—；持续时间：2/3.5/5/6.5。</x:v>
      </x:c>
      <x:c r="AD335" s="48" t="str">
        <x:v>1 / 2 / 3.5 / 3 / 5.0 / 4 / 6.5 / 12 / 11 / 10 / 9 / 20 / 30 / 40 / 50 / 5</x:v>
      </x:c>
      <x:c r="AE335" s="48" t="str">
        <x:v>A</x:v>
      </x:c>
      <x:c r="AF335" s="48" t="str">
        <x:v>6.48b 地图内 UnitAbilities/AbilityData/AbilityStrings 与对象修改表</x:v>
      </x:c>
      <x:c r="AG335" s="18" t="str">
        <x:v>S1</x:v>
      </x:c>
    </x:row>
    <x:row r="336" ht="48" customHeight="1">
      <x:c r="A336" s="19" t="str">
        <x:v>H00N-3</x:v>
      </x:c>
      <x:c r="B336" s="19" t="str">
        <x:v>天灾军团</x:v>
      </x:c>
      <x:c r="C336" s="19" t="str">
        <x:v>黄昏酒馆</x:v>
      </x:c>
      <x:c r="D336" s="19" t="str">
        <x:v>黑暗贤者</x:v>
      </x:c>
      <x:c r="E336" s="19" t="str">
        <x:v>Dark Seer</x:v>
      </x:c>
      <x:c r="F336" s="19" t="str">
        <x:v>H00N</x:v>
      </x:c>
      <x:c r="G336" s="19" t="str">
        <x:v>Ish'kafel</x:v>
      </x:c>
      <x:c r="H336" s="19" t="str">
        <x:v>INT</x:v>
      </x:c>
      <x:c r="I336" s="19" t="str">
        <x:v>近战</x:v>
      </x:c>
      <x:c r="J336" s="19" t="n">
        <x:v>3</x:v>
      </x:c>
      <x:c r="K336" s="19" t="str">
        <x:v>Wall of Replica</x:v>
      </x:c>
      <x:c r="L336" s="19" t="str">
        <x:v>A0QK</x:v>
      </x:c>
      <x:c r="M336" s="49" t="str">
        <x:v>是</x:v>
      </x:c>
      <x:c r="N336" s="49" t="n">
        <x:v>3</x:v>
      </x:c>
      <x:c r="O336" s="49" t="n">
        <x:v>6</x:v>
      </x:c>
      <x:c r="P336" s="49" t="n">
        <x:v>5</x:v>
      </x:c>
      <x:c r="Q336" s="19" t="str">
        <x:v>主动</x:v>
      </x:c>
      <x:c r="R336" s="19" t="str">
        <x:v>无目标或脚本目标</x:v>
      </x:c>
      <x:c r="S336" s="19" t="str">
        <x:v>资源机制</x:v>
      </x:c>
      <x:c r="T336" s="19" t="str">
        <x:v>伤害、资源机制</x:v>
      </x:c>
      <x:c r="U336" s="48" t="str">
        <x:v>主动；无目标或脚本目标；主分类：资源机制；标签：伤害、资源机制</x:v>
      </x:c>
      <x:c r="V336" s="48" t="str">
        <x:v>200/300/400</x:v>
      </x:c>
      <x:c r="W336" s="48" t="str">
        <x:v>100/100/100</x:v>
      </x:c>
      <x:c r="X336" s="48" t="str">
        <x:v>500/900/1300</x:v>
      </x:c>
      <x:c r="Y336" s="48" t="str">
        <x:v>300/300/300</x:v>
      </x:c>
      <x:c r="Z336" s="48" t="str">
        <x:v>—/—/—</x:v>
      </x:c>
      <x:c r="AA336" s="48" t="str">
        <x:v>—/—/—</x:v>
      </x:c>
      <x:c r="AB336" s="48" t="str">
        <x:v>debris,ground,neutral/debris,ground,neutral/debris,ground,neutral</x:v>
      </x:c>
      <x:c r="AC336" s="48" t="str">
        <x:v>主动；无目标或脚本目标；主分类：资源机制；标签：伤害、资源机制；等级：3；魔耗：200/300/400；冷却：100/100/100；施法距离：500/900/1300；作用范围：300/300/300；持续时间：—/—/—。</x:v>
      </x:c>
      <x:c r="AD336" s="48" t="str">
        <x:v>250% / 35% / 1 / 15 / 2 / 30 / 3 / 45 / 100 / 200 / 300 / 400 / 500 / 900 / 1300</x:v>
      </x:c>
      <x:c r="AE336" s="48" t="str">
        <x:v>A</x:v>
      </x:c>
      <x:c r="AF336" s="48" t="str">
        <x:v>6.48b 地图内 UnitAbilities/AbilityData/AbilityStrings 与对象修改表</x:v>
      </x:c>
      <x:c r="AG336" s="18" t="str">
        <x:v>S1</x:v>
      </x:c>
    </x:row>
    <x:row r="337" ht="48" customHeight="1">
      <x:c r="A337" s="19" t="str">
        <x:v>H00N-4</x:v>
      </x:c>
      <x:c r="B337" s="19" t="str">
        <x:v>天灾军团</x:v>
      </x:c>
      <x:c r="C337" s="19" t="str">
        <x:v>黄昏酒馆</x:v>
      </x:c>
      <x:c r="D337" s="19" t="str">
        <x:v>黑暗贤者</x:v>
      </x:c>
      <x:c r="E337" s="19" t="str">
        <x:v>Dark Seer</x:v>
      </x:c>
      <x:c r="F337" s="19" t="str">
        <x:v>H00N</x:v>
      </x:c>
      <x:c r="G337" s="19" t="str">
        <x:v>Ish'kafel</x:v>
      </x:c>
      <x:c r="H337" s="19" t="str">
        <x:v>INT</x:v>
      </x:c>
      <x:c r="I337" s="19" t="str">
        <x:v>近战</x:v>
      </x:c>
      <x:c r="J337" s="19" t="n">
        <x:v>4</x:v>
      </x:c>
      <x:c r="K337" s="19" t="str">
        <x:v>Vacuum</x:v>
      </x:c>
      <x:c r="L337" s="19" t="str">
        <x:v>A0QE</x:v>
      </x:c>
      <x:c r="M337" s="49" t="str">
        <x:v>否</x:v>
      </x:c>
      <x:c r="N337" s="49" t="n">
        <x:v>4</x:v>
      </x:c>
      <x:c r="O337" s="49" t="n">
        <x:v>1</x:v>
      </x:c>
      <x:c r="P337" s="49" t="n">
        <x:v>2</x:v>
      </x:c>
      <x:c r="Q337" s="19" t="str">
        <x:v>主动</x:v>
      </x:c>
      <x:c r="R337" s="19" t="str">
        <x:v>无目标或脚本目标</x:v>
      </x:c>
      <x:c r="S337" s="19" t="str">
        <x:v>资源机制</x:v>
      </x:c>
      <x:c r="T337" s="19" t="str">
        <x:v>伤害、资源机制、范围效果</x:v>
      </x:c>
      <x:c r="U337" s="48" t="str">
        <x:v>主动；无目标或脚本目标；主分类：资源机制；标签：伤害、资源机制、范围效果</x:v>
      </x:c>
      <x:c r="V337" s="48" t="str">
        <x:v>100/130/160/190</x:v>
      </x:c>
      <x:c r="W337" s="48" t="str">
        <x:v>16/16/16/16</x:v>
      </x:c>
      <x:c r="X337" s="48" t="str">
        <x:v>600/600/600/600</x:v>
      </x:c>
      <x:c r="Y337" s="48" t="str">
        <x:v>300/400/500/600</x:v>
      </x:c>
      <x:c r="Z337" s="48" t="str">
        <x:v>—/—/—/—</x:v>
      </x:c>
      <x:c r="AA337" s="48" t="str">
        <x:v>—/—/—/—</x:v>
      </x:c>
      <x:c r="AB337" s="48" t="str">
        <x:v>enemies,ground,neutral/enemies,ground,neutral/enemies,ground,neutral/enemies,ground,neutral</x:v>
      </x:c>
      <x:c r="AC337" s="48" t="str">
        <x:v>主动；无目标或脚本目标；主分类：资源机制；标签：伤害、资源机制、范围效果；等级：4；魔耗：100/130/160/190；冷却：16/16/16/16；施法距离：600/600/600/600；作用范围：300/400/500/600；持续时间：—/—/—/—。</x:v>
      </x:c>
      <x:c r="AD337" s="48" t="str">
        <x:v>1 / 60 / 300 / 2 / 120 / 400 / 3 / 180 / 500 / 4 / 240 / 600 / 16 / 100 / 130 / 160 / 190</x:v>
      </x:c>
      <x:c r="AE337" s="48" t="str">
        <x:v>A</x:v>
      </x:c>
      <x:c r="AF337" s="48" t="str">
        <x:v>6.48b 地图内 UnitAbilities/AbilityData/AbilityStrings 与对象修改表</x:v>
      </x:c>
      <x:c r="AG337" s="18" t="str">
        <x:v>S1</x:v>
      </x:c>
    </x:row>
    <x:row r="338" ht="48" customHeight="1">
      <x:c r="A338" s="19" t="str">
        <x:v>N01W-1</x:v>
      </x:c>
      <x:c r="B338" s="19" t="str">
        <x:v>天灾军团</x:v>
      </x:c>
      <x:c r="C338" s="19" t="str">
        <x:v>黄昏酒馆</x:v>
      </x:c>
      <x:c r="D338" s="19" t="str">
        <x:v>暗影牧师</x:v>
      </x:c>
      <x:c r="E338" s="19" t="str">
        <x:v>Shadow Priest</x:v>
      </x:c>
      <x:c r="F338" s="19" t="str">
        <x:v>N01W</x:v>
      </x:c>
      <x:c r="G338" s="19" t="str">
        <x:v>Dazzle</x:v>
      </x:c>
      <x:c r="H338" s="19" t="str">
        <x:v>INT</x:v>
      </x:c>
      <x:c r="I338" s="19" t="str">
        <x:v>远程</x:v>
      </x:c>
      <x:c r="J338" s="19" t="n">
        <x:v>1</x:v>
      </x:c>
      <x:c r="K338" s="19" t="str">
        <x:v>Poison Touch</x:v>
      </x:c>
      <x:c r="L338" s="19" t="str">
        <x:v>A0NQ</x:v>
      </x:c>
      <x:c r="M338" s="49" t="str">
        <x:v>否</x:v>
      </x:c>
      <x:c r="N338" s="49" t="n">
        <x:v>4</x:v>
      </x:c>
      <x:c r="O338" s="49" t="n">
        <x:v>1</x:v>
      </x:c>
      <x:c r="P338" s="49" t="n">
        <x:v>2</x:v>
      </x:c>
      <x:c r="Q338" s="19" t="str">
        <x:v>主动</x:v>
      </x:c>
      <x:c r="R338" s="19" t="str">
        <x:v>无目标或脚本目标</x:v>
      </x:c>
      <x:c r="S338" s="19" t="str">
        <x:v>软控</x:v>
      </x:c>
      <x:c r="T338" s="19" t="str">
        <x:v>伤害、软控、削弱</x:v>
      </x:c>
      <x:c r="U338" s="48" t="str">
        <x:v>主动；无目标或脚本目标；主分类：软控；标签：伤害、软控、削弱</x:v>
      </x:c>
      <x:c r="V338" s="48" t="str">
        <x:v>100/115/130/145</x:v>
      </x:c>
      <x:c r="W338" s="48" t="str">
        <x:v>15/13/11/9</x:v>
      </x:c>
      <x:c r="X338" s="48" t="str">
        <x:v>600/600/600/600</x:v>
      </x:c>
      <x:c r="Y338" s="48" t="str">
        <x:v>—/—/—/—</x:v>
      </x:c>
      <x:c r="Z338" s="48" t="str">
        <x:v>0.01/0.01/0.01/0.01</x:v>
      </x:c>
      <x:c r="AA338" s="48" t="str">
        <x:v>0.01/0.01/0.01/0.01</x:v>
      </x:c>
      <x:c r="AB338" s="48" t="str">
        <x:v>air,debris,enemies,ground,neutral,organic/air,debris,enemies,ground,neutral,organic/air,debris,enemies,ground,neutral,organic/air,debris,enemies,ground,neutral,organic</x:v>
      </x:c>
      <x:c r="AC338" s="48" t="str">
        <x:v>主动；无目标或脚本目标；主分类：软控；标签：伤害、软控、削弱；等级：4；魔耗：100/115/130/145；冷却：15/13/11/9；施法距离：600/600/600/600；作用范围：—/—/—/—；持续时间：0.01/0.01/0.01/0.01。</x:v>
      </x:c>
      <x:c r="AD338" s="48" t="str">
        <x:v>7 / 1 / 2 / 14 / 3 / 21 / 4 / 28 / 15 / 13 / 11 / 9</x:v>
      </x:c>
      <x:c r="AE338" s="48" t="str">
        <x:v>A</x:v>
      </x:c>
      <x:c r="AF338" s="48" t="str">
        <x:v>6.48b 地图内 UnitAbilities/AbilityData/AbilityStrings 与对象修改表</x:v>
      </x:c>
      <x:c r="AG338" s="18" t="str">
        <x:v>S1</x:v>
      </x:c>
    </x:row>
    <x:row r="339" ht="48" customHeight="1">
      <x:c r="A339" s="19" t="str">
        <x:v>N01W-2</x:v>
      </x:c>
      <x:c r="B339" s="19" t="str">
        <x:v>天灾军团</x:v>
      </x:c>
      <x:c r="C339" s="19" t="str">
        <x:v>黄昏酒馆</x:v>
      </x:c>
      <x:c r="D339" s="19" t="str">
        <x:v>暗影牧师</x:v>
      </x:c>
      <x:c r="E339" s="19" t="str">
        <x:v>Shadow Priest</x:v>
      </x:c>
      <x:c r="F339" s="19" t="str">
        <x:v>N01W</x:v>
      </x:c>
      <x:c r="G339" s="19" t="str">
        <x:v>Dazzle</x:v>
      </x:c>
      <x:c r="H339" s="19" t="str">
        <x:v>INT</x:v>
      </x:c>
      <x:c r="I339" s="19" t="str">
        <x:v>远程</x:v>
      </x:c>
      <x:c r="J339" s="19" t="n">
        <x:v>2</x:v>
      </x:c>
      <x:c r="K339" s="19" t="str">
        <x:v>Weave</x:v>
      </x:c>
      <x:c r="L339" s="19" t="str">
        <x:v>A0NV</x:v>
      </x:c>
      <x:c r="M339" s="49" t="str">
        <x:v>否</x:v>
      </x:c>
      <x:c r="N339" s="49" t="n">
        <x:v>4</x:v>
      </x:c>
      <x:c r="O339" s="49" t="n">
        <x:v>1</x:v>
      </x:c>
      <x:c r="P339" s="49" t="n">
        <x:v>2</x:v>
      </x:c>
      <x:c r="Q339" s="19" t="str">
        <x:v>主动</x:v>
      </x:c>
      <x:c r="R339" s="19" t="str">
        <x:v>单位目标</x:v>
      </x:c>
      <x:c r="S339" s="19" t="str">
        <x:v>防御/生存</x:v>
      </x:c>
      <x:c r="T339" s="19" t="str">
        <x:v>防御/生存</x:v>
      </x:c>
      <x:c r="U339" s="48" t="str">
        <x:v>主动；单位目标；主分类：防御/生存；标签：防御/生存</x:v>
      </x:c>
      <x:c r="V339" s="48" t="str">
        <x:v>100/100/100/100</x:v>
      </x:c>
      <x:c r="W339" s="48" t="str">
        <x:v>20/20/20/20</x:v>
      </x:c>
      <x:c r="X339" s="48" t="str">
        <x:v>950/950/950/950</x:v>
      </x:c>
      <x:c r="Y339" s="48" t="str">
        <x:v>—/—/—/—</x:v>
      </x:c>
      <x:c r="Z339" s="48" t="str">
        <x:v>—/—/—/—</x:v>
      </x:c>
      <x:c r="AA339" s="48" t="str">
        <x:v>—/—/—/—</x:v>
      </x:c>
      <x:c r="AB339" s="48" t="str">
        <x:v>air,enemies,friend,ground,neutral,self/air,enemies,friend,ground,neutral,self/air,enemies,friend,ground,neutral,self/air,enemies,friend,ground,neutral,self</x:v>
      </x:c>
      <x:c r="AC339" s="48" t="str">
        <x:v>主动；单位目标；主分类：防御/生存；标签：防御/生存；等级：4；魔耗：100/100/100/100；冷却：20/20/20/20；施法距离：950/950/950/950；作用范围：—/—/—/—；持续时间：—/—/—/—。</x:v>
      </x:c>
      <x:c r="AD339" s="48" t="str">
        <x:v>1 / 17 / 4 / 2 / 8 / 3 / 12 / 16 / 20</x:v>
      </x:c>
      <x:c r="AE339" s="48" t="str">
        <x:v>A</x:v>
      </x:c>
      <x:c r="AF339" s="48" t="str">
        <x:v>6.48b 地图内 UnitAbilities/AbilityData/AbilityStrings 与对象修改表</x:v>
      </x:c>
      <x:c r="AG339" s="18" t="str">
        <x:v>S1</x:v>
      </x:c>
    </x:row>
    <x:row r="340" ht="48" customHeight="1">
      <x:c r="A340" s="19" t="str">
        <x:v>N01W-3</x:v>
      </x:c>
      <x:c r="B340" s="19" t="str">
        <x:v>天灾军团</x:v>
      </x:c>
      <x:c r="C340" s="19" t="str">
        <x:v>黄昏酒馆</x:v>
      </x:c>
      <x:c r="D340" s="19" t="str">
        <x:v>暗影牧师</x:v>
      </x:c>
      <x:c r="E340" s="19" t="str">
        <x:v>Shadow Priest</x:v>
      </x:c>
      <x:c r="F340" s="19" t="str">
        <x:v>N01W</x:v>
      </x:c>
      <x:c r="G340" s="19" t="str">
        <x:v>Dazzle</x:v>
      </x:c>
      <x:c r="H340" s="19" t="str">
        <x:v>INT</x:v>
      </x:c>
      <x:c r="I340" s="19" t="str">
        <x:v>远程</x:v>
      </x:c>
      <x:c r="J340" s="19" t="n">
        <x:v>3</x:v>
      </x:c>
      <x:c r="K340" s="19" t="str">
        <x:v>Shadow Wave</x:v>
      </x:c>
      <x:c r="L340" s="19" t="str">
        <x:v>A0OR</x:v>
      </x:c>
      <x:c r="M340" s="49" t="str">
        <x:v>否</x:v>
      </x:c>
      <x:c r="N340" s="49" t="n">
        <x:v>4</x:v>
      </x:c>
      <x:c r="O340" s="49" t="n">
        <x:v>1</x:v>
      </x:c>
      <x:c r="P340" s="49" t="n">
        <x:v>2</x:v>
      </x:c>
      <x:c r="Q340" s="19" t="str">
        <x:v>主动</x:v>
      </x:c>
      <x:c r="R340" s="19" t="str">
        <x:v>无目标/范围</x:v>
      </x:c>
      <x:c r="S340" s="19" t="str">
        <x:v>治疗/回复</x:v>
      </x:c>
      <x:c r="T340" s="19" t="str">
        <x:v>伤害、治疗/回复、范围效果</x:v>
      </x:c>
      <x:c r="U340" s="48" t="str">
        <x:v>主动；无目标/范围；主分类：治疗/回复；标签：伤害、治疗/回复、范围效果</x:v>
      </x:c>
      <x:c r="V340" s="48" t="str">
        <x:v>80/90/100/110</x:v>
      </x:c>
      <x:c r="W340" s="48" t="str">
        <x:v>12/10/8/6</x:v>
      </x:c>
      <x:c r="X340" s="48" t="str">
        <x:v>600/600/600/600</x:v>
      </x:c>
      <x:c r="Y340" s="48" t="str">
        <x:v>—/—/—/—</x:v>
      </x:c>
      <x:c r="Z340" s="48" t="str">
        <x:v>—/—/—/—</x:v>
      </x:c>
      <x:c r="AA340" s="48" t="str">
        <x:v>—/—/—/—</x:v>
      </x:c>
      <x:c r="AB340" s="48" t="str">
        <x:v>air,friend,ground,neutral,self/air,friend,ground,neutral,self/air,friend,ground,neutral,self/air,friend,ground,neutral,self</x:v>
      </x:c>
      <x:c r="AC340" s="48" t="str">
        <x:v>主动；无目标/范围；主分类：治疗/回复；标签：伤害、治疗/回复、范围效果；等级：4；魔耗：80/90/100/110；冷却：12/10/8/6；施法距离：600/600/600/600；作用范围：—/—/—/—；持续时间：—/—/—/—。</x:v>
      </x:c>
      <x:c r="AD340" s="48" t="str">
        <x:v>1 / 80 / 3 / 2 / 100 / 120 / 4 / 140 / 12 / 10 / 8 / 6</x:v>
      </x:c>
      <x:c r="AE340" s="48" t="str">
        <x:v>A</x:v>
      </x:c>
      <x:c r="AF340" s="48" t="str">
        <x:v>6.48b 地图内 UnitAbilities/AbilityData/AbilityStrings 与对象修改表</x:v>
      </x:c>
      <x:c r="AG340" s="18" t="str">
        <x:v>S1</x:v>
      </x:c>
    </x:row>
    <x:row r="341" ht="48" customHeight="1">
      <x:c r="A341" s="19" t="str">
        <x:v>N01W-4</x:v>
      </x:c>
      <x:c r="B341" s="19" t="str">
        <x:v>天灾军团</x:v>
      </x:c>
      <x:c r="C341" s="19" t="str">
        <x:v>黄昏酒馆</x:v>
      </x:c>
      <x:c r="D341" s="19" t="str">
        <x:v>暗影牧师</x:v>
      </x:c>
      <x:c r="E341" s="19" t="str">
        <x:v>Shadow Priest</x:v>
      </x:c>
      <x:c r="F341" s="19" t="str">
        <x:v>N01W</x:v>
      </x:c>
      <x:c r="G341" s="19" t="str">
        <x:v>Dazzle</x:v>
      </x:c>
      <x:c r="H341" s="19" t="str">
        <x:v>INT</x:v>
      </x:c>
      <x:c r="I341" s="19" t="str">
        <x:v>远程</x:v>
      </x:c>
      <x:c r="J341" s="19" t="n">
        <x:v>4</x:v>
      </x:c>
      <x:c r="K341" s="19" t="str">
        <x:v>Shallow Grave</x:v>
      </x:c>
      <x:c r="L341" s="19" t="str">
        <x:v>A0OS</x:v>
      </x:c>
      <x:c r="M341" s="49" t="str">
        <x:v>是</x:v>
      </x:c>
      <x:c r="N341" s="49" t="n">
        <x:v>3</x:v>
      </x:c>
      <x:c r="O341" s="49" t="n">
        <x:v>6</x:v>
      </x:c>
      <x:c r="P341" s="49" t="n">
        <x:v>5</x:v>
      </x:c>
      <x:c r="Q341" s="19" t="str">
        <x:v>主动</x:v>
      </x:c>
      <x:c r="R341" s="19" t="str">
        <x:v>无目标或脚本目标</x:v>
      </x:c>
      <x:c r="S341" s="19" t="str">
        <x:v>资源机制</x:v>
      </x:c>
      <x:c r="T341" s="19" t="str">
        <x:v>伤害、资源机制、复活/死亡</x:v>
      </x:c>
      <x:c r="U341" s="48" t="str">
        <x:v>主动；无目标或脚本目标；主分类：资源机制；标签：伤害、资源机制、复活/死亡</x:v>
      </x:c>
      <x:c r="V341" s="48" t="str">
        <x:v>100/200/300</x:v>
      </x:c>
      <x:c r="W341" s="48" t="str">
        <x:v>200/175/150</x:v>
      </x:c>
      <x:c r="X341" s="48" t="str">
        <x:v>600/600/600</x:v>
      </x:c>
      <x:c r="Y341" s="48" t="str">
        <x:v>—/—/—</x:v>
      </x:c>
      <x:c r="Z341" s="48" t="str">
        <x:v>—/—/—</x:v>
      </x:c>
      <x:c r="AA341" s="48" t="str">
        <x:v>—/—/—</x:v>
      </x:c>
      <x:c r="AB341" s="48" t="str">
        <x:v>air,friend,ground,hero,neutral,self/air,friend,ground,hero,neutral,self/air,friend,ground,hero,neutral,self</x:v>
      </x:c>
      <x:c r="AC341" s="48" t="str">
        <x:v>主动；无目标或脚本目标；主分类：资源机制；标签：伤害、资源机制、复活/死亡；等级：3；魔耗：100/200/300；冷却：200/175/150；施法距离：600/600/600；作用范围：—/—/—；持续时间：—/—/—。</x:v>
      </x:c>
      <x:c r="AD341" s="48" t="str">
        <x:v>40% / 360 / 1 / 150 / 2 / 300 / 3 / 450 / 200 / 175</x:v>
      </x:c>
      <x:c r="AE341" s="48" t="str">
        <x:v>A</x:v>
      </x:c>
      <x:c r="AF341" s="48" t="str">
        <x:v>6.48b 地图内 UnitAbilities/AbilityData/AbilityStrings 与对象修改表</x:v>
      </x:c>
      <x:c r="AG341" s="18" t="str">
        <x:v>S1</x:v>
      </x:c>
    </x:row>
    <x:row r="342" ht="48" customHeight="1">
      <x:c r="A342" s="19" t="str">
        <x:v>E01C-1</x:v>
      </x:c>
      <x:c r="B342" s="19" t="str">
        <x:v>天灾军团</x:v>
      </x:c>
      <x:c r="C342" s="19" t="str">
        <x:v>黄昏酒馆</x:v>
      </x:c>
      <x:c r="D342" s="19" t="str">
        <x:v>术士</x:v>
      </x:c>
      <x:c r="E342" s="19" t="str">
        <x:v>Warlock</x:v>
      </x:c>
      <x:c r="F342" s="19" t="str">
        <x:v>E01C</x:v>
      </x:c>
      <x:c r="G342" s="19" t="str">
        <x:v>Demnok Lannik</x:v>
      </x:c>
      <x:c r="H342" s="19" t="str">
        <x:v>INT</x:v>
      </x:c>
      <x:c r="I342" s="19" t="str">
        <x:v>远程</x:v>
      </x:c>
      <x:c r="J342" s="19" t="n">
        <x:v>1</x:v>
      </x:c>
      <x:c r="K342" s="19" t="str">
        <x:v>Shadow Word</x:v>
      </x:c>
      <x:c r="L342" s="19" t="str">
        <x:v>A0AS</x:v>
      </x:c>
      <x:c r="M342" s="49" t="str">
        <x:v>否</x:v>
      </x:c>
      <x:c r="N342" s="49" t="n">
        <x:v>4</x:v>
      </x:c>
      <x:c r="O342" s="49" t="n">
        <x:v>1</x:v>
      </x:c>
      <x:c r="P342" s="49" t="n">
        <x:v>2</x:v>
      </x:c>
      <x:c r="Q342" s="19" t="str">
        <x:v>主动</x:v>
      </x:c>
      <x:c r="R342" s="19" t="str">
        <x:v>无目标或脚本目标</x:v>
      </x:c>
      <x:c r="S342" s="19" t="str">
        <x:v>治疗/回复</x:v>
      </x:c>
      <x:c r="T342" s="19" t="str">
        <x:v>伤害、治疗/回复</x:v>
      </x:c>
      <x:c r="U342" s="48" t="str">
        <x:v>主动；无目标或脚本目标；主分类：治疗/回复；标签：伤害、治疗/回复</x:v>
      </x:c>
      <x:c r="V342" s="48" t="str">
        <x:v>90/110/130/150</x:v>
      </x:c>
      <x:c r="W342" s="48" t="str">
        <x:v>24/24/24/24</x:v>
      </x:c>
      <x:c r="X342" s="48" t="str">
        <x:v>500/500/500/500</x:v>
      </x:c>
      <x:c r="Y342" s="48" t="str">
        <x:v>—/—/—/—</x:v>
      </x:c>
      <x:c r="Z342" s="48" t="str">
        <x:v>—/—/—/—</x:v>
      </x:c>
      <x:c r="AA342" s="48" t="str">
        <x:v>—/—/—/—</x:v>
      </x:c>
      <x:c r="AB342" s="48" t="str">
        <x:v>air,enemies,friend,ground,neutral,self/air,enemies,friend,ground,neutral,self/air,enemies,friend,ground,neutral,self/air,enemies,friend,ground,neutral,self</x:v>
      </x:c>
      <x:c r="AC342" s="48" t="str">
        <x:v>主动；无目标或脚本目标；主分类：治疗/回复；标签：伤害、治疗/回复；等级：4；魔耗：90/110/130/150；冷却：24/24/24/24；施法距离：500/500/500/500；作用范围：—/—/—/—；持续时间：—/—/—/—。</x:v>
      </x:c>
      <x:c r="AD342" s="48" t="str">
        <x:v>8 / 1 / 10 / 2 / 20 / 3 / 30 / 4 / 40 / 24</x:v>
      </x:c>
      <x:c r="AE342" s="48" t="str">
        <x:v>A</x:v>
      </x:c>
      <x:c r="AF342" s="48" t="str">
        <x:v>6.48b 地图内 UnitAbilities/AbilityData/AbilityStrings 与对象修改表</x:v>
      </x:c>
      <x:c r="AG342" s="18" t="str">
        <x:v>S1</x:v>
      </x:c>
    </x:row>
    <x:row r="343" ht="48" customHeight="1">
      <x:c r="A343" s="19" t="str">
        <x:v>E01C-2</x:v>
      </x:c>
      <x:c r="B343" s="19" t="str">
        <x:v>天灾军团</x:v>
      </x:c>
      <x:c r="C343" s="19" t="str">
        <x:v>黄昏酒馆</x:v>
      </x:c>
      <x:c r="D343" s="19" t="str">
        <x:v>术士</x:v>
      </x:c>
      <x:c r="E343" s="19" t="str">
        <x:v>Warlock</x:v>
      </x:c>
      <x:c r="F343" s="19" t="str">
        <x:v>E01C</x:v>
      </x:c>
      <x:c r="G343" s="19" t="str">
        <x:v>Demnok Lannik</x:v>
      </x:c>
      <x:c r="H343" s="19" t="str">
        <x:v>INT</x:v>
      </x:c>
      <x:c r="I343" s="19" t="str">
        <x:v>远程</x:v>
      </x:c>
      <x:c r="J343" s="19" t="n">
        <x:v>2</x:v>
      </x:c>
      <x:c r="K343" s="19" t="str">
        <x:v>Upheaval</x:v>
      </x:c>
      <x:c r="L343" s="19" t="str">
        <x:v>A06P</x:v>
      </x:c>
      <x:c r="M343" s="49" t="str">
        <x:v>否</x:v>
      </x:c>
      <x:c r="N343" s="49" t="n">
        <x:v>4</x:v>
      </x:c>
      <x:c r="O343" s="49" t="n">
        <x:v>1</x:v>
      </x:c>
      <x:c r="P343" s="49" t="n">
        <x:v>2</x:v>
      </x:c>
      <x:c r="Q343" s="19" t="str">
        <x:v>主动</x:v>
      </x:c>
      <x:c r="R343" s="19" t="str">
        <x:v>点目标/区域</x:v>
      </x:c>
      <x:c r="S343" s="19" t="str">
        <x:v>软控</x:v>
      </x:c>
      <x:c r="T343" s="19" t="str">
        <x:v>软控、持续施法、范围效果</x:v>
      </x:c>
      <x:c r="U343" s="48" t="str">
        <x:v>主动；点目标/区域；主分类：软控；标签：软控、持续施法、范围效果</x:v>
      </x:c>
      <x:c r="V343" s="48" t="str">
        <x:v>100/110/120/130</x:v>
      </x:c>
      <x:c r="W343" s="48" t="str">
        <x:v>20/20/20/20</x:v>
      </x:c>
      <x:c r="X343" s="48" t="str">
        <x:v>700/700/700/700</x:v>
      </x:c>
      <x:c r="Y343" s="48" t="str">
        <x:v>650/650/650/650</x:v>
      </x:c>
      <x:c r="Z343" s="48" t="str">
        <x:v>—/—/—/—</x:v>
      </x:c>
      <x:c r="AA343" s="48" t="str">
        <x:v>—/—/—/—</x:v>
      </x:c>
      <x:c r="AB343" s="48" t="str">
        <x:v>enemies,ground,neutral/enemies,ground,neutral/enemies,ground,neutral/enemies,ground,neutral</x:v>
      </x:c>
      <x:c r="AC343" s="48" t="str">
        <x:v>主动；点目标/区域；主分类：软控；标签：软控、持续施法、范围效果；等级：4；魔耗：100/110/120/130；冷却：20/20/20/20；施法距离：700/700/700/700；作用范围：650/650/650/650；持续时间：—/—/—/—。</x:v>
      </x:c>
      <x:c r="AD343" s="48" t="str">
        <x:v>10 / 84% / 1 / 7% / 2 / 14% / 3 / 21% / 4 / 28% / 20</x:v>
      </x:c>
      <x:c r="AE343" s="48" t="str">
        <x:v>A</x:v>
      </x:c>
      <x:c r="AF343" s="48" t="str">
        <x:v>6.48b 地图内 UnitAbilities/AbilityData/AbilityStrings 与对象修改表</x:v>
      </x:c>
      <x:c r="AG343" s="18" t="str">
        <x:v>S1</x:v>
      </x:c>
    </x:row>
    <x:row r="344" ht="48" customHeight="1">
      <x:c r="A344" s="19" t="str">
        <x:v>E01C-3</x:v>
      </x:c>
      <x:c r="B344" s="19" t="str">
        <x:v>天灾军团</x:v>
      </x:c>
      <x:c r="C344" s="19" t="str">
        <x:v>黄昏酒馆</x:v>
      </x:c>
      <x:c r="D344" s="19" t="str">
        <x:v>术士</x:v>
      </x:c>
      <x:c r="E344" s="19" t="str">
        <x:v>Warlock</x:v>
      </x:c>
      <x:c r="F344" s="19" t="str">
        <x:v>E01C</x:v>
      </x:c>
      <x:c r="G344" s="19" t="str">
        <x:v>Demnok Lannik</x:v>
      </x:c>
      <x:c r="H344" s="19" t="str">
        <x:v>INT</x:v>
      </x:c>
      <x:c r="I344" s="19" t="str">
        <x:v>远程</x:v>
      </x:c>
      <x:c r="J344" s="19" t="n">
        <x:v>3</x:v>
      </x:c>
      <x:c r="K344" s="19" t="str">
        <x:v>Rain of Chaos</x:v>
      </x:c>
      <x:c r="L344" s="19" t="str">
        <x:v>S008</x:v>
      </x:c>
      <x:c r="M344" s="49" t="str">
        <x:v>是</x:v>
      </x:c>
      <x:c r="N344" s="49" t="n">
        <x:v>3</x:v>
      </x:c>
      <x:c r="O344" s="49" t="n">
        <x:v>6</x:v>
      </x:c>
      <x:c r="P344" s="49" t="n">
        <x:v>5</x:v>
      </x:c>
      <x:c r="Q344" s="19" t="str">
        <x:v>主动</x:v>
      </x:c>
      <x:c r="R344" s="19" t="str">
        <x:v>无目标/范围</x:v>
      </x:c>
      <x:c r="S344" s="19" t="str">
        <x:v>召唤</x:v>
      </x:c>
      <x:c r="T344" s="19" t="str">
        <x:v>伤害、硬控、召唤、范围效果</x:v>
      </x:c>
      <x:c r="U344" s="48" t="str">
        <x:v>主动；无目标/范围；主分类：召唤；标签：伤害、硬控、召唤、范围效果</x:v>
      </x:c>
      <x:c r="V344" s="48" t="str">
        <x:v>200/250/300</x:v>
      </x:c>
      <x:c r="W344" s="48" t="str">
        <x:v>165/165/165</x:v>
      </x:c>
      <x:c r="X344" s="48" t="str">
        <x:v>1200/1200/1200</x:v>
      </x:c>
      <x:c r="Y344" s="48" t="str">
        <x:v>600/600/600</x:v>
      </x:c>
      <x:c r="Z344" s="48" t="str">
        <x:v>1/1/1</x:v>
      </x:c>
      <x:c r="AA344" s="48" t="str">
        <x:v>1/1/1</x:v>
      </x:c>
      <x:c r="AB344" s="48" t="str">
        <x:v>enemies,ground,neutral,organic/enemies,ground,neutral,organic/enemies,ground,neutral,organic</x:v>
      </x:c>
      <x:c r="AC344" s="48" t="str">
        <x:v>主动；无目标/范围；主分类：召唤；标签：伤害、硬控、召唤、范围效果；等级：3；魔耗：200/250/300；冷却：165/165/165；施法距离：1200/1200/1200；作用范围：600/600/600；持续时间：1/1/1。</x:v>
      </x:c>
      <x:c r="AD344" s="48" t="str">
        <x:v>100 / 1 / 60 / 2 / 3 / 165</x:v>
      </x:c>
      <x:c r="AE344" s="48" t="str">
        <x:v>A</x:v>
      </x:c>
      <x:c r="AF344" s="48" t="str">
        <x:v>6.48b 地图内 UnitAbilities/AbilityData/AbilityStrings 与对象修改表</x:v>
      </x:c>
      <x:c r="AG344" s="18" t="str">
        <x:v>S1</x:v>
      </x:c>
    </x:row>
    <x:row r="345" ht="48" customHeight="1">
      <x:c r="A345" s="19" t="str">
        <x:v>E01C-4</x:v>
      </x:c>
      <x:c r="B345" s="19" t="str">
        <x:v>天灾军团</x:v>
      </x:c>
      <x:c r="C345" s="19" t="str">
        <x:v>黄昏酒馆</x:v>
      </x:c>
      <x:c r="D345" s="19" t="str">
        <x:v>术士</x:v>
      </x:c>
      <x:c r="E345" s="19" t="str">
        <x:v>Warlock</x:v>
      </x:c>
      <x:c r="F345" s="19" t="str">
        <x:v>E01C</x:v>
      </x:c>
      <x:c r="G345" s="19" t="str">
        <x:v>Demnok Lannik</x:v>
      </x:c>
      <x:c r="H345" s="19" t="str">
        <x:v>INT</x:v>
      </x:c>
      <x:c r="I345" s="19" t="str">
        <x:v>远程</x:v>
      </x:c>
      <x:c r="J345" s="19" t="n">
        <x:v>4</x:v>
      </x:c>
      <x:c r="K345" s="19" t="str">
        <x:v>Fatal Bonds</x:v>
      </x:c>
      <x:c r="L345" s="19" t="str">
        <x:v>A0J5</x:v>
      </x:c>
      <x:c r="M345" s="49" t="str">
        <x:v>否</x:v>
      </x:c>
      <x:c r="N345" s="49" t="n">
        <x:v>4</x:v>
      </x:c>
      <x:c r="O345" s="49" t="n">
        <x:v>1</x:v>
      </x:c>
      <x:c r="P345" s="49" t="n">
        <x:v>2</x:v>
      </x:c>
      <x:c r="Q345" s="19" t="str">
        <x:v>主动</x:v>
      </x:c>
      <x:c r="R345" s="19" t="str">
        <x:v>无目标或脚本目标</x:v>
      </x:c>
      <x:c r="S345" s="19" t="str">
        <x:v>伤害</x:v>
      </x:c>
      <x:c r="T345" s="19" t="str">
        <x:v>伤害</x:v>
      </x:c>
      <x:c r="U345" s="48" t="str">
        <x:v>主动；无目标或脚本目标；主分类：伤害；标签：伤害</x:v>
      </x:c>
      <x:c r="V345" s="48" t="str">
        <x:v>120/120/120/120</x:v>
      </x:c>
      <x:c r="W345" s="48" t="str">
        <x:v>30/30/30/30</x:v>
      </x:c>
      <x:c r="X345" s="48" t="str">
        <x:v>600/600/600/600</x:v>
      </x:c>
      <x:c r="Y345" s="48" t="str">
        <x:v>—/—/—/—</x:v>
      </x:c>
      <x:c r="Z345" s="48" t="str">
        <x:v>—/—/—/—</x:v>
      </x:c>
      <x:c r="AA345" s="48" t="str">
        <x:v>—/—/—/—</x:v>
      </x:c>
      <x:c r="AB345" s="48" t="str">
        <x:v>air,enemies,ground,nonancient/air,enemies,ground,nonancient/air,enemies,ground,nonancient/air,enemies,ground,nonancient</x:v>
      </x:c>
      <x:c r="AC345" s="48" t="str">
        <x:v>主动；无目标或脚本目标；主分类：伤害；标签：伤害；等级：4；魔耗：120/120/120/120；冷却：30/30/30/30；施法距离：600/600/600/600；作用范围：—/—/—/—；持续时间：—/—/—/—。</x:v>
      </x:c>
      <x:c r="AD345" s="48" t="str">
        <x:v>5 / 25 / 1 / 5% / 2 / 10% / 3 / 15% / 4 / 20% / 30</x:v>
      </x:c>
      <x:c r="AE345" s="48" t="str">
        <x:v>A</x:v>
      </x:c>
      <x:c r="AF345" s="48" t="str">
        <x:v>6.48b 地图内 UnitAbilities/AbilityData/AbilityStrings 与对象修改表</x:v>
      </x:c>
      <x:c r="AG345" s="18" t="str">
        <x:v>S1</x:v>
      </x:c>
    </x:row>
    <x:row r="346" ht="48" customHeight="1">
      <x:c r="A346" s="19" t="str">
        <x:v>U00P-1</x:v>
      </x:c>
      <x:c r="B346" s="19" t="str">
        <x:v>天灾军团</x:v>
      </x:c>
      <x:c r="C346" s="19" t="str">
        <x:v>黄昏酒馆</x:v>
      </x:c>
      <x:c r="D346" s="19" t="str">
        <x:v>黑曜毁灭者</x:v>
      </x:c>
      <x:c r="E346" s="19" t="str">
        <x:v>Obsidian Destroyer</x:v>
      </x:c>
      <x:c r="F346" s="19" t="str">
        <x:v>U00P</x:v>
      </x:c>
      <x:c r="G346" s="19" t="str">
        <x:v>Harbinger</x:v>
      </x:c>
      <x:c r="H346" s="19" t="str">
        <x:v>INT</x:v>
      </x:c>
      <x:c r="I346" s="19" t="str">
        <x:v>远程</x:v>
      </x:c>
      <x:c r="J346" s="19" t="n">
        <x:v>1</x:v>
      </x:c>
      <x:c r="K346" s="19" t="str">
        <x:v>Arcane Orb</x:v>
      </x:c>
      <x:c r="L346" s="19" t="str">
        <x:v>A0OI</x:v>
      </x:c>
      <x:c r="M346" s="49" t="str">
        <x:v>否</x:v>
      </x:c>
      <x:c r="N346" s="49" t="n">
        <x:v>4</x:v>
      </x:c>
      <x:c r="O346" s="49" t="n">
        <x:v>1</x:v>
      </x:c>
      <x:c r="P346" s="49" t="n">
        <x:v>2</x:v>
      </x:c>
      <x:c r="Q346" s="19" t="str">
        <x:v>开关/自动施放</x:v>
      </x:c>
      <x:c r="R346" s="19" t="str">
        <x:v>—</x:v>
      </x:c>
      <x:c r="S346" s="19" t="str">
        <x:v>召唤</x:v>
      </x:c>
      <x:c r="T346" s="19" t="str">
        <x:v>伤害、召唤、强化、资源机制</x:v>
      </x:c>
      <x:c r="U346" s="48" t="str">
        <x:v>开关/自动施放；—；主分类：召唤；标签：伤害、召唤、强化、资源机制</x:v>
      </x:c>
      <x:c r="V346" s="48" t="str">
        <x:v>100/100/100/100</x:v>
      </x:c>
      <x:c r="W346" s="48" t="str">
        <x:v>6/4/2/—</x:v>
      </x:c>
      <x:c r="X346" s="48" t="str">
        <x:v>450/450/450/450</x:v>
      </x:c>
      <x:c r="Y346" s="48" t="str">
        <x:v>—/—/—/—</x:v>
      </x:c>
      <x:c r="Z346" s="48" t="str">
        <x:v>1/1/1/1</x:v>
      </x:c>
      <x:c r="AA346" s="48" t="str">
        <x:v>1/1/1/1</x:v>
      </x:c>
      <x:c r="AB346" s="48" t="str">
        <x:v>air,enemies,ground,organic/air,enemies,ground,organic/air,enemies,ground,organic/air,enemies,ground,organic</x:v>
      </x:c>
      <x:c r="AC346" s="48" t="str">
        <x:v>开关/自动施放；—；主分类：召唤；标签：伤害、召唤、强化、资源机制；等级：4；魔耗：100/100/100/100；冷却：6/4/2/—；施法距离：450/450/450/450；作用范围：—/—/—/—；持续时间：1/1/1/1。</x:v>
      </x:c>
      <x:c r="AD346" s="48" t="str">
        <x:v>1 / 6% / 100 / 2 / 7% / 200 / 3 / 8% / 300 / 4 / 9% / 400 / 6 / 0</x:v>
      </x:c>
      <x:c r="AE346" s="48" t="str">
        <x:v>A</x:v>
      </x:c>
      <x:c r="AF346" s="48" t="str">
        <x:v>6.48b 地图内 UnitAbilities/AbilityData/AbilityStrings 与对象修改表</x:v>
      </x:c>
      <x:c r="AG346" s="18" t="str">
        <x:v>S1</x:v>
      </x:c>
    </x:row>
    <x:row r="347" ht="48" customHeight="1">
      <x:c r="A347" s="19" t="str">
        <x:v>U00P-2</x:v>
      </x:c>
      <x:c r="B347" s="19" t="str">
        <x:v>天灾军团</x:v>
      </x:c>
      <x:c r="C347" s="19" t="str">
        <x:v>黄昏酒馆</x:v>
      </x:c>
      <x:c r="D347" s="19" t="str">
        <x:v>黑曜毁灭者</x:v>
      </x:c>
      <x:c r="E347" s="19" t="str">
        <x:v>Obsidian Destroyer</x:v>
      </x:c>
      <x:c r="F347" s="19" t="str">
        <x:v>U00P</x:v>
      </x:c>
      <x:c r="G347" s="19" t="str">
        <x:v>Harbinger</x:v>
      </x:c>
      <x:c r="H347" s="19" t="str">
        <x:v>INT</x:v>
      </x:c>
      <x:c r="I347" s="19" t="str">
        <x:v>远程</x:v>
      </x:c>
      <x:c r="J347" s="19" t="n">
        <x:v>2</x:v>
      </x:c>
      <x:c r="K347" s="19" t="str">
        <x:v>Astral Imprisonment</x:v>
      </x:c>
      <x:c r="L347" s="19" t="str">
        <x:v>A0OJ</x:v>
      </x:c>
      <x:c r="M347" s="49" t="str">
        <x:v>否</x:v>
      </x:c>
      <x:c r="N347" s="49" t="n">
        <x:v>4</x:v>
      </x:c>
      <x:c r="O347" s="49" t="n">
        <x:v>1</x:v>
      </x:c>
      <x:c r="P347" s="49" t="n">
        <x:v>2</x:v>
      </x:c>
      <x:c r="Q347" s="19" t="str">
        <x:v>主动</x:v>
      </x:c>
      <x:c r="R347" s="19" t="str">
        <x:v>单位目标</x:v>
      </x:c>
      <x:c r="S347" s="19" t="str">
        <x:v>位移</x:v>
      </x:c>
      <x:c r="T347" s="19" t="str">
        <x:v>防御/生存、位移</x:v>
      </x:c>
      <x:c r="U347" s="48" t="str">
        <x:v>主动；单位目标；主分类：位移；标签：防御/生存、位移</x:v>
      </x:c>
      <x:c r="V347" s="48" t="str">
        <x:v>120/140/160/180</x:v>
      </x:c>
      <x:c r="W347" s="48" t="str">
        <x:v>20/20/20/20</x:v>
      </x:c>
      <x:c r="X347" s="48" t="str">
        <x:v>550/550/550/550</x:v>
      </x:c>
      <x:c r="Y347" s="48" t="str">
        <x:v>500/500/500/500</x:v>
      </x:c>
      <x:c r="Z347" s="48" t="str">
        <x:v>—/—/—/—</x:v>
      </x:c>
      <x:c r="AA347" s="48" t="str">
        <x:v>—/—/—/—</x:v>
      </x:c>
      <x:c r="AB347" s="48" t="str">
        <x:v>enemies,friend,hero,self/enemies,friend,hero,self/enemies,friend,hero,self/enemies,friend,hero,self</x:v>
      </x:c>
      <x:c r="AC347" s="48" t="str">
        <x:v>主动；单位目标；主分类：位移；标签：防御/生存、位移；等级：4；魔耗：120/140/160/180；冷却：20/20/20/20；施法距离：550/550/550/550；作用范围：500/500/500/500；持续时间：—/—/—/—。</x:v>
      </x:c>
      <x:c r="AD347" s="48" t="str">
        <x:v>60 / 1 / 2 / 4 / 3 / 6 / 8 / 20</x:v>
      </x:c>
      <x:c r="AE347" s="48" t="str">
        <x:v>A</x:v>
      </x:c>
      <x:c r="AF347" s="48" t="str">
        <x:v>6.48b 地图内 UnitAbilities/AbilityData/AbilityStrings 与对象修改表</x:v>
      </x:c>
      <x:c r="AG347" s="18" t="str">
        <x:v>S1</x:v>
      </x:c>
    </x:row>
    <x:row r="348" ht="48" customHeight="1">
      <x:c r="A348" s="19" t="str">
        <x:v>U00P-3</x:v>
      </x:c>
      <x:c r="B348" s="19" t="str">
        <x:v>天灾军团</x:v>
      </x:c>
      <x:c r="C348" s="19" t="str">
        <x:v>黄昏酒馆</x:v>
      </x:c>
      <x:c r="D348" s="19" t="str">
        <x:v>黑曜毁灭者</x:v>
      </x:c>
      <x:c r="E348" s="19" t="str">
        <x:v>Obsidian Destroyer</x:v>
      </x:c>
      <x:c r="F348" s="19" t="str">
        <x:v>U00P</x:v>
      </x:c>
      <x:c r="G348" s="19" t="str">
        <x:v>Harbinger</x:v>
      </x:c>
      <x:c r="H348" s="19" t="str">
        <x:v>INT</x:v>
      </x:c>
      <x:c r="I348" s="19" t="str">
        <x:v>远程</x:v>
      </x:c>
      <x:c r="J348" s="19" t="n">
        <x:v>3</x:v>
      </x:c>
      <x:c r="K348" s="19" t="str">
        <x:v>Essence Aura</x:v>
      </x:c>
      <x:c r="L348" s="19" t="str">
        <x:v>A0OG</x:v>
      </x:c>
      <x:c r="M348" s="49" t="str">
        <x:v>否</x:v>
      </x:c>
      <x:c r="N348" s="49" t="n">
        <x:v>4</x:v>
      </x:c>
      <x:c r="O348" s="49" t="n">
        <x:v>1</x:v>
      </x:c>
      <x:c r="P348" s="49" t="n">
        <x:v>2</x:v>
      </x:c>
      <x:c r="Q348" s="19" t="str">
        <x:v>被动</x:v>
      </x:c>
      <x:c r="R348" s="19" t="str">
        <x:v>被动</x:v>
      </x:c>
      <x:c r="S348" s="19" t="str">
        <x:v>强化</x:v>
      </x:c>
      <x:c r="T348" s="19" t="str">
        <x:v>强化、光环、资源机制、范围效果、被动触发</x:v>
      </x:c>
      <x:c r="U348" s="48" t="str">
        <x:v>被动；被动；主分类：强化；标签：强化、光环、资源机制、范围效果、被动触发</x:v>
      </x:c>
      <x:c r="V348" s="48" t="str">
        <x:v>—/—/—/—</x:v>
      </x:c>
      <x:c r="W348" s="48" t="str">
        <x:v>—/—/—/—</x:v>
      </x:c>
      <x:c r="X348" s="48" t="str">
        <x:v>—/—/—/—</x:v>
      </x:c>
      <x:c r="Y348" s="48" t="str">
        <x:v>1000/1000/1000/1000</x:v>
      </x:c>
      <x:c r="Z348" s="48" t="str">
        <x:v>—/—/—/—</x:v>
      </x:c>
      <x:c r="AA348" s="48" t="str">
        <x:v>—/—/—/—</x:v>
      </x:c>
      <x:c r="AB348" s="48" t="str">
        <x:v>air,friend,ground,hero,invulnerable,self,vulnerable/air,friend,ground,hero,invulnerable,self,vulnerable/air,friend,ground,hero,invulnerable,self,vulnerable/air,friend,ground,hero,invulnerable,self,vulnerable</x:v>
      </x:c>
      <x:c r="AC348" s="48" t="str">
        <x:v>被动；被动；主分类：强化；标签：强化、光环、资源机制、范围效果、被动触发；等级：4；魔耗：—/—/—/—；冷却：—/—/—/—；施法距离：—/—/—/—；作用范围：1000/1000/1000/1000；持续时间：—/—/—/—。</x:v>
      </x:c>
      <x:c r="AD348" s="48" t="str">
        <x:v>1 / 10% / 25% / 5% / 75 / 2 / 20% / 150 / 3 / 30% / 15% / 225 / 4 / 40% / 300</x:v>
      </x:c>
      <x:c r="AE348" s="48" t="str">
        <x:v>A</x:v>
      </x:c>
      <x:c r="AF348" s="48" t="str">
        <x:v>6.48b 地图内 UnitAbilities/AbilityData/AbilityStrings 与对象修改表</x:v>
      </x:c>
      <x:c r="AG348" s="18" t="str">
        <x:v>S1</x:v>
      </x:c>
    </x:row>
    <x:row r="349" ht="48" customHeight="1">
      <x:c r="A349" s="19" t="str">
        <x:v>U00P-4</x:v>
      </x:c>
      <x:c r="B349" s="19" t="str">
        <x:v>天灾军团</x:v>
      </x:c>
      <x:c r="C349" s="19" t="str">
        <x:v>黄昏酒馆</x:v>
      </x:c>
      <x:c r="D349" s="19" t="str">
        <x:v>黑曜毁灭者</x:v>
      </x:c>
      <x:c r="E349" s="19" t="str">
        <x:v>Obsidian Destroyer</x:v>
      </x:c>
      <x:c r="F349" s="19" t="str">
        <x:v>U00P</x:v>
      </x:c>
      <x:c r="G349" s="19" t="str">
        <x:v>Harbinger</x:v>
      </x:c>
      <x:c r="H349" s="19" t="str">
        <x:v>INT</x:v>
      </x:c>
      <x:c r="I349" s="19" t="str">
        <x:v>远程</x:v>
      </x:c>
      <x:c r="J349" s="19" t="n">
        <x:v>4</x:v>
      </x:c>
      <x:c r="K349" s="19" t="str">
        <x:v>Sanity's Eclipse</x:v>
      </x:c>
      <x:c r="L349" s="19" t="str">
        <x:v>A0OK</x:v>
      </x:c>
      <x:c r="M349" s="49" t="str">
        <x:v>是</x:v>
      </x:c>
      <x:c r="N349" s="49" t="n">
        <x:v>3</x:v>
      </x:c>
      <x:c r="O349" s="49" t="n">
        <x:v>6</x:v>
      </x:c>
      <x:c r="P349" s="49" t="n">
        <x:v>5</x:v>
      </x:c>
      <x:c r="Q349" s="19" t="str">
        <x:v>主动</x:v>
      </x:c>
      <x:c r="R349" s="19" t="str">
        <x:v>无目标/范围</x:v>
      </x:c>
      <x:c r="S349" s="19" t="str">
        <x:v>资源机制</x:v>
      </x:c>
      <x:c r="T349" s="19" t="str">
        <x:v>伤害、资源机制、范围效果</x:v>
      </x:c>
      <x:c r="U349" s="48" t="str">
        <x:v>主动；无目标/范围；主分类：资源机制；标签：伤害、资源机制、范围效果</x:v>
      </x:c>
      <x:c r="V349" s="48" t="str">
        <x:v>175/250/325</x:v>
      </x:c>
      <x:c r="W349" s="48" t="str">
        <x:v>160/160/160</x:v>
      </x:c>
      <x:c r="X349" s="48" t="str">
        <x:v>600/650/700</x:v>
      </x:c>
      <x:c r="Y349" s="48" t="str">
        <x:v>400/500/600</x:v>
      </x:c>
      <x:c r="Z349" s="48" t="str">
        <x:v>—/—/—</x:v>
      </x:c>
      <x:c r="AA349" s="48" t="str">
        <x:v>—/—/—</x:v>
      </x:c>
      <x:c r="AB349" s="48" t="str">
        <x:v>—/—/—</x:v>
      </x:c>
      <x:c r="AC349" s="48" t="str">
        <x:v>主动；无目标/范围；主分类：资源机制；标签：伤害、资源机制、范围效果；等级：3；魔耗：175/250/325；冷却：160/160/160；施法距离：600/650/700；作用范围：400/500/600；持续时间：—/—/—。</x:v>
      </x:c>
      <x:c r="AD349" s="48" t="str">
        <x:v>75% / 1 / 8 / 400 / 2 / 9 / 500 / 3 / 10 / 600 / 160 / 100 / 300</x:v>
      </x:c>
      <x:c r="AE349" s="48" t="str">
        <x:v>A</x:v>
      </x:c>
      <x:c r="AF349" s="48" t="str">
        <x:v>6.48b 地图内 UnitAbilities/AbilityData/AbilityStrings 与对象修改表</x:v>
      </x:c>
      <x:c r="AG349" s="18" t="str">
        <x:v>S1</x:v>
      </x:c>
    </x:row>
    <x:row r="350" ht="48" customHeight="1">
      <x:c r="A350" s="19" t="str">
        <x:v>E01A-1</x:v>
      </x:c>
      <x:c r="B350" s="19" t="str">
        <x:v>天灾军团</x:v>
      </x:c>
      <x:c r="C350" s="19" t="str">
        <x:v>黄昏酒馆</x:v>
      </x:c>
      <x:c r="D350" s="19" t="str">
        <x:v>巫医</x:v>
      </x:c>
      <x:c r="E350" s="19" t="str">
        <x:v>Witch Doctor</x:v>
      </x:c>
      <x:c r="F350" s="19" t="str">
        <x:v>E01A</x:v>
      </x:c>
      <x:c r="G350" s="19" t="str">
        <x:v>Vol'Jin</x:v>
      </x:c>
      <x:c r="H350" s="19" t="str">
        <x:v>INT</x:v>
      </x:c>
      <x:c r="I350" s="19" t="str">
        <x:v>远程</x:v>
      </x:c>
      <x:c r="J350" s="19" t="n">
        <x:v>1</x:v>
      </x:c>
      <x:c r="K350" s="19" t="str">
        <x:v>Paralyzing Cask</x:v>
      </x:c>
      <x:c r="L350" s="19" t="str">
        <x:v>A0NM</x:v>
      </x:c>
      <x:c r="M350" s="49" t="str">
        <x:v>否</x:v>
      </x:c>
      <x:c r="N350" s="49" t="n">
        <x:v>4</x:v>
      </x:c>
      <x:c r="O350" s="49" t="n">
        <x:v>1</x:v>
      </x:c>
      <x:c r="P350" s="49" t="n">
        <x:v>2</x:v>
      </x:c>
      <x:c r="Q350" s="19" t="str">
        <x:v>主动</x:v>
      </x:c>
      <x:c r="R350" s="19" t="str">
        <x:v>无目标或脚本目标</x:v>
      </x:c>
      <x:c r="S350" s="19" t="str">
        <x:v>硬控</x:v>
      </x:c>
      <x:c r="T350" s="19" t="str">
        <x:v>伤害、硬控</x:v>
      </x:c>
      <x:c r="U350" s="48" t="str">
        <x:v>主动；无目标或脚本目标；主分类：硬控；标签：伤害、硬控</x:v>
      </x:c>
      <x:c r="V350" s="48" t="str">
        <x:v>140/140/140/140</x:v>
      </x:c>
      <x:c r="W350" s="48" t="str">
        <x:v>20/18/16/14</x:v>
      </x:c>
      <x:c r="X350" s="48" t="str">
        <x:v>700/700/700/700</x:v>
      </x:c>
      <x:c r="Y350" s="48" t="str">
        <x:v>500/500/500/500</x:v>
      </x:c>
      <x:c r="Z350" s="48" t="str">
        <x:v>—/—/—/—</x:v>
      </x:c>
      <x:c r="AA350" s="48" t="str">
        <x:v>—/—/—/—</x:v>
      </x:c>
      <x:c r="AB350" s="48" t="str">
        <x:v>air,ground,enemy,neutral,organic/air,ground,enemy,neutral,organic/air,ground,enemy,neutral,organic/air,ground,enemy,neutral,organic</x:v>
      </x:c>
      <x:c r="AC350" s="48" t="str">
        <x:v>主动；无目标或脚本目标；主分类：硬控；标签：伤害、硬控；等级：4；魔耗：140/140/140/140；冷却：20/18/16/14；施法距离：700/700/700/700；作用范围：500/500/500/500；持续时间：—/—/—/—。</x:v>
      </x:c>
      <x:c r="AD350" s="48" t="str">
        <x:v>1 / 5 / 2 / 75 / 4 / 100 / 3 / 6 / 125 / 8 / 150 / 20 / 18 / 16 / 14</x:v>
      </x:c>
      <x:c r="AE350" s="48" t="str">
        <x:v>A</x:v>
      </x:c>
      <x:c r="AF350" s="48" t="str">
        <x:v>6.48b 地图内 UnitAbilities/AbilityData/AbilityStrings 与对象修改表</x:v>
      </x:c>
      <x:c r="AG350" s="18" t="str">
        <x:v>S1</x:v>
      </x:c>
    </x:row>
    <x:row r="351" ht="48" customHeight="1">
      <x:c r="A351" s="19" t="str">
        <x:v>E01A-2</x:v>
      </x:c>
      <x:c r="B351" s="19" t="str">
        <x:v>天灾军团</x:v>
      </x:c>
      <x:c r="C351" s="19" t="str">
        <x:v>黄昏酒馆</x:v>
      </x:c>
      <x:c r="D351" s="19" t="str">
        <x:v>巫医</x:v>
      </x:c>
      <x:c r="E351" s="19" t="str">
        <x:v>Witch Doctor</x:v>
      </x:c>
      <x:c r="F351" s="19" t="str">
        <x:v>E01A</x:v>
      </x:c>
      <x:c r="G351" s="19" t="str">
        <x:v>Vol'Jin</x:v>
      </x:c>
      <x:c r="H351" s="19" t="str">
        <x:v>INT</x:v>
      </x:c>
      <x:c r="I351" s="19" t="str">
        <x:v>远程</x:v>
      </x:c>
      <x:c r="J351" s="19" t="n">
        <x:v>2</x:v>
      </x:c>
      <x:c r="K351" s="19" t="str">
        <x:v>Voodoo Restoration</x:v>
      </x:c>
      <x:c r="L351" s="19" t="str">
        <x:v>A0NE</x:v>
      </x:c>
      <x:c r="M351" s="49" t="str">
        <x:v>否</x:v>
      </x:c>
      <x:c r="N351" s="49" t="n">
        <x:v>4</x:v>
      </x:c>
      <x:c r="O351" s="49" t="n">
        <x:v>1</x:v>
      </x:c>
      <x:c r="P351" s="49" t="n">
        <x:v>2</x:v>
      </x:c>
      <x:c r="Q351" s="19" t="str">
        <x:v>主动</x:v>
      </x:c>
      <x:c r="R351" s="19" t="str">
        <x:v>无目标/范围</x:v>
      </x:c>
      <x:c r="S351" s="19" t="str">
        <x:v>治疗/回复</x:v>
      </x:c>
      <x:c r="T351" s="19" t="str">
        <x:v>治疗/回复、削弱、资源机制、范围效果</x:v>
      </x:c>
      <x:c r="U351" s="48" t="str">
        <x:v>主动；无目标/范围；主分类：治疗/回复；标签：治疗/回复、削弱、资源机制、范围效果</x:v>
      </x:c>
      <x:c r="V351" s="48" t="str">
        <x:v>15/30/75/100</x:v>
      </x:c>
      <x:c r="W351" s="48" t="str">
        <x:v>—/—/—/—</x:v>
      </x:c>
      <x:c r="X351" s="48" t="str">
        <x:v>—/—/—/—</x:v>
      </x:c>
      <x:c r="Y351" s="48" t="str">
        <x:v>340/340/340/340</x:v>
      </x:c>
      <x:c r="Z351" s="48" t="str">
        <x:v>1/1/1/1</x:v>
      </x:c>
      <x:c r="AA351" s="48" t="str">
        <x:v>1/1/1/1</x:v>
      </x:c>
      <x:c r="AB351" s="48" t="str">
        <x:v>friend,ground,neutral,organic,self/friend,ground,neutral,organic,self/friend,ground,neutral,organic,self/friend,ground,neutral,organic,self</x:v>
      </x:c>
      <x:c r="AC351" s="48" t="str">
        <x:v>主动；无目标/范围；主分类：治疗/回复；标签：治疗/回复、削弱、资源机制、范围效果；等级：4；魔耗：15/30/75/100；冷却：—/—/—/—；施法距离：—/—/—/—；作用范围：340/340/340/340；持续时间：1/1/1/1。</x:v>
      </x:c>
      <x:c r="AD351" s="48" t="str">
        <x:v>1 / 6 / 2 / 12 / 3 / 24 / 4 / 30 / 5 / 10</x:v>
      </x:c>
      <x:c r="AE351" s="48" t="str">
        <x:v>A</x:v>
      </x:c>
      <x:c r="AF351" s="48" t="str">
        <x:v>6.48b 地图内 UnitAbilities/AbilityData/AbilityStrings 与对象修改表</x:v>
      </x:c>
      <x:c r="AG351" s="18" t="str">
        <x:v>S1</x:v>
      </x:c>
    </x:row>
    <x:row r="352" ht="48" customHeight="1">
      <x:c r="A352" s="19" t="str">
        <x:v>E01A-3</x:v>
      </x:c>
      <x:c r="B352" s="19" t="str">
        <x:v>天灾军团</x:v>
      </x:c>
      <x:c r="C352" s="19" t="str">
        <x:v>黄昏酒馆</x:v>
      </x:c>
      <x:c r="D352" s="19" t="str">
        <x:v>巫医</x:v>
      </x:c>
      <x:c r="E352" s="19" t="str">
        <x:v>Witch Doctor</x:v>
      </x:c>
      <x:c r="F352" s="19" t="str">
        <x:v>E01A</x:v>
      </x:c>
      <x:c r="G352" s="19" t="str">
        <x:v>Vol'Jin</x:v>
      </x:c>
      <x:c r="H352" s="19" t="str">
        <x:v>INT</x:v>
      </x:c>
      <x:c r="I352" s="19" t="str">
        <x:v>远程</x:v>
      </x:c>
      <x:c r="J352" s="19" t="n">
        <x:v>3</x:v>
      </x:c>
      <x:c r="K352" s="19" t="str">
        <x:v>Maledict</x:v>
      </x:c>
      <x:c r="L352" s="19" t="str">
        <x:v>A0NO</x:v>
      </x:c>
      <x:c r="M352" s="49" t="str">
        <x:v>否</x:v>
      </x:c>
      <x:c r="N352" s="49" t="n">
        <x:v>4</x:v>
      </x:c>
      <x:c r="O352" s="49" t="n">
        <x:v>1</x:v>
      </x:c>
      <x:c r="P352" s="49" t="n">
        <x:v>2</x:v>
      </x:c>
      <x:c r="Q352" s="19" t="str">
        <x:v>主动</x:v>
      </x:c>
      <x:c r="R352" s="19" t="str">
        <x:v>无目标或脚本目标</x:v>
      </x:c>
      <x:c r="S352" s="19" t="str">
        <x:v>强化</x:v>
      </x:c>
      <x:c r="T352" s="19" t="str">
        <x:v>伤害、强化、削弱、范围效果</x:v>
      </x:c>
      <x:c r="U352" s="48" t="str">
        <x:v>主动；无目标或脚本目标；主分类：强化；标签：伤害、强化、削弱、范围效果</x:v>
      </x:c>
      <x:c r="V352" s="48" t="str">
        <x:v>120/120/120/120</x:v>
      </x:c>
      <x:c r="W352" s="48" t="str">
        <x:v>35/35/35/35</x:v>
      </x:c>
      <x:c r="X352" s="48" t="str">
        <x:v>400/400/400/400</x:v>
      </x:c>
      <x:c r="Y352" s="48" t="str">
        <x:v>150/150/150/150</x:v>
      </x:c>
      <x:c r="Z352" s="48" t="str">
        <x:v>—/—/—/—</x:v>
      </x:c>
      <x:c r="AA352" s="48" t="str">
        <x:v>—/—/—/—</x:v>
      </x:c>
      <x:c r="AB352" s="48" t="str">
        <x:v>enemies,ground,neutral/enemies,ground,neutral/enemies,ground,neutral/enemies,ground,neutral</x:v>
      </x:c>
      <x:c r="AC352" s="48" t="str">
        <x:v>主动；无目标或脚本目标；主分类：强化；标签：伤害、强化、削弱、范围效果；等级：4；魔耗：120/120/120/120；冷却：35/35/35/35；施法距离：400/400/400/400；作用范围：150/150/150/150；持续时间：—/—/—/—。</x:v>
      </x:c>
      <x:c r="AD352" s="48" t="str">
        <x:v>4 / 12 / 1 / 5 / 10 / 100 / 2 / 20 / 3 / 15 / 30 / 40 / 35</x:v>
      </x:c>
      <x:c r="AE352" s="48" t="str">
        <x:v>A</x:v>
      </x:c>
      <x:c r="AF352" s="48" t="str">
        <x:v>6.48b 地图内 UnitAbilities/AbilityData/AbilityStrings 与对象修改表</x:v>
      </x:c>
      <x:c r="AG352" s="18" t="str">
        <x:v>S1</x:v>
      </x:c>
    </x:row>
    <x:row r="353" ht="48" customHeight="1">
      <x:c r="A353" s="19" t="str">
        <x:v>E01A-4</x:v>
      </x:c>
      <x:c r="B353" s="19" t="str">
        <x:v>天灾军团</x:v>
      </x:c>
      <x:c r="C353" s="19" t="str">
        <x:v>黄昏酒馆</x:v>
      </x:c>
      <x:c r="D353" s="19" t="str">
        <x:v>巫医</x:v>
      </x:c>
      <x:c r="E353" s="19" t="str">
        <x:v>Witch Doctor</x:v>
      </x:c>
      <x:c r="F353" s="19" t="str">
        <x:v>E01A</x:v>
      </x:c>
      <x:c r="G353" s="19" t="str">
        <x:v>Vol'Jin</x:v>
      </x:c>
      <x:c r="H353" s="19" t="str">
        <x:v>INT</x:v>
      </x:c>
      <x:c r="I353" s="19" t="str">
        <x:v>远程</x:v>
      </x:c>
      <x:c r="J353" s="19" t="n">
        <x:v>4</x:v>
      </x:c>
      <x:c r="K353" s="19" t="str">
        <x:v>Death Ward</x:v>
      </x:c>
      <x:c r="L353" s="19" t="str">
        <x:v>A0NT</x:v>
      </x:c>
      <x:c r="M353" s="49" t="str">
        <x:v>是</x:v>
      </x:c>
      <x:c r="N353" s="49" t="n">
        <x:v>3</x:v>
      </x:c>
      <x:c r="O353" s="49" t="n">
        <x:v>6</x:v>
      </x:c>
      <x:c r="P353" s="49" t="n">
        <x:v>5</x:v>
      </x:c>
      <x:c r="Q353" s="19" t="str">
        <x:v>主动</x:v>
      </x:c>
      <x:c r="R353" s="19" t="str">
        <x:v>无目标或脚本目标</x:v>
      </x:c>
      <x:c r="S353" s="19" t="str">
        <x:v>召唤</x:v>
      </x:c>
      <x:c r="T353" s="19" t="str">
        <x:v>伤害、召唤、持续施法</x:v>
      </x:c>
      <x:c r="U353" s="48" t="str">
        <x:v>主动；无目标或脚本目标；主分类：召唤；标签：伤害、召唤、持续施法</x:v>
      </x:c>
      <x:c r="V353" s="48" t="str">
        <x:v>200/200/200</x:v>
      </x:c>
      <x:c r="W353" s="48" t="str">
        <x:v>90/90/90</x:v>
      </x:c>
      <x:c r="X353" s="48" t="str">
        <x:v>300/350/400</x:v>
      </x:c>
      <x:c r="Y353" s="48" t="str">
        <x:v>—/—/—</x:v>
      </x:c>
      <x:c r="Z353" s="48" t="str">
        <x:v>8/8/8</x:v>
      </x:c>
      <x:c r="AA353" s="48" t="str">
        <x:v>8/8/8</x:v>
      </x:c>
      <x:c r="AB353" s="48" t="str">
        <x:v>—/—/—</x:v>
      </x:c>
      <x:c r="AC353" s="48" t="str">
        <x:v>主动；无目标或脚本目标；主分类：召唤；标签：伤害、召唤、持续施法；等级：3；魔耗：200/200/200；冷却：90/90/90；施法距离：300/350/400；作用范围：—/—/—；持续时间：8/8/8。</x:v>
      </x:c>
      <x:c r="AD353" s="48" t="str">
        <x:v>1 / 60 / 2 / 90 / 3 / 120</x:v>
      </x:c>
      <x:c r="AE353" s="48" t="str">
        <x:v>A</x:v>
      </x:c>
      <x:c r="AF353" s="48" t="str">
        <x:v>6.48b 地图内 UnitAbilities/AbilityData/AbilityStrings 与对象修改表</x:v>
      </x:c>
      <x:c r="AG353" s="18" t="str">
        <x:v>S1</x:v>
      </x:c>
    </x:row>
    <x:row r="354" ht="48" customHeight="1">
      <x:c r="A354" s="19" t="str">
        <x:v>E01B-1</x:v>
      </x:c>
      <x:c r="B354" s="19" t="str">
        <x:v>天灾军团</x:v>
      </x:c>
      <x:c r="C354" s="19" t="str">
        <x:v>黄昏酒馆</x:v>
      </x:c>
      <x:c r="D354" s="19" t="str">
        <x:v>幽鬼</x:v>
      </x:c>
      <x:c r="E354" s="19" t="str">
        <x:v>Spectre</x:v>
      </x:c>
      <x:c r="F354" s="19" t="str">
        <x:v>E01B</x:v>
      </x:c>
      <x:c r="G354" s="19" t="str">
        <x:v>Mercurial</x:v>
      </x:c>
      <x:c r="H354" s="19" t="str">
        <x:v>AGI</x:v>
      </x:c>
      <x:c r="I354" s="19" t="str">
        <x:v>近战</x:v>
      </x:c>
      <x:c r="J354" s="19" t="n">
        <x:v>1</x:v>
      </x:c>
      <x:c r="K354" s="19" t="str">
        <x:v>Desolate</x:v>
      </x:c>
      <x:c r="L354" s="19" t="str">
        <x:v>A0FX</x:v>
      </x:c>
      <x:c r="M354" s="49" t="str">
        <x:v>否</x:v>
      </x:c>
      <x:c r="N354" s="49" t="n">
        <x:v>4</x:v>
      </x:c>
      <x:c r="O354" s="49" t="n">
        <x:v>1</x:v>
      </x:c>
      <x:c r="P354" s="49" t="n">
        <x:v>2</x:v>
      </x:c>
      <x:c r="Q354" s="19" t="str">
        <x:v>被动/脚本触发</x:v>
      </x:c>
      <x:c r="R354" s="19" t="str">
        <x:v>被动</x:v>
      </x:c>
      <x:c r="S354" s="19" t="str">
        <x:v>防御/生存</x:v>
      </x:c>
      <x:c r="T354" s="19" t="str">
        <x:v>伤害、防御/生存、强化、范围效果、被动触发</x:v>
      </x:c>
      <x:c r="U354" s="48" t="str">
        <x:v>被动/脚本触发；被动；主分类：防御/生存；标签：伤害、防御/生存、强化、范围效果、被动触发</x:v>
      </x:c>
      <x:c r="V354" s="48" t="str">
        <x:v>—/—/—/—</x:v>
      </x:c>
      <x:c r="W354" s="48" t="str">
        <x:v>—/—/—/—</x:v>
      </x:c>
      <x:c r="X354" s="48" t="str">
        <x:v>—/—/—/—</x:v>
      </x:c>
      <x:c r="Y354" s="48" t="str">
        <x:v>—/—/—/—</x:v>
      </x:c>
      <x:c r="Z354" s="48" t="str">
        <x:v>—/—/—/—</x:v>
      </x:c>
      <x:c r="AA354" s="48" t="str">
        <x:v>—/—/—/—</x:v>
      </x:c>
      <x:c r="AB354" s="48" t="str">
        <x:v>—/—/—/—</x:v>
      </x:c>
      <x:c r="AC354" s="48" t="str">
        <x:v>被动/脚本触发；被动；主分类：防御/生存；标签：伤害、防御/生存、强化、范围效果、被动触发；等级：4；魔耗：—/—/—/—；冷却：—/—/—/—；施法距离：—/—/—/—；作用范围：—/—/—/—；持续时间：—/—/—/—。</x:v>
      </x:c>
      <x:c r="AD354" s="48" t="str">
        <x:v>1 / 15 / 2 / 25 / 3 / 35 / 4 / 45</x:v>
      </x:c>
      <x:c r="AE354" s="48" t="str">
        <x:v>A</x:v>
      </x:c>
      <x:c r="AF354" s="48" t="str">
        <x:v>6.48b 地图内 UnitAbilities/AbilityData/AbilityStrings 与对象修改表</x:v>
      </x:c>
      <x:c r="AG354" s="18" t="str">
        <x:v>S1</x:v>
      </x:c>
    </x:row>
    <x:row r="355" ht="48" customHeight="1">
      <x:c r="A355" s="19" t="str">
        <x:v>E01B-2</x:v>
      </x:c>
      <x:c r="B355" s="19" t="str">
        <x:v>天灾军团</x:v>
      </x:c>
      <x:c r="C355" s="19" t="str">
        <x:v>黄昏酒馆</x:v>
      </x:c>
      <x:c r="D355" s="19" t="str">
        <x:v>幽鬼</x:v>
      </x:c>
      <x:c r="E355" s="19" t="str">
        <x:v>Spectre</x:v>
      </x:c>
      <x:c r="F355" s="19" t="str">
        <x:v>E01B</x:v>
      </x:c>
      <x:c r="G355" s="19" t="str">
        <x:v>Mercurial</x:v>
      </x:c>
      <x:c r="H355" s="19" t="str">
        <x:v>AGI</x:v>
      </x:c>
      <x:c r="I355" s="19" t="str">
        <x:v>近战</x:v>
      </x:c>
      <x:c r="J355" s="19" t="n">
        <x:v>2</x:v>
      </x:c>
      <x:c r="K355" s="19" t="str">
        <x:v>Haunt</x:v>
      </x:c>
      <x:c r="L355" s="19" t="str">
        <x:v>A0H9</x:v>
      </x:c>
      <x:c r="M355" s="49" t="str">
        <x:v>是</x:v>
      </x:c>
      <x:c r="N355" s="49" t="n">
        <x:v>3</x:v>
      </x:c>
      <x:c r="O355" s="49" t="n">
        <x:v>6</x:v>
      </x:c>
      <x:c r="P355" s="49" t="n">
        <x:v>5</x:v>
      </x:c>
      <x:c r="Q355" s="19" t="str">
        <x:v>主动</x:v>
      </x:c>
      <x:c r="R355" s="19" t="str">
        <x:v>无目标或脚本目标</x:v>
      </x:c>
      <x:c r="S355" s="19" t="str">
        <x:v>伤害</x:v>
      </x:c>
      <x:c r="T355" s="19" t="str">
        <x:v>伤害</x:v>
      </x:c>
      <x:c r="U355" s="48" t="str">
        <x:v>主动；无目标或脚本目标；主分类：伤害；标签：伤害</x:v>
      </x:c>
      <x:c r="V355" s="48" t="str">
        <x:v>150/150/150</x:v>
      </x:c>
      <x:c r="W355" s="48" t="str">
        <x:v>150/120/90</x:v>
      </x:c>
      <x:c r="X355" s="48" t="str">
        <x:v>—/—/—</x:v>
      </x:c>
      <x:c r="Y355" s="48" t="str">
        <x:v>—/—/—</x:v>
      </x:c>
      <x:c r="Z355" s="48" t="str">
        <x:v>—/—/—</x:v>
      </x:c>
      <x:c r="AA355" s="48" t="str">
        <x:v>—/—/—</x:v>
      </x:c>
      <x:c r="AB355" s="48" t="str">
        <x:v>—/—/—</x:v>
      </x:c>
      <x:c r="AC355" s="48" t="str">
        <x:v>主动；无目标或脚本目标；主分类：伤害；标签：伤害；等级：3；魔耗：150/150/150；冷却：150/120/90；施法距离：—/—/—；作用范围：—/—/—；持续时间：—/—/—。</x:v>
      </x:c>
      <x:c r="AD355" s="48" t="str">
        <x:v>200% / 50% / 1 / 4 / 2 / 5 / 3 / 6 / 150 / 120 / 90</x:v>
      </x:c>
      <x:c r="AE355" s="48" t="str">
        <x:v>A</x:v>
      </x:c>
      <x:c r="AF355" s="48" t="str">
        <x:v>6.48b 地图内 UnitAbilities/AbilityData/AbilityStrings 与对象修改表</x:v>
      </x:c>
      <x:c r="AG355" s="18" t="str">
        <x:v>S1</x:v>
      </x:c>
    </x:row>
    <x:row r="356" ht="48" customHeight="1">
      <x:c r="A356" s="19" t="str">
        <x:v>E01B-3</x:v>
      </x:c>
      <x:c r="B356" s="19" t="str">
        <x:v>天灾军团</x:v>
      </x:c>
      <x:c r="C356" s="19" t="str">
        <x:v>黄昏酒馆</x:v>
      </x:c>
      <x:c r="D356" s="19" t="str">
        <x:v>幽鬼</x:v>
      </x:c>
      <x:c r="E356" s="19" t="str">
        <x:v>Spectre</x:v>
      </x:c>
      <x:c r="F356" s="19" t="str">
        <x:v>E01B</x:v>
      </x:c>
      <x:c r="G356" s="19" t="str">
        <x:v>Mercurial</x:v>
      </x:c>
      <x:c r="H356" s="19" t="str">
        <x:v>AGI</x:v>
      </x:c>
      <x:c r="I356" s="19" t="str">
        <x:v>近战</x:v>
      </x:c>
      <x:c r="J356" s="19" t="n">
        <x:v>3</x:v>
      </x:c>
      <x:c r="K356" s="19" t="str">
        <x:v>Dispersion</x:v>
      </x:c>
      <x:c r="L356" s="19" t="str">
        <x:v>A0NA</x:v>
      </x:c>
      <x:c r="M356" s="49" t="str">
        <x:v>否</x:v>
      </x:c>
      <x:c r="N356" s="49" t="n">
        <x:v>4</x:v>
      </x:c>
      <x:c r="O356" s="49" t="n">
        <x:v>1</x:v>
      </x:c>
      <x:c r="P356" s="49" t="n">
        <x:v>2</x:v>
      </x:c>
      <x:c r="Q356" s="19" t="str">
        <x:v>被动</x:v>
      </x:c>
      <x:c r="R356" s="19" t="str">
        <x:v>被动</x:v>
      </x:c>
      <x:c r="S356" s="19" t="str">
        <x:v>伤害</x:v>
      </x:c>
      <x:c r="T356" s="19" t="str">
        <x:v>伤害、范围效果、被动触发</x:v>
      </x:c>
      <x:c r="U356" s="48" t="str">
        <x:v>被动；被动；主分类：伤害；标签：伤害、范围效果、被动触发</x:v>
      </x:c>
      <x:c r="V356" s="48" t="str">
        <x:v>—/—/—/—</x:v>
      </x:c>
      <x:c r="W356" s="48" t="str">
        <x:v>—/—/—/—</x:v>
      </x:c>
      <x:c r="X356" s="48" t="str">
        <x:v>—/—/—/—</x:v>
      </x:c>
      <x:c r="Y356" s="48" t="str">
        <x:v>—/—/—/—</x:v>
      </x:c>
      <x:c r="Z356" s="48" t="str">
        <x:v>—/—/—/—</x:v>
      </x:c>
      <x:c r="AA356" s="48" t="str">
        <x:v>—/—/—/—</x:v>
      </x:c>
      <x:c r="AB356" s="48" t="str">
        <x:v>—/—/—/—</x:v>
      </x:c>
      <x:c r="AC356" s="48" t="str">
        <x:v>被动；被动；主分类：伤害；标签：伤害、范围效果、被动触发；等级：4；魔耗：—/—/—/—；冷却：—/—/—/—；施法距离：—/—/—/—；作用范围：—/—/—/—；持续时间：—/—/—/—。</x:v>
      </x:c>
      <x:c r="AD356" s="48" t="str">
        <x:v>4% / 8% / 12% / 16% / 400 / 1 / 2 / 3 / 4</x:v>
      </x:c>
      <x:c r="AE356" s="48" t="str">
        <x:v>A</x:v>
      </x:c>
      <x:c r="AF356" s="48" t="str">
        <x:v>Chance and 400 radius are confirmed by the 6.48b runtime script; the level-4 object tooltip confirms 16%.</x:v>
      </x:c>
      <x:c r="AG356" s="18" t="str">
        <x:v>S1</x:v>
      </x:c>
    </x:row>
    <x:row r="357" ht="48" customHeight="1">
      <x:c r="A357" s="19" t="str">
        <x:v>E01B-4</x:v>
      </x:c>
      <x:c r="B357" s="19" t="str">
        <x:v>天灾军团</x:v>
      </x:c>
      <x:c r="C357" s="19" t="str">
        <x:v>黄昏酒馆</x:v>
      </x:c>
      <x:c r="D357" s="19" t="str">
        <x:v>幽鬼</x:v>
      </x:c>
      <x:c r="E357" s="19" t="str">
        <x:v>Spectre</x:v>
      </x:c>
      <x:c r="F357" s="19" t="str">
        <x:v>E01B</x:v>
      </x:c>
      <x:c r="G357" s="19" t="str">
        <x:v>Mercurial</x:v>
      </x:c>
      <x:c r="H357" s="19" t="str">
        <x:v>AGI</x:v>
      </x:c>
      <x:c r="I357" s="19" t="str">
        <x:v>近战</x:v>
      </x:c>
      <x:c r="J357" s="19" t="n">
        <x:v>4</x:v>
      </x:c>
      <x:c r="K357" s="19" t="str">
        <x:v>Spectral Dagger</x:v>
      </x:c>
      <x:c r="L357" s="19" t="str">
        <x:v>A0HW</x:v>
      </x:c>
      <x:c r="M357" s="49" t="str">
        <x:v>否</x:v>
      </x:c>
      <x:c r="N357" s="49" t="n">
        <x:v>4</x:v>
      </x:c>
      <x:c r="O357" s="49" t="n">
        <x:v>1</x:v>
      </x:c>
      <x:c r="P357" s="49" t="n">
        <x:v>2</x:v>
      </x:c>
      <x:c r="Q357" s="19" t="str">
        <x:v>主动</x:v>
      </x:c>
      <x:c r="R357" s="19" t="str">
        <x:v>无目标或脚本目标</x:v>
      </x:c>
      <x:c r="S357" s="19" t="str">
        <x:v>软控</x:v>
      </x:c>
      <x:c r="T357" s="19" t="str">
        <x:v>伤害、软控、强化</x:v>
      </x:c>
      <x:c r="U357" s="48" t="str">
        <x:v>主动；无目标或脚本目标；主分类：软控；标签：伤害、软控、强化</x:v>
      </x:c>
      <x:c r="V357" s="48" t="str">
        <x:v>130/140/150/160</x:v>
      </x:c>
      <x:c r="W357" s="48" t="str">
        <x:v>25/25/25/25</x:v>
      </x:c>
      <x:c r="X357" s="48" t="str">
        <x:v>2000/2000/2000/2000</x:v>
      </x:c>
      <x:c r="Y357" s="48" t="str">
        <x:v>—/—/—/—</x:v>
      </x:c>
      <x:c r="Z357" s="48" t="str">
        <x:v>—/—/—/—</x:v>
      </x:c>
      <x:c r="AA357" s="48" t="str">
        <x:v>—/—/—/—</x:v>
      </x:c>
      <x:c r="AB357" s="48" t="str">
        <x:v>air,enemies,ground,hero/air,enemies,ground,hero/air,enemies,ground,hero/air,enemies,ground,hero</x:v>
      </x:c>
      <x:c r="AC357" s="48" t="str">
        <x:v>主动；无目标或脚本目标；主分类：软控；标签：伤害、软控、强化；等级：4；魔耗：130/140/150/160；冷却：25/25/25/25；施法距离：2000/2000/2000/2000；作用范围：—/—/—/—；持续时间：—/—/—/—。</x:v>
      </x:c>
      <x:c r="AD357" s="48" t="str">
        <x:v>1 / 5% / 50 / 2 / 9% / 100 / 3 / 14% / 150 / 4 / 18% / 200 / 25</x:v>
      </x:c>
      <x:c r="AE357" s="48" t="str">
        <x:v>A</x:v>
      </x:c>
      <x:c r="AF357" s="48" t="str">
        <x:v>6.48b 地图内 UnitAbilities/AbilityData/AbilityStrings 与对象修改表</x:v>
      </x:c>
      <x:c r="AG357" s="18" t="str">
        <x:v>S1</x:v>
      </x:c>
    </x:row>
  </x:sheetData>
  <x:conditionalFormatting sqref="M2:M357">
    <x:cfRule type="containsText" dxfId="0" priority="1" operator="containsText" text="是"/>
  </x:conditionalFormatting>
  <x:conditionalFormatting sqref="AE2:AE357">
    <x:cfRule type="containsText" dxfId="1" priority="2" operator="containsText" text="A"/>
  </x:conditionalFormatting>
  <x:conditionalFormatting sqref="S2:S357">
    <x:cfRule type="containsText" dxfId="2" priority="3" operator="containsText" text="伤害"/>
    <x:cfRule type="containsText" dxfId="3" priority="4" operator="containsText" text="硬控"/>
    <x:cfRule type="containsText" dxfId="4" priority="5" operator="containsText" text="治疗/回复"/>
    <x:cfRule type="containsText" dxfId="5" priority="6" operator="containsText" text="召唤"/>
    <x:cfRule type="containsText" dxfId="6" priority="7" operator="containsText" text="防御/生存"/>
  </x:conditionalFormatting>
  <x:pageMargins left="0.7" right="0.7" top="0.75" bottom="0.75" header="0.3" footer="0.3"/>
  <x:tableParts count="1">
    <x:tablePart xmlns:r="http://schemas.openxmlformats.org/officeDocument/2006/relationships" r:id="R6a526dabd7144b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1" hidden="0" customWidth="1"/>
    <x:col min="3" max="3" width="12" hidden="0" customWidth="1"/>
    <x:col min="4" max="4" width="18" hidden="0" customWidth="1"/>
    <x:col min="5" max="5" width="14" hidden="0" customWidth="1"/>
    <x:col min="6" max="6" width="22" hidden="0" customWidth="1"/>
    <x:col min="7" max="7" width="10" hidden="0" customWidth="1"/>
    <x:col min="8" max="8" width="22" hidden="0" customWidth="1"/>
    <x:col min="9" max="9" width="9" hidden="0" customWidth="1"/>
    <x:col min="10" max="10" width="10" hidden="0" customWidth="1"/>
    <x:col min="11" max="11" width="10" hidden="0" customWidth="1"/>
    <x:col min="12" max="12" width="10" hidden="0" customWidth="1"/>
    <x:col min="13" max="13" width="11" hidden="0" customWidth="1"/>
    <x:col min="14" max="14" width="11" hidden="0" customWidth="1"/>
    <x:col min="15" max="15" width="40" hidden="0" customWidth="1"/>
  </x:cols>
  <x:sheetData>
    <x:row r="1" ht="34" customHeight="1">
      <x:c r="A1" s="39" t="str">
        <x:v>排序</x:v>
      </x:c>
      <x:c r="B1" s="39" t="str">
        <x:v>势力</x:v>
      </x:c>
      <x:c r="C1" s="39" t="str">
        <x:v>酒馆中文</x:v>
      </x:c>
      <x:c r="D1" s="39" t="str">
        <x:v>Tavern_EN</x:v>
      </x:c>
      <x:c r="E1" s="39" t="str">
        <x:v>英雄中文</x:v>
      </x:c>
      <x:c r="F1" s="39" t="str">
        <x:v>Hero_EN</x:v>
      </x:c>
      <x:c r="G1" s="39" t="str">
        <x:v>Hero_ID</x:v>
      </x:c>
      <x:c r="H1" s="39" t="str">
        <x:v>英雄称号</x:v>
      </x:c>
      <x:c r="I1" s="39" t="str">
        <x:v>主属性</x:v>
      </x:c>
      <x:c r="J1" s="39" t="str">
        <x:v>攻击形态</x:v>
      </x:c>
      <x:c r="K1" s="39" t="str">
        <x:v>攻击距离</x:v>
      </x:c>
      <x:c r="L1" s="39" t="str">
        <x:v>预期技能</x:v>
      </x:c>
      <x:c r="M1" s="39" t="str">
        <x:v>已收集技能</x:v>
      </x:c>
      <x:c r="N1" s="39" t="str">
        <x:v>覆盖状态</x:v>
      </x:c>
      <x:c r="O1" s="39" t="str">
        <x:v>技能RawID</x:v>
      </x:c>
    </x:row>
    <x:row r="2" ht="28" customHeight="1">
      <x:c r="A2" s="19" t="n">
        <x:v>1</x:v>
      </x:c>
      <x:c r="B2" s="19" t="str">
        <x:v>近卫军团</x:v>
      </x:c>
      <x:c r="C2" s="19" t="str">
        <x:v>光明酒馆</x:v>
      </x:c>
      <x:c r="D2" s="19" t="str">
        <x:v>Tavern</x:v>
      </x:c>
      <x:c r="E2" s="19" t="str">
        <x:v>刚背兽</x:v>
      </x:c>
      <x:c r="F2" s="19" t="str">
        <x:v>Bristleback</x:v>
      </x:c>
      <x:c r="G2" s="19" t="str">
        <x:v>H008</x:v>
      </x:c>
      <x:c r="H2" s="19" t="str">
        <x:v>Rigwarl</x:v>
      </x:c>
      <x:c r="I2" s="19" t="str">
        <x:v>STR</x:v>
      </x:c>
      <x:c r="J2" s="19" t="str">
        <x:v>近战</x:v>
      </x:c>
      <x:c r="K2" s="19" t="n">
        <x:v>100</x:v>
      </x:c>
      <x:c r="L2" s="19" t="n">
        <x:v>4</x:v>
      </x:c>
      <x:c r="M2" s="19" t="n">
        <x:f>COUNTIF('英雄技能总表'!$F$2:$F$357,G2)</x:f>
        <x:v>4</x:v>
      </x:c>
      <x:c r="N2" s="19" t="str">
        <x:f>IF(M2=L2,"完整","检查")</x:f>
        <x:v>完整</x:v>
      </x:c>
      <x:c r="O2" s="18" t="str">
        <x:v>A0FV,A0M3,A0GP,A0FW</x:v>
      </x:c>
    </x:row>
    <x:row r="3" ht="28" customHeight="1">
      <x:c r="A3" s="19" t="n">
        <x:v>2</x:v>
      </x:c>
      <x:c r="B3" s="19" t="str">
        <x:v>近卫军团</x:v>
      </x:c>
      <x:c r="C3" s="19" t="str">
        <x:v>光明酒馆</x:v>
      </x:c>
      <x:c r="D3" s="19" t="str">
        <x:v>Tavern</x:v>
      </x:c>
      <x:c r="E3" s="19" t="str">
        <x:v>月之骑士</x:v>
      </x:c>
      <x:c r="F3" s="19" t="str">
        <x:v>Moon Rider</x:v>
      </x:c>
      <x:c r="G3" s="19" t="str">
        <x:v>E005</x:v>
      </x:c>
      <x:c r="H3" s="19" t="str">
        <x:v>Luna Moonfang</x:v>
      </x:c>
      <x:c r="I3" s="19" t="str">
        <x:v>AGI</x:v>
      </x:c>
      <x:c r="J3" s="19" t="str">
        <x:v>远程</x:v>
      </x:c>
      <x:c r="K3" s="19" t="n">
        <x:v>330</x:v>
      </x:c>
      <x:c r="L3" s="19" t="n">
        <x:v>4</x:v>
      </x:c>
      <x:c r="M3" s="19" t="n">
        <x:f>COUNTIF('英雄技能总表'!$F$2:$F$357,G3)</x:f>
        <x:v>4</x:v>
      </x:c>
      <x:c r="N3" s="19" t="str">
        <x:f>IF(M3=L3,"完整","检查")</x:f>
        <x:v>完整</x:v>
      </x:c>
      <x:c r="O3" s="18" t="str">
        <x:v>A062,A042,A054,A041</x:v>
      </x:c>
    </x:row>
    <x:row r="4" ht="28" customHeight="1">
      <x:c r="A4" s="19" t="n">
        <x:v>3</x:v>
      </x:c>
      <x:c r="B4" s="19" t="str">
        <x:v>近卫军团</x:v>
      </x:c>
      <x:c r="C4" s="19" t="str">
        <x:v>光明酒馆</x:v>
      </x:c>
      <x:c r="D4" s="19" t="str">
        <x:v>Tavern</x:v>
      </x:c>
      <x:c r="E4" s="19" t="str">
        <x:v>熊猫酒仙</x:v>
      </x:c>
      <x:c r="F4" s="19" t="str">
        <x:v>Pandaren Brewmaster</x:v>
      </x:c>
      <x:c r="G4" s="19" t="str">
        <x:v>Npbm</x:v>
      </x:c>
      <x:c r="H4" s="19" t="str">
        <x:v>Mangix</x:v>
      </x:c>
      <x:c r="I4" s="19" t="str">
        <x:v>STR</x:v>
      </x:c>
      <x:c r="J4" s="19" t="str">
        <x:v>近战</x:v>
      </x:c>
      <x:c r="K4" s="19" t="n">
        <x:v>100</x:v>
      </x:c>
      <x:c r="L4" s="19" t="n">
        <x:v>4</x:v>
      </x:c>
      <x:c r="M4" s="19" t="n">
        <x:f>COUNTIF('英雄技能总表'!$F$2:$F$357,G4)</x:f>
        <x:v>4</x:v>
      </x:c>
      <x:c r="N4" s="19" t="str">
        <x:f>IF(M4=L4,"完整","检查")</x:f>
        <x:v>完整</x:v>
      </x:c>
      <x:c r="O4" s="18" t="str">
        <x:v>A06M,Acdh,A0MX,A0MQ</x:v>
      </x:c>
    </x:row>
    <x:row r="5" ht="28" customHeight="1">
      <x:c r="A5" s="19" t="n">
        <x:v>4</x:v>
      </x:c>
      <x:c r="B5" s="19" t="str">
        <x:v>近卫军团</x:v>
      </x:c>
      <x:c r="C5" s="19" t="str">
        <x:v>光明酒馆</x:v>
      </x:c>
      <x:c r="D5" s="19" t="str">
        <x:v>Tavern</x:v>
      </x:c>
      <x:c r="E5" s="19" t="str">
        <x:v>半人马酋长</x:v>
      </x:c>
      <x:c r="F5" s="19" t="str">
        <x:v>Centaur Warchief</x:v>
      </x:c>
      <x:c r="G5" s="19" t="str">
        <x:v>H000</x:v>
      </x:c>
      <x:c r="H5" s="19" t="str">
        <x:v>Bradwarden</x:v>
      </x:c>
      <x:c r="I5" s="19" t="str">
        <x:v>STR</x:v>
      </x:c>
      <x:c r="J5" s="19" t="str">
        <x:v>近战</x:v>
      </x:c>
      <x:c r="K5" s="19" t="n">
        <x:v>100</x:v>
      </x:c>
      <x:c r="L5" s="19" t="n">
        <x:v>4</x:v>
      </x:c>
      <x:c r="M5" s="19" t="n">
        <x:f>COUNTIF('英雄技能总表'!$F$2:$F$357,G5)</x:f>
        <x:v>4</x:v>
      </x:c>
      <x:c r="N5" s="19" t="str">
        <x:f>IF(M5=L5,"完整","检查")</x:f>
        <x:v>完整</x:v>
      </x:c>
      <x:c r="O5" s="18" t="str">
        <x:v>A01L,A00L,A00V,A00S</x:v>
      </x:c>
    </x:row>
    <x:row r="6" ht="28" customHeight="1">
      <x:c r="A6" s="19" t="n">
        <x:v>5</x:v>
      </x:c>
      <x:c r="B6" s="19" t="str">
        <x:v>近卫军团</x:v>
      </x:c>
      <x:c r="C6" s="19" t="str">
        <x:v>光明酒馆</x:v>
      </x:c>
      <x:c r="D6" s="19" t="str">
        <x:v>Tavern</x:v>
      </x:c>
      <x:c r="E6" s="19" t="str">
        <x:v>卓尔游侠</x:v>
      </x:c>
      <x:c r="F6" s="19" t="str">
        <x:v>Drow Ranger</x:v>
      </x:c>
      <x:c r="G6" s="19" t="str">
        <x:v>Nbrn</x:v>
      </x:c>
      <x:c r="H6" s="19" t="str">
        <x:v>Traxex</x:v>
      </x:c>
      <x:c r="I6" s="19" t="str">
        <x:v>AGI</x:v>
      </x:c>
      <x:c r="J6" s="19" t="str">
        <x:v>远程</x:v>
      </x:c>
      <x:c r="K6" s="19" t="n">
        <x:v>600</x:v>
      </x:c>
      <x:c r="L6" s="19" t="n">
        <x:v>4</x:v>
      </x:c>
      <x:c r="M6" s="19" t="n">
        <x:f>COUNTIF('英雄技能总表'!$F$2:$F$357,G6)</x:f>
        <x:v>4</x:v>
      </x:c>
      <x:c r="N6" s="19" t="str">
        <x:f>IF(M6=L6,"完整","检查")</x:f>
        <x:v>完整</x:v>
      </x:c>
      <x:c r="O6" s="18" t="str">
        <x:v>A0QB,A029,A026,A056</x:v>
      </x:c>
    </x:row>
    <x:row r="7" ht="28" customHeight="1">
      <x:c r="A7" s="19" t="n">
        <x:v>6</x:v>
      </x:c>
      <x:c r="B7" s="19" t="str">
        <x:v>近卫军团</x:v>
      </x:c>
      <x:c r="C7" s="19" t="str">
        <x:v>光明酒馆</x:v>
      </x:c>
      <x:c r="D7" s="19" t="str">
        <x:v>Tavern</x:v>
      </x:c>
      <x:c r="E7" s="19" t="str">
        <x:v>龙骑士</x:v>
      </x:c>
      <x:c r="F7" s="19" t="str">
        <x:v>Dragon Knight</x:v>
      </x:c>
      <x:c r="G7" s="19" t="str">
        <x:v>Hlgr</x:v>
      </x:c>
      <x:c r="H7" s="19" t="str">
        <x:v>Knight Davion</x:v>
      </x:c>
      <x:c r="I7" s="19" t="str">
        <x:v>STR</x:v>
      </x:c>
      <x:c r="J7" s="19" t="str">
        <x:v>近战</x:v>
      </x:c>
      <x:c r="K7" s="19" t="n">
        <x:v>125</x:v>
      </x:c>
      <x:c r="L7" s="19" t="n">
        <x:v>4</x:v>
      </x:c>
      <x:c r="M7" s="19" t="n">
        <x:f>COUNTIF('英雄技能总表'!$F$2:$F$357,G7)</x:f>
        <x:v>4</x:v>
      </x:c>
      <x:c r="N7" s="19" t="str">
        <x:f>IF(M7=L7,"完整","检查")</x:f>
        <x:v>完整</x:v>
      </x:c>
      <x:c r="O7" s="18" t="str">
        <x:v>A03G,A03F,A0AR,A0CL</x:v>
      </x:c>
    </x:row>
    <x:row r="8" ht="28" customHeight="1">
      <x:c r="A8" s="19" t="n">
        <x:v>7</x:v>
      </x:c>
      <x:c r="B8" s="19" t="str">
        <x:v>近卫军团</x:v>
      </x:c>
      <x:c r="C8" s="19" t="str">
        <x:v>光明酒馆</x:v>
      </x:c>
      <x:c r="D8" s="19" t="str">
        <x:v>Tavern</x:v>
      </x:c>
      <x:c r="E8" s="19" t="str">
        <x:v>敌法师</x:v>
      </x:c>
      <x:c r="F8" s="19" t="str">
        <x:v>Anti-Mage</x:v>
      </x:c>
      <x:c r="G8" s="19" t="str">
        <x:v>Edem</x:v>
      </x:c>
      <x:c r="H8" s="19" t="str">
        <x:v>Magina</x:v>
      </x:c>
      <x:c r="I8" s="19" t="str">
        <x:v>AGI</x:v>
      </x:c>
      <x:c r="J8" s="19" t="str">
        <x:v>近战</x:v>
      </x:c>
      <x:c r="K8" s="19" t="n">
        <x:v>100</x:v>
      </x:c>
      <x:c r="L8" s="19" t="n">
        <x:v>4</x:v>
      </x:c>
      <x:c r="M8" s="19" t="n">
        <x:f>COUNTIF('英雄技能总表'!$F$2:$F$357,G8)</x:f>
        <x:v>4</x:v>
      </x:c>
      <x:c r="N8" s="19" t="str">
        <x:f>IF(M8=L8,"完整","检查")</x:f>
        <x:v>完整</x:v>
      </x:c>
      <x:c r="O8" s="18" t="str">
        <x:v>A0KY,A022,AEbl,A0E3</x:v>
      </x:c>
    </x:row>
    <x:row r="9" ht="28" customHeight="1">
      <x:c r="A9" s="19" t="n">
        <x:v>8</x:v>
      </x:c>
      <x:c r="B9" s="19" t="str">
        <x:v>近卫军团</x:v>
      </x:c>
      <x:c r="C9" s="19" t="str">
        <x:v>光明酒馆</x:v>
      </x:c>
      <x:c r="D9" s="19" t="str">
        <x:v>Tavern</x:v>
      </x:c>
      <x:c r="E9" s="19" t="str">
        <x:v>矮人狙击手</x:v>
      </x:c>
      <x:c r="F9" s="19" t="str">
        <x:v>Dwarven Sniper</x:v>
      </x:c>
      <x:c r="G9" s="19" t="str">
        <x:v>Usyl</x:v>
      </x:c>
      <x:c r="H9" s="19" t="str">
        <x:v>Kardel Sharpeye</x:v>
      </x:c>
      <x:c r="I9" s="19" t="str">
        <x:v>AGI</x:v>
      </x:c>
      <x:c r="J9" s="19" t="str">
        <x:v>远程</x:v>
      </x:c>
      <x:c r="K9" s="19" t="n">
        <x:v>550</x:v>
      </x:c>
      <x:c r="L9" s="19" t="n">
        <x:v>4</x:v>
      </x:c>
      <x:c r="M9" s="19" t="n">
        <x:f>COUNTIF('英雄技能总表'!$F$2:$F$357,G9)</x:f>
        <x:v>4</x:v>
      </x:c>
      <x:c r="N9" s="19" t="str">
        <x:f>IF(M9=L9,"完整","检查")</x:f>
        <x:v>完整</x:v>
      </x:c>
      <x:c r="O9" s="18" t="str">
        <x:v>A04P,A03U,A03S,A064</x:v>
      </x:c>
    </x:row>
    <x:row r="10" ht="28" customHeight="1">
      <x:c r="A10" s="19" t="n">
        <x:v>9</x:v>
      </x:c>
      <x:c r="B10" s="19" t="str">
        <x:v>近卫军团</x:v>
      </x:c>
      <x:c r="C10" s="19" t="str">
        <x:v>光明酒馆</x:v>
      </x:c>
      <x:c r="D10" s="19" t="str">
        <x:v>Tavern</x:v>
      </x:c>
      <x:c r="E10" s="19" t="str">
        <x:v>全能骑士</x:v>
      </x:c>
      <x:c r="F10" s="19" t="str">
        <x:v>Omniknight</x:v>
      </x:c>
      <x:c r="G10" s="19" t="str">
        <x:v>Harf</x:v>
      </x:c>
      <x:c r="H10" s="19" t="str">
        <x:v>Purist Thunderwrath</x:v>
      </x:c>
      <x:c r="I10" s="19" t="str">
        <x:v>STR</x:v>
      </x:c>
      <x:c r="J10" s="19" t="str">
        <x:v>近战</x:v>
      </x:c>
      <x:c r="K10" s="19" t="n">
        <x:v>100</x:v>
      </x:c>
      <x:c r="L10" s="19" t="n">
        <x:v>4</x:v>
      </x:c>
      <x:c r="M10" s="19" t="n">
        <x:f>COUNTIF('英雄技能总表'!$F$2:$F$357,G10)</x:f>
        <x:v>4</x:v>
      </x:c>
      <x:c r="N10" s="19" t="str">
        <x:f>IF(M10=L10,"完整","检查")</x:f>
        <x:v>完整</x:v>
      </x:c>
      <x:c r="O10" s="18" t="str">
        <x:v>A08N,A08V,A0ER,A06A</x:v>
      </x:c>
    </x:row>
    <x:row r="11" ht="28" customHeight="1">
      <x:c r="A11" s="19" t="n">
        <x:v>10</x:v>
      </x:c>
      <x:c r="B11" s="19" t="str">
        <x:v>近卫军团</x:v>
      </x:c>
      <x:c r="C11" s="19" t="str">
        <x:v>光明酒馆</x:v>
      </x:c>
      <x:c r="D11" s="19" t="str">
        <x:v>Tavern</x:v>
      </x:c>
      <x:c r="E11" s="19" t="str">
        <x:v>巨魔战将</x:v>
      </x:c>
      <x:c r="F11" s="19" t="str">
        <x:v>Troll Warlord</x:v>
      </x:c>
      <x:c r="G11" s="19" t="str">
        <x:v>N016</x:v>
      </x:c>
      <x:c r="H11" s="19" t="str">
        <x:v>Jah'rakal</x:v>
      </x:c>
      <x:c r="I11" s="19" t="str">
        <x:v>AGI</x:v>
      </x:c>
      <x:c r="J11" s="19" t="str">
        <x:v>远程</x:v>
      </x:c>
      <x:c r="K11" s="19" t="n">
        <x:v>500</x:v>
      </x:c>
      <x:c r="L11" s="19" t="n">
        <x:v>4</x:v>
      </x:c>
      <x:c r="M11" s="19" t="n">
        <x:f>COUNTIF('英雄技能总表'!$F$2:$F$357,G11)</x:f>
        <x:v>4</x:v>
      </x:c>
      <x:c r="N11" s="19" t="str">
        <x:f>IF(M11=L11,"完整","检查")</x:f>
        <x:v>完整</x:v>
      </x:c>
      <x:c r="O11" s="18" t="str">
        <x:v>A0BE,A0BC,A0BD,A0BB</x:v>
      </x:c>
    </x:row>
    <x:row r="12" ht="28" customHeight="1">
      <x:c r="A12" s="19" t="n">
        <x:v>11</x:v>
      </x:c>
      <x:c r="B12" s="19" t="str">
        <x:v>近卫军团</x:v>
      </x:c>
      <x:c r="C12" s="19" t="str">
        <x:v>光明酒馆</x:v>
      </x:c>
      <x:c r="D12" s="19" t="str">
        <x:v>Tavern</x:v>
      </x:c>
      <x:c r="E12" s="19" t="str">
        <x:v>赏金猎人</x:v>
      </x:c>
      <x:c r="F12" s="19" t="str">
        <x:v>Bounty Hunter</x:v>
      </x:c>
      <x:c r="G12" s="19" t="str">
        <x:v>Naka</x:v>
      </x:c>
      <x:c r="H12" s="19" t="str">
        <x:v>Gondar</x:v>
      </x:c>
      <x:c r="I12" s="19" t="str">
        <x:v>AGI</x:v>
      </x:c>
      <x:c r="J12" s="19" t="str">
        <x:v>近战</x:v>
      </x:c>
      <x:c r="K12" s="19" t="n">
        <x:v>128</x:v>
      </x:c>
      <x:c r="L12" s="19" t="n">
        <x:v>4</x:v>
      </x:c>
      <x:c r="M12" s="19" t="n">
        <x:f>COUNTIF('英雄技能总表'!$F$2:$F$357,G12)</x:f>
        <x:v>4</x:v>
      </x:c>
      <x:c r="N12" s="19" t="str">
        <x:f>IF(M12=L12,"完整","检查")</x:f>
        <x:v>完整</x:v>
      </x:c>
      <x:c r="O12" s="18" t="str">
        <x:v>A000,A07A,A004,A0B4</x:v>
      </x:c>
    </x:row>
    <x:row r="13" ht="28" customHeight="1">
      <x:c r="A13" s="19" t="n">
        <x:v>12</x:v>
      </x:c>
      <x:c r="B13" s="19" t="str">
        <x:v>近卫军团</x:v>
      </x:c>
      <x:c r="C13" s="19" t="str">
        <x:v>光明酒馆</x:v>
      </x:c>
      <x:c r="D13" s="19" t="str">
        <x:v>Tavern</x:v>
      </x:c>
      <x:c r="E13" s="19" t="str">
        <x:v>暗影萨满</x:v>
      </x:c>
      <x:c r="F13" s="19" t="str">
        <x:v>Shadow Shaman</x:v>
      </x:c>
      <x:c r="G13" s="19" t="str">
        <x:v>Orkn</x:v>
      </x:c>
      <x:c r="H13" s="19" t="str">
        <x:v>Rhasta</x:v>
      </x:c>
      <x:c r="I13" s="19" t="str">
        <x:v>INT</x:v>
      </x:c>
      <x:c r="J13" s="19" t="str">
        <x:v>远程</x:v>
      </x:c>
      <x:c r="K13" s="19" t="n">
        <x:v>500</x:v>
      </x:c>
      <x:c r="L13" s="19" t="n">
        <x:v>4</x:v>
      </x:c>
      <x:c r="M13" s="19" t="n">
        <x:f>COUNTIF('英雄技能总表'!$F$2:$F$357,G13)</x:f>
        <x:v>4</x:v>
      </x:c>
      <x:c r="N13" s="19" t="str">
        <x:f>IF(M13=L13,"完整","检查")</x:f>
        <x:v>完整</x:v>
      </x:c>
      <x:c r="O13" s="18" t="str">
        <x:v>A00P,A0RX,A010,A00H</x:v>
      </x:c>
    </x:row>
    <x:row r="14" ht="28" customHeight="1">
      <x:c r="A14" s="19" t="n">
        <x:v>13</x:v>
      </x:c>
      <x:c r="B14" s="19" t="str">
        <x:v>天灾军团</x:v>
      </x:c>
      <x:c r="C14" s="19" t="str">
        <x:v>午夜酒馆</x:v>
      </x:c>
      <x:c r="D14" s="19" t="str">
        <x:v>Midnight Tavern</x:v>
      </x:c>
      <x:c r="E14" s="19" t="str">
        <x:v>灵魂守卫</x:v>
      </x:c>
      <x:c r="F14" s="19" t="str">
        <x:v>Soul Keeper</x:v>
      </x:c>
      <x:c r="G14" s="19" t="str">
        <x:v>Eevi</x:v>
      </x:c>
      <x:c r="H14" s="19" t="str">
        <x:v>Terrorblade</x:v>
      </x:c>
      <x:c r="I14" s="19" t="str">
        <x:v>AGI</x:v>
      </x:c>
      <x:c r="J14" s="19" t="str">
        <x:v>近战</x:v>
      </x:c>
      <x:c r="K14" s="19" t="n">
        <x:v>100</x:v>
      </x:c>
      <x:c r="L14" s="19" t="n">
        <x:v>4</x:v>
      </x:c>
      <x:c r="M14" s="19" t="n">
        <x:f>COUNTIF('英雄技能总表'!$F$2:$F$357,G14)</x:f>
        <x:v>4</x:v>
      </x:c>
      <x:c r="N14" s="19" t="str">
        <x:f>IF(M14=L14,"完整","检查")</x:f>
        <x:v>完整</x:v>
      </x:c>
      <x:c r="O14" s="18" t="str">
        <x:v>A04L,A0H4,A07Q,A0MV</x:v>
      </x:c>
    </x:row>
    <x:row r="15" ht="28" customHeight="1">
      <x:c r="A15" s="19" t="n">
        <x:v>14</x:v>
      </x:c>
      <x:c r="B15" s="19" t="str">
        <x:v>天灾军团</x:v>
      </x:c>
      <x:c r="C15" s="19" t="str">
        <x:v>午夜酒馆</x:v>
      </x:c>
      <x:c r="D15" s="19" t="str">
        <x:v>Midnight Tavern</x:v>
      </x:c>
      <x:c r="E15" s="19" t="str">
        <x:v>受折磨的灵魂</x:v>
      </x:c>
      <x:c r="F15" s="19" t="str">
        <x:v>Tormented Soul</x:v>
      </x:c>
      <x:c r="G15" s="19" t="str">
        <x:v>Ekee</x:v>
      </x:c>
      <x:c r="H15" s="19" t="str">
        <x:v>Leshrac the Malicious</x:v>
      </x:c>
      <x:c r="I15" s="19" t="str">
        <x:v>INT</x:v>
      </x:c>
      <x:c r="J15" s="19" t="str">
        <x:v>远程</x:v>
      </x:c>
      <x:c r="K15" s="19" t="n">
        <x:v>600</x:v>
      </x:c>
      <x:c r="L15" s="19" t="n">
        <x:v>4</x:v>
      </x:c>
      <x:c r="M15" s="19" t="n">
        <x:f>COUNTIF('英雄技能总表'!$F$2:$F$357,G15)</x:f>
        <x:v>4</x:v>
      </x:c>
      <x:c r="N15" s="19" t="str">
        <x:f>IF(M15=L15,"完整","检查")</x:f>
        <x:v>完整</x:v>
      </x:c>
      <x:c r="O15" s="18" t="str">
        <x:v>A035,A06W,A06V,A06X</x:v>
      </x:c>
    </x:row>
    <x:row r="16" ht="28" customHeight="1">
      <x:c r="A16" s="19" t="n">
        <x:v>15</x:v>
      </x:c>
      <x:c r="B16" s="19" t="str">
        <x:v>天灾军团</x:v>
      </x:c>
      <x:c r="C16" s="19" t="str">
        <x:v>午夜酒馆</x:v>
      </x:c>
      <x:c r="D16" s="19" t="str">
        <x:v>Midnight Tavern</x:v>
      </x:c>
      <x:c r="E16" s="19" t="str">
        <x:v>巫妖</x:v>
      </x:c>
      <x:c r="F16" s="19" t="str">
        <x:v>Lich</x:v>
      </x:c>
      <x:c r="G16" s="19" t="str">
        <x:v>Ulic</x:v>
      </x:c>
      <x:c r="H16" s="19" t="str">
        <x:v>Kel'Thuzad</x:v>
      </x:c>
      <x:c r="I16" s="19" t="str">
        <x:v>INT</x:v>
      </x:c>
      <x:c r="J16" s="19" t="str">
        <x:v>远程</x:v>
      </x:c>
      <x:c r="K16" s="19" t="n">
        <x:v>500</x:v>
      </x:c>
      <x:c r="L16" s="19" t="n">
        <x:v>4</x:v>
      </x:c>
      <x:c r="M16" s="19" t="n">
        <x:f>COUNTIF('英雄技能总表'!$F$2:$F$357,G16)</x:f>
        <x:v>4</x:v>
      </x:c>
      <x:c r="N16" s="19" t="str">
        <x:f>IF(M16=L16,"完整","检查")</x:f>
        <x:v>完整</x:v>
      </x:c>
      <x:c r="O16" s="18" t="str">
        <x:v>A053,A07F,A08R,A05T</x:v>
      </x:c>
    </x:row>
    <x:row r="17" ht="28" customHeight="1">
      <x:c r="A17" s="19" t="n">
        <x:v>16</x:v>
      </x:c>
      <x:c r="B17" s="19" t="str">
        <x:v>天灾军团</x:v>
      </x:c>
      <x:c r="C17" s="19" t="str">
        <x:v>午夜酒馆</x:v>
      </x:c>
      <x:c r="D17" s="19" t="str">
        <x:v>Midnight Tavern</x:v>
      </x:c>
      <x:c r="E17" s="19" t="str">
        <x:v>死亡先知</x:v>
      </x:c>
      <x:c r="F17" s="19" t="str">
        <x:v>Death Prophet</x:v>
      </x:c>
      <x:c r="G17" s="19" t="str">
        <x:v>UC76</x:v>
      </x:c>
      <x:c r="H17" s="19" t="str">
        <x:v>Krobelus</x:v>
      </x:c>
      <x:c r="I17" s="19" t="str">
        <x:v>INT</x:v>
      </x:c>
      <x:c r="J17" s="19" t="str">
        <x:v>远程</x:v>
      </x:c>
      <x:c r="K17" s="19" t="n">
        <x:v>600</x:v>
      </x:c>
      <x:c r="L17" s="19" t="n">
        <x:v>4</x:v>
      </x:c>
      <x:c r="M17" s="19" t="n">
        <x:f>COUNTIF('英雄技能总表'!$F$2:$F$357,G17)</x:f>
        <x:v>4</x:v>
      </x:c>
      <x:c r="N17" s="19" t="str">
        <x:f>IF(M17=L17,"完整","检查")</x:f>
        <x:v>完整</x:v>
      </x:c>
      <x:c r="O17" s="18" t="str">
        <x:v>A02C,A02M,A0P6,A073</x:v>
      </x:c>
    </x:row>
    <x:row r="18" ht="28" customHeight="1">
      <x:c r="A18" s="19" t="n">
        <x:v>17</x:v>
      </x:c>
      <x:c r="B18" s="19" t="str">
        <x:v>天灾军团</x:v>
      </x:c>
      <x:c r="C18" s="19" t="str">
        <x:v>午夜酒馆</x:v>
      </x:c>
      <x:c r="D18" s="19" t="str">
        <x:v>Midnight Tavern</x:v>
      </x:c>
      <x:c r="E18" s="19" t="str">
        <x:v>育母蜘蛛</x:v>
      </x:c>
      <x:c r="F18" s="19" t="str">
        <x:v>Broodmother</x:v>
      </x:c>
      <x:c r="G18" s="19" t="str">
        <x:v>U006</x:v>
      </x:c>
      <x:c r="H18" s="19" t="str">
        <x:v>Black Arachnia</x:v>
      </x:c>
      <x:c r="I18" s="19" t="str">
        <x:v>AGI</x:v>
      </x:c>
      <x:c r="J18" s="19" t="str">
        <x:v>近战</x:v>
      </x:c>
      <x:c r="K18" s="19" t="n">
        <x:v>128</x:v>
      </x:c>
      <x:c r="L18" s="19" t="n">
        <x:v>4</x:v>
      </x:c>
      <x:c r="M18" s="19" t="n">
        <x:f>COUNTIF('英雄技能总表'!$F$2:$F$357,G18)</x:f>
        <x:v>4</x:v>
      </x:c>
      <x:c r="N18" s="19" t="str">
        <x:f>IF(M18=L18,"完整","检查")</x:f>
        <x:v>完整</x:v>
      </x:c>
      <x:c r="O18" s="18" t="str">
        <x:v>A0BP,A0BK,A0BH,A0BG</x:v>
      </x:c>
    </x:row>
    <x:row r="19" ht="28" customHeight="1">
      <x:c r="A19" s="19" t="n">
        <x:v>18</x:v>
      </x:c>
      <x:c r="B19" s="19" t="str">
        <x:v>天灾军团</x:v>
      </x:c>
      <x:c r="C19" s="19" t="str">
        <x:v>午夜酒馆</x:v>
      </x:c>
      <x:c r="D19" s="19" t="str">
        <x:v>Midnight Tavern</x:v>
      </x:c>
      <x:c r="E19" s="19" t="str">
        <x:v>恶魔巫师</x:v>
      </x:c>
      <x:c r="F19" s="19" t="str">
        <x:v>Demon Witch</x:v>
      </x:c>
      <x:c r="G19" s="19" t="str">
        <x:v>UC18</x:v>
      </x:c>
      <x:c r="H19" s="19" t="str">
        <x:v>Lion</x:v>
      </x:c>
      <x:c r="I19" s="19" t="str">
        <x:v>INT</x:v>
      </x:c>
      <x:c r="J19" s="19" t="str">
        <x:v>远程</x:v>
      </x:c>
      <x:c r="K19" s="19" t="n">
        <x:v>600</x:v>
      </x:c>
      <x:c r="L19" s="19" t="n">
        <x:v>4</x:v>
      </x:c>
      <x:c r="M19" s="19" t="n">
        <x:f>COUNTIF('英雄技能总表'!$F$2:$F$357,G19)</x:f>
        <x:v>4</x:v>
      </x:c>
      <x:c r="N19" s="19" t="str">
        <x:f>IF(M19=L19,"完整","检查")</x:f>
        <x:v>完整</x:v>
      </x:c>
      <x:c r="O19" s="18" t="str">
        <x:v>A02J,A0MN,A02N,A095</x:v>
      </x:c>
    </x:row>
    <x:row r="20" ht="28" customHeight="1">
      <x:c r="A20" s="19" t="n">
        <x:v>19</x:v>
      </x:c>
      <x:c r="B20" s="19" t="str">
        <x:v>天灾军团</x:v>
      </x:c>
      <x:c r="C20" s="19" t="str">
        <x:v>午夜酒馆</x:v>
      </x:c>
      <x:c r="D20" s="19" t="str">
        <x:v>Midnight Tavern</x:v>
      </x:c>
      <x:c r="E20" s="19" t="str">
        <x:v>剧毒术士</x:v>
      </x:c>
      <x:c r="F20" s="19" t="str">
        <x:v>Venomancer</x:v>
      </x:c>
      <x:c r="G20" s="19" t="str">
        <x:v>EC57</x:v>
      </x:c>
      <x:c r="H20" s="19" t="str">
        <x:v>Lesale Deathbringer</x:v>
      </x:c>
      <x:c r="I20" s="19" t="str">
        <x:v>AGI</x:v>
      </x:c>
      <x:c r="J20" s="19" t="str">
        <x:v>远程</x:v>
      </x:c>
      <x:c r="K20" s="19" t="n">
        <x:v>450</x:v>
      </x:c>
      <x:c r="L20" s="19" t="n">
        <x:v>4</x:v>
      </x:c>
      <x:c r="M20" s="19" t="n">
        <x:f>COUNTIF('英雄技能总表'!$F$2:$F$357,G20)</x:f>
        <x:v>4</x:v>
      </x:c>
      <x:c r="N20" s="19" t="str">
        <x:f>IF(M20=L20,"完整","检查")</x:f>
        <x:v>完整</x:v>
      </x:c>
      <x:c r="O20" s="18" t="str">
        <x:v>AEsh,A0MY,A0MS,A013</x:v>
      </x:c>
    </x:row>
    <x:row r="21" ht="28" customHeight="1">
      <x:c r="A21" s="19" t="n">
        <x:v>20</x:v>
      </x:c>
      <x:c r="B21" s="19" t="str">
        <x:v>天灾军团</x:v>
      </x:c>
      <x:c r="C21" s="19" t="str">
        <x:v>午夜酒馆</x:v>
      </x:c>
      <x:c r="D21" s="19" t="str">
        <x:v>Midnight Tavern</x:v>
      </x:c>
      <x:c r="E21" s="19" t="str">
        <x:v>半人猛犸</x:v>
      </x:c>
      <x:c r="F21" s="19" t="str">
        <x:v>Magnataur</x:v>
      </x:c>
      <x:c r="G21" s="19" t="str">
        <x:v>UC11</x:v>
      </x:c>
      <x:c r="H21" s="19" t="str">
        <x:v>Magnus</x:v>
      </x:c>
      <x:c r="I21" s="19" t="str">
        <x:v>STR</x:v>
      </x:c>
      <x:c r="J21" s="19" t="str">
        <x:v>近战</x:v>
      </x:c>
      <x:c r="K21" s="19" t="n">
        <x:v>100</x:v>
      </x:c>
      <x:c r="L21" s="19" t="n">
        <x:v>4</x:v>
      </x:c>
      <x:c r="M21" s="19" t="n">
        <x:f>COUNTIF('英雄技能总表'!$F$2:$F$357,G21)</x:f>
        <x:v>4</x:v>
      </x:c>
      <x:c r="N21" s="19" t="str">
        <x:f>IF(M21=L21,"完整","检查")</x:f>
        <x:v>完整</x:v>
      </x:c>
      <x:c r="O21" s="18" t="str">
        <x:v>A02S,A037,A024,A06F</x:v>
      </x:c>
    </x:row>
    <x:row r="22" ht="28" customHeight="1">
      <x:c r="A22" s="19" t="n">
        <x:v>21</x:v>
      </x:c>
      <x:c r="B22" s="19" t="str">
        <x:v>天灾军团</x:v>
      </x:c>
      <x:c r="C22" s="19" t="str">
        <x:v>午夜酒馆</x:v>
      </x:c>
      <x:c r="D22" s="19" t="str">
        <x:v>Midnight Tavern</x:v>
      </x:c>
      <x:c r="E22" s="19" t="str">
        <x:v>死灵飞龙</x:v>
      </x:c>
      <x:c r="F22" s="19" t="str">
        <x:v>Necro'lic</x:v>
      </x:c>
      <x:c r="G22" s="19" t="str">
        <x:v>UC60</x:v>
      </x:c>
      <x:c r="H22" s="19" t="str">
        <x:v>Visage</x:v>
      </x:c>
      <x:c r="I22" s="19" t="str">
        <x:v>INT</x:v>
      </x:c>
      <x:c r="J22" s="19" t="str">
        <x:v>远程</x:v>
      </x:c>
      <x:c r="K22" s="19" t="n">
        <x:v>600</x:v>
      </x:c>
      <x:c r="L22" s="19" t="n">
        <x:v>4</x:v>
      </x:c>
      <x:c r="M22" s="19" t="n">
        <x:f>COUNTIF('英雄技能总表'!$F$2:$F$357,G22)</x:f>
        <x:v>4</x:v>
      </x:c>
      <x:c r="N22" s="19" t="str">
        <x:f>IF(M22=L22,"完整","检查")</x:f>
        <x:v>完整</x:v>
      </x:c>
      <x:c r="O22" s="18" t="str">
        <x:v>A08X,A0C4,A0MD,A07K</x:v>
      </x:c>
    </x:row>
    <x:row r="23" ht="28" customHeight="1">
      <x:c r="A23" s="19" t="n">
        <x:v>22</x:v>
      </x:c>
      <x:c r="B23" s="19" t="str">
        <x:v>天灾军团</x:v>
      </x:c>
      <x:c r="C23" s="19" t="str">
        <x:v>午夜酒馆</x:v>
      </x:c>
      <x:c r="D23" s="19" t="str">
        <x:v>Midnight Tavern</x:v>
      </x:c>
      <x:c r="E23" s="19" t="str">
        <x:v>狼人</x:v>
      </x:c>
      <x:c r="F23" s="19" t="str">
        <x:v>Lycanthrope</x:v>
      </x:c>
      <x:c r="G23" s="19" t="str">
        <x:v>U008</x:v>
      </x:c>
      <x:c r="H23" s="19" t="str">
        <x:v>Banehallow</x:v>
      </x:c>
      <x:c r="I23" s="19" t="str">
        <x:v>STR</x:v>
      </x:c>
      <x:c r="J23" s="19" t="str">
        <x:v>近战</x:v>
      </x:c>
      <x:c r="K23" s="19" t="n">
        <x:v>100</x:v>
      </x:c>
      <x:c r="L23" s="19" t="n">
        <x:v>4</x:v>
      </x:c>
      <x:c r="M23" s="19" t="n">
        <x:f>COUNTIF('英雄技能总表'!$F$2:$F$357,G23)</x:f>
        <x:v>4</x:v>
      </x:c>
      <x:c r="N23" s="19" t="str">
        <x:f>IF(M23=L23,"完整","检查")</x:f>
        <x:v>完整</x:v>
      </x:c>
      <x:c r="O23" s="18" t="str">
        <x:v>A03E,A02G,A093,A03D</x:v>
      </x:c>
    </x:row>
    <x:row r="24" ht="28" customHeight="1">
      <x:c r="A24" s="19" t="n">
        <x:v>23</x:v>
      </x:c>
      <x:c r="B24" s="19" t="str">
        <x:v>天灾军团</x:v>
      </x:c>
      <x:c r="C24" s="19" t="str">
        <x:v>午夜酒馆</x:v>
      </x:c>
      <x:c r="D24" s="19" t="str">
        <x:v>Midnight Tavern</x:v>
      </x:c>
      <x:c r="E24" s="19" t="str">
        <x:v>混沌骑士</x:v>
      </x:c>
      <x:c r="F24" s="19" t="str">
        <x:v>Chaos Knight</x:v>
      </x:c>
      <x:c r="G24" s="19" t="str">
        <x:v>U00A</x:v>
      </x:c>
      <x:c r="H24" s="19" t="str">
        <x:v>Nessaj</x:v>
      </x:c>
      <x:c r="I24" s="19" t="str">
        <x:v>STR</x:v>
      </x:c>
      <x:c r="J24" s="19" t="str">
        <x:v>近战</x:v>
      </x:c>
      <x:c r="K24" s="19" t="n">
        <x:v>100</x:v>
      </x:c>
      <x:c r="L24" s="19" t="n">
        <x:v>4</x:v>
      </x:c>
      <x:c r="M24" s="19" t="n">
        <x:f>COUNTIF('英雄技能总表'!$F$2:$F$357,G24)</x:f>
        <x:v>4</x:v>
      </x:c>
      <x:c r="N24" s="19" t="str">
        <x:f>IF(M24=L24,"完整","检查")</x:f>
        <x:v>完整</x:v>
      </x:c>
      <x:c r="O24" s="18" t="str">
        <x:v>A03O,A03N,A0RW,A055</x:v>
      </x:c>
    </x:row>
    <x:row r="25" ht="28" customHeight="1">
      <x:c r="A25" s="19" t="n">
        <x:v>24</x:v>
      </x:c>
      <x:c r="B25" s="19" t="str">
        <x:v>天灾军团</x:v>
      </x:c>
      <x:c r="C25" s="19" t="str">
        <x:v>午夜酒馆</x:v>
      </x:c>
      <x:c r="D25" s="19" t="str">
        <x:v>Midnight Tavern</x:v>
      </x:c>
      <x:c r="E25" s="19" t="str">
        <x:v>幻影刺客</x:v>
      </x:c>
      <x:c r="F25" s="19" t="str">
        <x:v>Phantom Assassin</x:v>
      </x:c>
      <x:c r="G25" s="19" t="str">
        <x:v>Ewar</x:v>
      </x:c>
      <x:c r="H25" s="19" t="str">
        <x:v>Mortred</x:v>
      </x:c>
      <x:c r="I25" s="19" t="str">
        <x:v>AGI</x:v>
      </x:c>
      <x:c r="J25" s="19" t="str">
        <x:v>近战</x:v>
      </x:c>
      <x:c r="K25" s="19" t="n">
        <x:v>100</x:v>
      </x:c>
      <x:c r="L25" s="19" t="n">
        <x:v>4</x:v>
      </x:c>
      <x:c r="M25" s="19" t="n">
        <x:f>COUNTIF('英雄技能总表'!$F$2:$F$357,G25)</x:f>
        <x:v>4</x:v>
      </x:c>
      <x:c r="N25" s="19" t="str">
        <x:f>IF(M25=L25,"完整","检查")</x:f>
        <x:v>完整</x:v>
      </x:c>
      <x:c r="O25" s="18" t="str">
        <x:v>AEsh,A0PL,A03P,A03Q</x:v>
      </x:c>
    </x:row>
    <x:row r="26" ht="28" customHeight="1">
      <x:c r="A26" s="19" t="n">
        <x:v>25</x:v>
      </x:c>
      <x:c r="B26" s="19" t="str">
        <x:v>近卫军团</x:v>
      </x:c>
      <x:c r="C26" s="19" t="str">
        <x:v>清晨酒馆</x:v>
      </x:c>
      <x:c r="D26" s="19" t="str">
        <x:v>Morning Tavern</x:v>
      </x:c>
      <x:c r="E26" s="19" t="str">
        <x:v>复仇之魂</x:v>
      </x:c>
      <x:c r="F26" s="19" t="str">
        <x:v>Vengeful Spirit</x:v>
      </x:c>
      <x:c r="G26" s="19" t="str">
        <x:v>Hvwd</x:v>
      </x:c>
      <x:c r="H26" s="19" t="str">
        <x:v>Shendelzare Silkwood</x:v>
      </x:c>
      <x:c r="I26" s="19" t="str">
        <x:v>AGI</x:v>
      </x:c>
      <x:c r="J26" s="19" t="str">
        <x:v>远程</x:v>
      </x:c>
      <x:c r="K26" s="19" t="n">
        <x:v>400</x:v>
      </x:c>
      <x:c r="L26" s="19" t="n">
        <x:v>4</x:v>
      </x:c>
      <x:c r="M26" s="19" t="n">
        <x:f>COUNTIF('英雄技能总表'!$F$2:$F$357,G26)</x:f>
        <x:v>4</x:v>
      </x:c>
      <x:c r="N26" s="19" t="str">
        <x:f>IF(M26=L26,"完整","检查")</x:f>
        <x:v>完整</x:v>
      </x:c>
      <x:c r="O26" s="18" t="str">
        <x:v>A02A,A045,A0AP,A00G</x:v>
      </x:c>
    </x:row>
    <x:row r="27" ht="28" customHeight="1">
      <x:c r="A27" s="19" t="n">
        <x:v>26</x:v>
      </x:c>
      <x:c r="B27" s="19" t="str">
        <x:v>近卫军团</x:v>
      </x:c>
      <x:c r="C27" s="19" t="str">
        <x:v>清晨酒馆</x:v>
      </x:c>
      <x:c r="D27" s="19" t="str">
        <x:v>Morning Tavern</x:v>
      </x:c>
      <x:c r="E27" s="19" t="str">
        <x:v>众神之王</x:v>
      </x:c>
      <x:c r="F27" s="19" t="str">
        <x:v>Lord of Olympia</x:v>
      </x:c>
      <x:c r="G27" s="19" t="str">
        <x:v>Hmbr</x:v>
      </x:c>
      <x:c r="H27" s="19" t="str">
        <x:v>Zeus</x:v>
      </x:c>
      <x:c r="I27" s="19" t="str">
        <x:v>INT</x:v>
      </x:c>
      <x:c r="J27" s="19" t="str">
        <x:v>远程</x:v>
      </x:c>
      <x:c r="K27" s="19" t="n">
        <x:v>350</x:v>
      </x:c>
      <x:c r="L27" s="19" t="n">
        <x:v>4</x:v>
      </x:c>
      <x:c r="M27" s="19" t="n">
        <x:f>COUNTIF('英雄技能总表'!$F$2:$F$357,G27)</x:f>
        <x:v>4</x:v>
      </x:c>
      <x:c r="N27" s="19" t="str">
        <x:f>IF(M27=L27,"完整","检查")</x:f>
        <x:v>完整</x:v>
      </x:c>
      <x:c r="O27" s="18" t="str">
        <x:v>A020,A0N5,A0JC,A07C</x:v>
      </x:c>
    </x:row>
    <x:row r="28" ht="28" customHeight="1">
      <x:c r="A28" s="19" t="n">
        <x:v>27</x:v>
      </x:c>
      <x:c r="B28" s="19" t="str">
        <x:v>近卫军团</x:v>
      </x:c>
      <x:c r="C28" s="19" t="str">
        <x:v>清晨酒馆</x:v>
      </x:c>
      <x:c r="D28" s="19" t="str">
        <x:v>Morning Tavern</x:v>
      </x:c>
      <x:c r="E28" s="19" t="str">
        <x:v>魅惑魔女</x:v>
      </x:c>
      <x:c r="F28" s="19" t="str">
        <x:v>Enchantress</x:v>
      </x:c>
      <x:c r="G28" s="19" t="str">
        <x:v>Emoo</x:v>
      </x:c>
      <x:c r="H28" s="19" t="str">
        <x:v>Aiushtha</x:v>
      </x:c>
      <x:c r="I28" s="19" t="str">
        <x:v>INT</x:v>
      </x:c>
      <x:c r="J28" s="19" t="str">
        <x:v>远程</x:v>
      </x:c>
      <x:c r="K28" s="19" t="n">
        <x:v>550</x:v>
      </x:c>
      <x:c r="L28" s="19" t="n">
        <x:v>4</x:v>
      </x:c>
      <x:c r="M28" s="19" t="n">
        <x:f>COUNTIF('英雄技能总表'!$F$2:$F$357,G28)</x:f>
        <x:v>4</x:v>
      </x:c>
      <x:c r="N28" s="19" t="str">
        <x:f>IF(M28=L28,"完整","检查")</x:f>
        <x:v>完整</x:v>
      </x:c>
      <x:c r="O28" s="18" t="str">
        <x:v>A0DX,A01B,A0DW,A0DY</x:v>
      </x:c>
    </x:row>
    <x:row r="29" ht="28" customHeight="1">
      <x:c r="A29" s="19" t="n">
        <x:v>28</x:v>
      </x:c>
      <x:c r="B29" s="19" t="str">
        <x:v>近卫军团</x:v>
      </x:c>
      <x:c r="C29" s="19" t="str">
        <x:v>清晨酒馆</x:v>
      </x:c>
      <x:c r="D29" s="19" t="str">
        <x:v>Morning Tavern</x:v>
      </x:c>
      <x:c r="E29" s="19" t="str">
        <x:v>变体精灵</x:v>
      </x:c>
      <x:c r="F29" s="19" t="str">
        <x:v>Morphling</x:v>
      </x:c>
      <x:c r="G29" s="19" t="str">
        <x:v>O00P</x:v>
      </x:c>
      <x:c r="H29" s="19" t="str">
        <x:v>Morphling</x:v>
      </x:c>
      <x:c r="I29" s="19" t="str">
        <x:v>AGI</x:v>
      </x:c>
      <x:c r="J29" s="19" t="str">
        <x:v>远程</x:v>
      </x:c>
      <x:c r="K29" s="19" t="n">
        <x:v>350</x:v>
      </x:c>
      <x:c r="L29" s="19" t="n">
        <x:v>4</x:v>
      </x:c>
      <x:c r="M29" s="19" t="n">
        <x:f>COUNTIF('英雄技能总表'!$F$2:$F$357,G29)</x:f>
        <x:v>4</x:v>
      </x:c>
      <x:c r="N29" s="19" t="str">
        <x:f>IF(M29=L29,"完整","检查")</x:f>
        <x:v>完整</x:v>
      </x:c>
      <x:c r="O29" s="18" t="str">
        <x:v>A0G6,A0G8,A0KX,A0FN</x:v>
      </x:c>
    </x:row>
    <x:row r="30" ht="28" customHeight="1">
      <x:c r="A30" s="19" t="n">
        <x:v>29</x:v>
      </x:c>
      <x:c r="B30" s="19" t="str">
        <x:v>近卫军团</x:v>
      </x:c>
      <x:c r="C30" s="19" t="str">
        <x:v>清晨酒馆</x:v>
      </x:c>
      <x:c r="D30" s="19" t="str">
        <x:v>Morning Tavern</x:v>
      </x:c>
      <x:c r="E30" s="19" t="str">
        <x:v>水晶室女</x:v>
      </x:c>
      <x:c r="F30" s="19" t="str">
        <x:v>Crystal Maiden</x:v>
      </x:c>
      <x:c r="G30" s="19" t="str">
        <x:v>Hjai</x:v>
      </x:c>
      <x:c r="H30" s="19" t="str">
        <x:v>Rylai Crestfall</x:v>
      </x:c>
      <x:c r="I30" s="19" t="str">
        <x:v>INT</x:v>
      </x:c>
      <x:c r="J30" s="19" t="str">
        <x:v>远程</x:v>
      </x:c>
      <x:c r="K30" s="19" t="n">
        <x:v>600</x:v>
      </x:c>
      <x:c r="L30" s="19" t="n">
        <x:v>4</x:v>
      </x:c>
      <x:c r="M30" s="19" t="n">
        <x:f>COUNTIF('英雄技能总表'!$F$2:$F$357,G30)</x:f>
        <x:v>4</x:v>
      </x:c>
      <x:c r="N30" s="19" t="str">
        <x:f>IF(M30=L30,"完整","检查")</x:f>
        <x:v>完整</x:v>
      </x:c>
      <x:c r="O30" s="18" t="str">
        <x:v>A01D,A04C,AHab,A03R</x:v>
      </x:c>
    </x:row>
    <x:row r="31" ht="28" customHeight="1">
      <x:c r="A31" s="19" t="n">
        <x:v>30</x:v>
      </x:c>
      <x:c r="B31" s="19" t="str">
        <x:v>近卫军团</x:v>
      </x:c>
      <x:c r="C31" s="19" t="str">
        <x:v>清晨酒馆</x:v>
      </x:c>
      <x:c r="D31" s="19" t="str">
        <x:v>Morning Tavern</x:v>
      </x:c>
      <x:c r="E31" s="19" t="str">
        <x:v>流浪剑客</x:v>
      </x:c>
      <x:c r="F31" s="19" t="str">
        <x:v>Rogue Knight</x:v>
      </x:c>
      <x:c r="G31" s="19" t="str">
        <x:v>H001</x:v>
      </x:c>
      <x:c r="H31" s="19" t="str">
        <x:v>Sven</x:v>
      </x:c>
      <x:c r="I31" s="19" t="str">
        <x:v>STR</x:v>
      </x:c>
      <x:c r="J31" s="19" t="str">
        <x:v>近战</x:v>
      </x:c>
      <x:c r="K31" s="19" t="n">
        <x:v>125</x:v>
      </x:c>
      <x:c r="L31" s="19" t="n">
        <x:v>4</x:v>
      </x:c>
      <x:c r="M31" s="19" t="n">
        <x:f>COUNTIF('英雄技能总表'!$F$2:$F$357,G31)</x:f>
        <x:v>4</x:v>
      </x:c>
      <x:c r="N31" s="19" t="str">
        <x:f>IF(M31=L31,"完整","检查")</x:f>
        <x:v>完整</x:v>
      </x:c>
      <x:c r="O31" s="18" t="str">
        <x:v>A0RZ,A01K,A01M,A01H</x:v>
      </x:c>
    </x:row>
    <x:row r="32" ht="28" customHeight="1">
      <x:c r="A32" s="19" t="n">
        <x:v>31</x:v>
      </x:c>
      <x:c r="B32" s="19" t="str">
        <x:v>近卫军团</x:v>
      </x:c>
      <x:c r="C32" s="19" t="str">
        <x:v>清晨酒馆</x:v>
      </x:c>
      <x:c r="D32" s="19" t="str">
        <x:v>Morning Tavern</x:v>
      </x:c>
      <x:c r="E32" s="19" t="str">
        <x:v>娜迦海妖</x:v>
      </x:c>
      <x:c r="F32" s="19" t="str">
        <x:v>Naga Siren</x:v>
      </x:c>
      <x:c r="G32" s="19" t="str">
        <x:v>HC49</x:v>
      </x:c>
      <x:c r="H32" s="19" t="str">
        <x:v>Slithice</x:v>
      </x:c>
      <x:c r="I32" s="19" t="str">
        <x:v>AGI</x:v>
      </x:c>
      <x:c r="J32" s="19" t="str">
        <x:v>近战</x:v>
      </x:c>
      <x:c r="K32" s="19" t="n">
        <x:v>100</x:v>
      </x:c>
      <x:c r="L32" s="19" t="n">
        <x:v>4</x:v>
      </x:c>
      <x:c r="M32" s="19" t="n">
        <x:f>COUNTIF('英雄技能总表'!$F$2:$F$357,G32)</x:f>
        <x:v>4</x:v>
      </x:c>
      <x:c r="N32" s="19" t="str">
        <x:f>IF(M32=L32,"完整","检查")</x:f>
        <x:v>完整</x:v>
      </x:c>
      <x:c r="O32" s="18" t="str">
        <x:v>A00E,A0BA,A063,A07U</x:v>
      </x:c>
    </x:row>
    <x:row r="33" ht="28" customHeight="1">
      <x:c r="A33" s="19" t="n">
        <x:v>32</x:v>
      </x:c>
      <x:c r="B33" s="19" t="str">
        <x:v>近卫军团</x:v>
      </x:c>
      <x:c r="C33" s="19" t="str">
        <x:v>清晨酒馆</x:v>
      </x:c>
      <x:c r="D33" s="19" t="str">
        <x:v>Morning Tavern</x:v>
      </x:c>
      <x:c r="E33" s="19" t="str">
        <x:v>德鲁伊</x:v>
      </x:c>
      <x:c r="F33" s="19" t="str">
        <x:v>Lone Druid</x:v>
      </x:c>
      <x:c r="G33" s="19" t="str">
        <x:v>N01O</x:v>
      </x:c>
      <x:c r="H33" s="19" t="str">
        <x:v>Syllabear</x:v>
      </x:c>
      <x:c r="I33" s="19" t="str">
        <x:v>AGI</x:v>
      </x:c>
      <x:c r="J33" s="19" t="str">
        <x:v>远程</x:v>
      </x:c>
      <x:c r="K33" s="19" t="n">
        <x:v>550</x:v>
      </x:c>
      <x:c r="L33" s="19" t="n">
        <x:v>4</x:v>
      </x:c>
      <x:c r="M33" s="19" t="n">
        <x:f>COUNTIF('英雄技能总表'!$F$2:$F$357,G33)</x:f>
        <x:v>4</x:v>
      </x:c>
      <x:c r="N33" s="19" t="str">
        <x:f>IF(M33=L33,"完整","检查")</x:f>
        <x:v>完整</x:v>
      </x:c>
      <x:c r="O33" s="18" t="str">
        <x:v>A0A5,A0A8,A0AA,A0AG</x:v>
      </x:c>
    </x:row>
    <x:row r="34" ht="28" customHeight="1">
      <x:c r="A34" s="19" t="n">
        <x:v>33</x:v>
      </x:c>
      <x:c r="B34" s="19" t="str">
        <x:v>近卫军团</x:v>
      </x:c>
      <x:c r="C34" s="19" t="str">
        <x:v>清晨酒馆</x:v>
      </x:c>
      <x:c r="D34" s="19" t="str">
        <x:v>Morning Tavern</x:v>
      </x:c>
      <x:c r="E34" s="19" t="str">
        <x:v>撼地神牛</x:v>
      </x:c>
      <x:c r="F34" s="19" t="str">
        <x:v>Earthshaker</x:v>
      </x:c>
      <x:c r="G34" s="19" t="str">
        <x:v>Otch</x:v>
      </x:c>
      <x:c r="H34" s="19" t="str">
        <x:v>Raigor Stonehoof</x:v>
      </x:c>
      <x:c r="I34" s="19" t="str">
        <x:v>STR</x:v>
      </x:c>
      <x:c r="J34" s="19" t="str">
        <x:v>近战</x:v>
      </x:c>
      <x:c r="K34" s="19" t="n">
        <x:v>128</x:v>
      </x:c>
      <x:c r="L34" s="19" t="n">
        <x:v>4</x:v>
      </x:c>
      <x:c r="M34" s="19" t="n">
        <x:f>COUNTIF('英雄技能总表'!$F$2:$F$357,G34)</x:f>
        <x:v>4</x:v>
      </x:c>
      <x:c r="N34" s="19" t="str">
        <x:f>IF(M34=L34,"完整","检查")</x:f>
        <x:v>完整</x:v>
      </x:c>
      <x:c r="O34" s="18" t="str">
        <x:v>A0DH,A0DL,A0M0,A0DJ</x:v>
      </x:c>
    </x:row>
    <x:row r="35" ht="28" customHeight="1">
      <x:c r="A35" s="19" t="n">
        <x:v>34</x:v>
      </x:c>
      <x:c r="B35" s="19" t="str">
        <x:v>近卫军团</x:v>
      </x:c>
      <x:c r="C35" s="19" t="str">
        <x:v>清晨酒馆</x:v>
      </x:c>
      <x:c r="D35" s="19" t="str">
        <x:v>Morning Tavern</x:v>
      </x:c>
      <x:c r="E35" s="19" t="str">
        <x:v>隐形刺客</x:v>
      </x:c>
      <x:c r="F35" s="19" t="str">
        <x:v>Stealth Assassin</x:v>
      </x:c>
      <x:c r="G35" s="19" t="str">
        <x:v>HC92</x:v>
      </x:c>
      <x:c r="H35" s="19" t="str">
        <x:v>Rikimaru</x:v>
      </x:c>
      <x:c r="I35" s="19" t="str">
        <x:v>AGI</x:v>
      </x:c>
      <x:c r="J35" s="19" t="str">
        <x:v>近战</x:v>
      </x:c>
      <x:c r="K35" s="19" t="n">
        <x:v>125</x:v>
      </x:c>
      <x:c r="L35" s="19" t="n">
        <x:v>4</x:v>
      </x:c>
      <x:c r="M35" s="19" t="n">
        <x:f>COUNTIF('英雄技能总表'!$F$2:$F$357,G35)</x:f>
        <x:v>4</x:v>
      </x:c>
      <x:c r="N35" s="19" t="str">
        <x:f>IF(M35=L35,"完整","检查")</x:f>
        <x:v>完整</x:v>
      </x:c>
      <x:c r="O35" s="18" t="str">
        <x:v>A0DZ,A0K9,A00J,A0RG</x:v>
      </x:c>
    </x:row>
    <x:row r="36" ht="28" customHeight="1">
      <x:c r="A36" s="19" t="n">
        <x:v>35</x:v>
      </x:c>
      <x:c r="B36" s="19" t="str">
        <x:v>近卫军团</x:v>
      </x:c>
      <x:c r="C36" s="19" t="str">
        <x:v>清晨酒馆</x:v>
      </x:c>
      <x:c r="D36" s="19" t="str">
        <x:v>Morning Tavern</x:v>
      </x:c>
      <x:c r="E36" s="19" t="str">
        <x:v>秀逗魔导士</x:v>
      </x:c>
      <x:c r="F36" s="19" t="str">
        <x:v>Slayer</x:v>
      </x:c>
      <x:c r="G36" s="19" t="str">
        <x:v>H004</x:v>
      </x:c>
      <x:c r="H36" s="19" t="str">
        <x:v>Lina Inverse</x:v>
      </x:c>
      <x:c r="I36" s="19" t="str">
        <x:v>INT</x:v>
      </x:c>
      <x:c r="J36" s="19" t="str">
        <x:v>远程</x:v>
      </x:c>
      <x:c r="K36" s="19" t="n">
        <x:v>600</x:v>
      </x:c>
      <x:c r="L36" s="19" t="n">
        <x:v>4</x:v>
      </x:c>
      <x:c r="M36" s="19" t="n">
        <x:f>COUNTIF('英雄技能总表'!$F$2:$F$357,G36)</x:f>
        <x:v>4</x:v>
      </x:c>
      <x:c r="N36" s="19" t="str">
        <x:f>IF(M36=L36,"完整","检查")</x:f>
        <x:v>完整</x:v>
      </x:c>
      <x:c r="O36" s="18" t="str">
        <x:v>A01F,A027,A001,A01P</x:v>
      </x:c>
    </x:row>
    <x:row r="37" ht="28" customHeight="1">
      <x:c r="A37" s="19" t="n">
        <x:v>36</x:v>
      </x:c>
      <x:c r="B37" s="19" t="str">
        <x:v>近卫军团</x:v>
      </x:c>
      <x:c r="C37" s="19" t="str">
        <x:v>清晨酒馆</x:v>
      </x:c>
      <x:c r="D37" s="19" t="str">
        <x:v>Morning Tavern</x:v>
      </x:c>
      <x:c r="E37" s="19" t="str">
        <x:v>剑圣</x:v>
      </x:c>
      <x:c r="F37" s="19" t="str">
        <x:v>Juggernaut</x:v>
      </x:c>
      <x:c r="G37" s="19" t="str">
        <x:v>Nbbc</x:v>
      </x:c>
      <x:c r="H37" s="19" t="str">
        <x:v>Yurnero</x:v>
      </x:c>
      <x:c r="I37" s="19" t="str">
        <x:v>AGI</x:v>
      </x:c>
      <x:c r="J37" s="19" t="str">
        <x:v>近战</x:v>
      </x:c>
      <x:c r="K37" s="19" t="n">
        <x:v>100</x:v>
      </x:c>
      <x:c r="L37" s="19" t="n">
        <x:v>4</x:v>
      </x:c>
      <x:c r="M37" s="19" t="n">
        <x:f>COUNTIF('英雄技能总表'!$F$2:$F$357,G37)</x:f>
        <x:v>4</x:v>
      </x:c>
      <x:c r="N37" s="19" t="str">
        <x:f>IF(M37=L37,"完整","检查")</x:f>
        <x:v>完整</x:v>
      </x:c>
      <x:c r="O37" s="18" t="str">
        <x:v>A047,A05G,A00K,A0M1</x:v>
      </x:c>
    </x:row>
    <x:row r="38" ht="28" customHeight="1">
      <x:c r="A38" s="19" t="n">
        <x:v>37</x:v>
      </x:c>
      <x:c r="B38" s="19" t="str">
        <x:v>天灾军团</x:v>
      </x:c>
      <x:c r="C38" s="19" t="str">
        <x:v>暮光酒馆</x:v>
      </x:c>
      <x:c r="D38" s="19" t="str">
        <x:v>Twilight Tavern</x:v>
      </x:c>
      <x:c r="E38" s="19" t="str">
        <x:v>地狱领主</x:v>
      </x:c>
      <x:c r="F38" s="19" t="str">
        <x:v>Lord of Avernus</x:v>
      </x:c>
      <x:c r="G38" s="19" t="str">
        <x:v>Udea</x:v>
      </x:c>
      <x:c r="H38" s="19" t="str">
        <x:v>Abaddon</x:v>
      </x:c>
      <x:c r="I38" s="19" t="str">
        <x:v>STR</x:v>
      </x:c>
      <x:c r="J38" s="19" t="str">
        <x:v>近战</x:v>
      </x:c>
      <x:c r="K38" s="19" t="n">
        <x:v>100</x:v>
      </x:c>
      <x:c r="L38" s="19" t="n">
        <x:v>4</x:v>
      </x:c>
      <x:c r="M38" s="19" t="n">
        <x:f>COUNTIF('英雄技能总表'!$F$2:$F$357,G38)</x:f>
        <x:v>4</x:v>
      </x:c>
      <x:c r="N38" s="19" t="str">
        <x:f>IF(M38=L38,"完整","检查")</x:f>
        <x:v>完整</x:v>
      </x:c>
      <x:c r="O38" s="18" t="str">
        <x:v>A0NS,A0MG,A0I3,A0MF</x:v>
      </x:c>
    </x:row>
    <x:row r="39" ht="28" customHeight="1">
      <x:c r="A39" s="19" t="n">
        <x:v>38</x:v>
      </x:c>
      <x:c r="B39" s="19" t="str">
        <x:v>天灾军团</x:v>
      </x:c>
      <x:c r="C39" s="19" t="str">
        <x:v>暮光酒馆</x:v>
      </x:c>
      <x:c r="D39" s="19" t="str">
        <x:v>Twilight Tavern</x:v>
      </x:c>
      <x:c r="E39" s="19" t="str">
        <x:v>血魔</x:v>
      </x:c>
      <x:c r="F39" s="19" t="str">
        <x:v>Bloodseeker</x:v>
      </x:c>
      <x:c r="G39" s="19" t="str">
        <x:v>Hvsh</x:v>
      </x:c>
      <x:c r="H39" s="19" t="str">
        <x:v>Strygwyr</x:v>
      </x:c>
      <x:c r="I39" s="19" t="str">
        <x:v>AGI</x:v>
      </x:c>
      <x:c r="J39" s="19" t="str">
        <x:v>近战</x:v>
      </x:c>
      <x:c r="K39" s="19" t="n">
        <x:v>100</x:v>
      </x:c>
      <x:c r="L39" s="19" t="n">
        <x:v>4</x:v>
      </x:c>
      <x:c r="M39" s="19" t="n">
        <x:f>COUNTIF('英雄技能总表'!$F$2:$F$357,G39)</x:f>
        <x:v>4</x:v>
      </x:c>
      <x:c r="N39" s="19" t="str">
        <x:f>IF(M39=L39,"完整","检查")</x:f>
        <x:v>完整</x:v>
      </x:c>
      <x:c r="O39" s="18" t="str">
        <x:v>A0LH,A0I8,A0EC,A0LE</x:v>
      </x:c>
    </x:row>
    <x:row r="40" ht="28" customHeight="1">
      <x:c r="A40" s="19" t="n">
        <x:v>39</x:v>
      </x:c>
      <x:c r="B40" s="19" t="str">
        <x:v>天灾军团</x:v>
      </x:c>
      <x:c r="C40" s="19" t="str">
        <x:v>暮光酒馆</x:v>
      </x:c>
      <x:c r="D40" s="19" t="str">
        <x:v>Twilight Tavern</x:v>
      </x:c>
      <x:c r="E40" s="19" t="str">
        <x:v>地穴编织者</x:v>
      </x:c>
      <x:c r="F40" s="19" t="str">
        <x:v>Nerubian Weaver</x:v>
      </x:c>
      <x:c r="G40" s="19" t="str">
        <x:v>Ubal</x:v>
      </x:c>
      <x:c r="H40" s="19" t="str">
        <x:v>Anub'seran</x:v>
      </x:c>
      <x:c r="I40" s="19" t="str">
        <x:v>AGI</x:v>
      </x:c>
      <x:c r="J40" s="19" t="str">
        <x:v>远程</x:v>
      </x:c>
      <x:c r="K40" s="19" t="n">
        <x:v>425</x:v>
      </x:c>
      <x:c r="L40" s="19" t="n">
        <x:v>4</x:v>
      </x:c>
      <x:c r="M40" s="19" t="n">
        <x:f>COUNTIF('英雄技能总表'!$F$2:$F$357,G40)</x:f>
        <x:v>4</x:v>
      </x:c>
      <x:c r="N40" s="19" t="str">
        <x:f>IF(M40=L40,"完整","检查")</x:f>
        <x:v>完整</x:v>
      </x:c>
      <x:c r="O40" s="18" t="str">
        <x:v>A00T,A0CA,A0CG,A0CT</x:v>
      </x:c>
    </x:row>
    <x:row r="41" ht="28" customHeight="1">
      <x:c r="A41" s="19" t="n">
        <x:v>40</x:v>
      </x:c>
      <x:c r="B41" s="19" t="str">
        <x:v>天灾军团</x:v>
      </x:c>
      <x:c r="C41" s="19" t="str">
        <x:v>暮光酒馆</x:v>
      </x:c>
      <x:c r="D41" s="19" t="str">
        <x:v>Twilight Tavern</x:v>
      </x:c>
      <x:c r="E41" s="19" t="str">
        <x:v>斧王</x:v>
      </x:c>
      <x:c r="F41" s="19" t="str">
        <x:v>Axe</x:v>
      </x:c>
      <x:c r="G41" s="19" t="str">
        <x:v>Opgh</x:v>
      </x:c>
      <x:c r="H41" s="19" t="str">
        <x:v>Mogul Kahn</x:v>
      </x:c>
      <x:c r="I41" s="19" t="str">
        <x:v>STR</x:v>
      </x:c>
      <x:c r="J41" s="19" t="str">
        <x:v>近战</x:v>
      </x:c>
      <x:c r="K41" s="19" t="n">
        <x:v>125</x:v>
      </x:c>
      <x:c r="L41" s="19" t="n">
        <x:v>4</x:v>
      </x:c>
      <x:c r="M41" s="19" t="n">
        <x:f>COUNTIF('英雄技能总表'!$F$2:$F$357,G41)</x:f>
        <x:v>4</x:v>
      </x:c>
      <x:c r="N41" s="19" t="str">
        <x:f>IF(M41=L41,"完整","检查")</x:f>
        <x:v>完整</x:v>
      </x:c>
      <x:c r="O41" s="18" t="str">
        <x:v>A0I6,A0S1,A0C6,A0E2</x:v>
      </x:c>
    </x:row>
    <x:row r="42" ht="28" customHeight="1">
      <x:c r="A42" s="19" t="n">
        <x:v>41</x:v>
      </x:c>
      <x:c r="B42" s="19" t="str">
        <x:v>天灾军团</x:v>
      </x:c>
      <x:c r="C42" s="19" t="str">
        <x:v>暮光酒馆</x:v>
      </x:c>
      <x:c r="D42" s="19" t="str">
        <x:v>Twilight Tavern</x:v>
      </x:c>
      <x:c r="E42" s="19" t="str">
        <x:v>沙王</x:v>
      </x:c>
      <x:c r="F42" s="19" t="str">
        <x:v>Sand King</x:v>
      </x:c>
      <x:c r="G42" s="19" t="str">
        <x:v>U00K</x:v>
      </x:c>
      <x:c r="H42" s="19" t="str">
        <x:v>Crixalis</x:v>
      </x:c>
      <x:c r="I42" s="19" t="str">
        <x:v>STR</x:v>
      </x:c>
      <x:c r="J42" s="19" t="str">
        <x:v>近战</x:v>
      </x:c>
      <x:c r="K42" s="19" t="n">
        <x:v>128</x:v>
      </x:c>
      <x:c r="L42" s="19" t="n">
        <x:v>4</x:v>
      </x:c>
      <x:c r="M42" s="19" t="n">
        <x:f>COUNTIF('英雄技能总表'!$F$2:$F$357,G42)</x:f>
        <x:v>4</x:v>
      </x:c>
      <x:c r="N42" s="19" t="str">
        <x:f>IF(M42=L42,"完整","检查")</x:f>
        <x:v>完整</x:v>
      </x:c>
      <x:c r="O42" s="18" t="str">
        <x:v>A06R,A0H0,A06O,A0FA</x:v>
      </x:c>
    </x:row>
    <x:row r="43" ht="28" customHeight="1">
      <x:c r="A43" s="19" t="n">
        <x:v>42</x:v>
      </x:c>
      <x:c r="B43" s="19" t="str">
        <x:v>天灾军团</x:v>
      </x:c>
      <x:c r="C43" s="19" t="str">
        <x:v>暮光酒馆</x:v>
      </x:c>
      <x:c r="D43" s="19" t="str">
        <x:v>Twilight Tavern</x:v>
      </x:c>
      <x:c r="E43" s="19" t="str">
        <x:v>影魔</x:v>
      </x:c>
      <x:c r="F43" s="19" t="str">
        <x:v>Shadow Fiend</x:v>
      </x:c>
      <x:c r="G43" s="19" t="str">
        <x:v>Nfir</x:v>
      </x:c>
      <x:c r="H43" s="19" t="str">
        <x:v>Nevermore</x:v>
      </x:c>
      <x:c r="I43" s="19" t="str">
        <x:v>AGI</x:v>
      </x:c>
      <x:c r="J43" s="19" t="str">
        <x:v>远程</x:v>
      </x:c>
      <x:c r="K43" s="19" t="n">
        <x:v>500</x:v>
      </x:c>
      <x:c r="L43" s="19" t="n">
        <x:v>4</x:v>
      </x:c>
      <x:c r="M43" s="19" t="n">
        <x:f>COUNTIF('英雄技能总表'!$F$2:$F$357,G43)</x:f>
        <x:v>4</x:v>
      </x:c>
      <x:c r="N43" s="19" t="str">
        <x:f>IF(M43=L43,"完整","检查")</x:f>
        <x:v>完整</x:v>
      </x:c>
      <x:c r="O43" s="18" t="str">
        <x:v>A0FU,A0BR,A0HE,A0EY</x:v>
      </x:c>
    </x:row>
    <x:row r="44" ht="28" customHeight="1">
      <x:c r="A44" s="19" t="n">
        <x:v>43</x:v>
      </x:c>
      <x:c r="B44" s="19" t="str">
        <x:v>天灾军团</x:v>
      </x:c>
      <x:c r="C44" s="19" t="str">
        <x:v>暮光酒馆</x:v>
      </x:c>
      <x:c r="D44" s="19" t="str">
        <x:v>Twilight Tavern</x:v>
      </x:c>
      <x:c r="E44" s="19" t="str">
        <x:v>裂魂人</x:v>
      </x:c>
      <x:c r="F44" s="19" t="str">
        <x:v>Spiritbreaker</x:v>
      </x:c>
      <x:c r="G44" s="19" t="str">
        <x:v>O00J</x:v>
      </x:c>
      <x:c r="H44" s="19" t="str">
        <x:v>Barathrum</x:v>
      </x:c>
      <x:c r="I44" s="19" t="str">
        <x:v>STR</x:v>
      </x:c>
      <x:c r="J44" s="19" t="str">
        <x:v>近战</x:v>
      </x:c>
      <x:c r="K44" s="19" t="n">
        <x:v>100</x:v>
      </x:c>
      <x:c r="L44" s="19" t="n">
        <x:v>4</x:v>
      </x:c>
      <x:c r="M44" s="19" t="n">
        <x:f>COUNTIF('英雄技能总表'!$F$2:$F$357,G44)</x:f>
        <x:v>4</x:v>
      </x:c>
      <x:c r="N44" s="19" t="str">
        <x:f>IF(M44=L44,"完整","检查")</x:f>
        <x:v>完整</x:v>
      </x:c>
      <x:c r="O44" s="18" t="str">
        <x:v>A0ML,A0G4,A0G5,A0ES</x:v>
      </x:c>
    </x:row>
    <x:row r="45" ht="28" customHeight="1">
      <x:c r="A45" s="19" t="n">
        <x:v>44</x:v>
      </x:c>
      <x:c r="B45" s="19" t="str">
        <x:v>天灾军团</x:v>
      </x:c>
      <x:c r="C45" s="19" t="str">
        <x:v>暮光酒馆</x:v>
      </x:c>
      <x:c r="D45" s="19" t="str">
        <x:v>Twilight Tavern</x:v>
      </x:c>
      <x:c r="E45" s="19" t="str">
        <x:v>屠夫</x:v>
      </x:c>
      <x:c r="F45" s="19" t="str">
        <x:v>Butcher</x:v>
      </x:c>
      <x:c r="G45" s="19" t="str">
        <x:v>U00F</x:v>
      </x:c>
      <x:c r="H45" s="19" t="str">
        <x:v>Pudge</x:v>
      </x:c>
      <x:c r="I45" s="19" t="str">
        <x:v>STR</x:v>
      </x:c>
      <x:c r="J45" s="19" t="str">
        <x:v>近战</x:v>
      </x:c>
      <x:c r="K45" s="19" t="n">
        <x:v>128</x:v>
      </x:c>
      <x:c r="L45" s="19" t="n">
        <x:v>4</x:v>
      </x:c>
      <x:c r="M45" s="19" t="n">
        <x:f>COUNTIF('英雄技能总表'!$F$2:$F$357,G45)</x:f>
        <x:v>4</x:v>
      </x:c>
      <x:c r="N45" s="19" t="str">
        <x:f>IF(M45=L45,"完整","检查")</x:f>
        <x:v>完整</x:v>
      </x:c>
      <x:c r="O45" s="18" t="str">
        <x:v>A06I,A06D,A0FL,A06K</x:v>
      </x:c>
    </x:row>
    <x:row r="46" ht="28" customHeight="1">
      <x:c r="A46" s="19" t="n">
        <x:v>45</x:v>
      </x:c>
      <x:c r="B46" s="19" t="str">
        <x:v>天灾军团</x:v>
      </x:c>
      <x:c r="C46" s="19" t="str">
        <x:v>暮光酒馆</x:v>
      </x:c>
      <x:c r="D46" s="19" t="str">
        <x:v>Twilight Tavern</x:v>
      </x:c>
      <x:c r="E46" s="19" t="str">
        <x:v>死灵法师</x:v>
      </x:c>
      <x:c r="F46" s="19" t="str">
        <x:v>Necrolyte</x:v>
      </x:c>
      <x:c r="G46" s="19" t="str">
        <x:v>U00E</x:v>
      </x:c>
      <x:c r="H46" s="19" t="str">
        <x:v>Rotund'jere</x:v>
      </x:c>
      <x:c r="I46" s="19" t="str">
        <x:v>INT</x:v>
      </x:c>
      <x:c r="J46" s="19" t="str">
        <x:v>远程</x:v>
      </x:c>
      <x:c r="K46" s="19" t="n">
        <x:v>600</x:v>
      </x:c>
      <x:c r="L46" s="19" t="n">
        <x:v>4</x:v>
      </x:c>
      <x:c r="M46" s="19" t="n">
        <x:f>COUNTIF('英雄技能总表'!$F$2:$F$357,G46)</x:f>
        <x:v>4</x:v>
      </x:c>
      <x:c r="N46" s="19" t="str">
        <x:f>IF(M46=L46,"完整","检查")</x:f>
        <x:v>完整</x:v>
      </x:c>
      <x:c r="O46" s="18" t="str">
        <x:v>A067,A05V,A060,A0MC</x:v>
      </x:c>
    </x:row>
    <x:row r="47" ht="28" customHeight="1">
      <x:c r="A47" s="19" t="n">
        <x:v>46</x:v>
      </x:c>
      <x:c r="B47" s="19" t="str">
        <x:v>天灾军团</x:v>
      </x:c>
      <x:c r="C47" s="19" t="str">
        <x:v>暮光酒馆</x:v>
      </x:c>
      <x:c r="D47" s="19" t="str">
        <x:v>Twilight Tavern</x:v>
      </x:c>
      <x:c r="E47" s="19" t="str">
        <x:v>痛苦之源</x:v>
      </x:c>
      <x:c r="F47" s="19" t="str">
        <x:v>Bane Elemental</x:v>
      </x:c>
      <x:c r="G47" s="19" t="str">
        <x:v>Oshd</x:v>
      </x:c>
      <x:c r="H47" s="19" t="str">
        <x:v>Atropos</x:v>
      </x:c>
      <x:c r="I47" s="19" t="str">
        <x:v>INT</x:v>
      </x:c>
      <x:c r="J47" s="19" t="str">
        <x:v>远程</x:v>
      </x:c>
      <x:c r="K47" s="19" t="n">
        <x:v>400</x:v>
      </x:c>
      <x:c r="L47" s="19" t="n">
        <x:v>4</x:v>
      </x:c>
      <x:c r="M47" s="19" t="n">
        <x:f>COUNTIF('英雄技能总表'!$F$2:$F$357,G47)</x:f>
        <x:v>4</x:v>
      </x:c>
      <x:c r="N47" s="19" t="str">
        <x:f>IF(M47=L47,"完整","检查")</x:f>
        <x:v>完整</x:v>
      </x:c>
      <x:c r="O47" s="18" t="str">
        <x:v>A02Q,A0GK,A04V,A04Y</x:v>
      </x:c>
    </x:row>
    <x:row r="48" ht="28" customHeight="1">
      <x:c r="A48" s="19" t="n">
        <x:v>47</x:v>
      </x:c>
      <x:c r="B48" s="19" t="str">
        <x:v>天灾军团</x:v>
      </x:c>
      <x:c r="C48" s="19" t="str">
        <x:v>暮光酒馆</x:v>
      </x:c>
      <x:c r="D48" s="19" t="str">
        <x:v>Twilight Tavern</x:v>
      </x:c>
      <x:c r="E48" s="19" t="str">
        <x:v>潮汐猎人</x:v>
      </x:c>
      <x:c r="F48" s="19" t="str">
        <x:v>Tidehunter</x:v>
      </x:c>
      <x:c r="G48" s="19" t="str">
        <x:v>Ofar</x:v>
      </x:c>
      <x:c r="H48" s="19" t="str">
        <x:v>Leviathan</x:v>
      </x:c>
      <x:c r="I48" s="19" t="str">
        <x:v>STR</x:v>
      </x:c>
      <x:c r="J48" s="19" t="str">
        <x:v>近战</x:v>
      </x:c>
      <x:c r="K48" s="19" t="n">
        <x:v>100</x:v>
      </x:c>
      <x:c r="L48" s="19" t="n">
        <x:v>4</x:v>
      </x:c>
      <x:c r="M48" s="19" t="n">
        <x:f>COUNTIF('英雄技能总表'!$F$2:$F$357,G48)</x:f>
        <x:v>4</x:v>
      </x:c>
      <x:c r="N48" s="19" t="str">
        <x:f>IF(M48=L48,"完整","检查")</x:f>
        <x:v>完整</x:v>
      </x:c>
      <x:c r="O48" s="18" t="str">
        <x:v>A03Z,A044,A046,A04E</x:v>
      </x:c>
    </x:row>
    <x:row r="49" ht="28" customHeight="1">
      <x:c r="A49" s="19" t="n">
        <x:v>48</x:v>
      </x:c>
      <x:c r="B49" s="19" t="str">
        <x:v>天灾军团</x:v>
      </x:c>
      <x:c r="C49" s="19" t="str">
        <x:v>暮光酒馆</x:v>
      </x:c>
      <x:c r="D49" s="19" t="str">
        <x:v>Twilight Tavern</x:v>
      </x:c>
      <x:c r="E49" s="19" t="str">
        <x:v>遗忘法师</x:v>
      </x:c>
      <x:c r="F49" s="19" t="str">
        <x:v>Oblivion</x:v>
      </x:c>
      <x:c r="G49" s="19" t="str">
        <x:v>H00H</x:v>
      </x:c>
      <x:c r="H49" s="19" t="str">
        <x:v>Pugna</x:v>
      </x:c>
      <x:c r="I49" s="19" t="str">
        <x:v>INT</x:v>
      </x:c>
      <x:c r="J49" s="19" t="str">
        <x:v>远程</x:v>
      </x:c>
      <x:c r="K49" s="19" t="n">
        <x:v>600</x:v>
      </x:c>
      <x:c r="L49" s="19" t="n">
        <x:v>4</x:v>
      </x:c>
      <x:c r="M49" s="19" t="n">
        <x:f>COUNTIF('英雄技能总表'!$F$2:$F$357,G49)</x:f>
        <x:v>4</x:v>
      </x:c>
      <x:c r="N49" s="19" t="str">
        <x:f>IF(M49=L49,"完整","检查")</x:f>
        <x:v>完整</x:v>
      </x:c>
      <x:c r="O49" s="18" t="str">
        <x:v>A09D,A0MT,A0CE,A0CC</x:v>
      </x:c>
    </x:row>
    <x:row r="50" ht="28" customHeight="1">
      <x:c r="A50" s="19" t="n">
        <x:v>49</x:v>
      </x:c>
      <x:c r="B50" s="19" t="str">
        <x:v>近卫军团</x:v>
      </x:c>
      <x:c r="C50" s="19" t="str">
        <x:v>日出酒馆</x:v>
      </x:c>
      <x:c r="D50" s="19" t="str">
        <x:v>Sunrise Tavern</x:v>
      </x:c>
      <x:c r="E50" s="19" t="str">
        <x:v>哥布林工程师</x:v>
      </x:c>
      <x:c r="F50" s="19" t="str">
        <x:v>Goblin Techies</x:v>
      </x:c>
      <x:c r="G50" s="19" t="str">
        <x:v>H00K</x:v>
      </x:c>
      <x:c r="H50" s="19" t="str">
        <x:v>Squee and Spleen</x:v>
      </x:c>
      <x:c r="I50" s="19" t="str">
        <x:v>INT</x:v>
      </x:c>
      <x:c r="J50" s="19" t="str">
        <x:v>远程</x:v>
      </x:c>
      <x:c r="K50" s="19" t="n">
        <x:v>650</x:v>
      </x:c>
      <x:c r="L50" s="19" t="n">
        <x:v>4</x:v>
      </x:c>
      <x:c r="M50" s="19" t="n">
        <x:f>COUNTIF('英雄技能总表'!$F$2:$F$357,G50)</x:f>
        <x:v>4</x:v>
      </x:c>
      <x:c r="N50" s="19" t="str">
        <x:f>IF(M50=L50,"完整","检查")</x:f>
        <x:v>完整</x:v>
      </x:c>
      <x:c r="O50" s="18" t="str">
        <x:v>A06H,A05J,A06B,A0AK</x:v>
      </x:c>
    </x:row>
    <x:row r="51" ht="28" customHeight="1">
      <x:c r="A51" s="19" t="n">
        <x:v>50</x:v>
      </x:c>
      <x:c r="B51" s="19" t="str">
        <x:v>近卫军团</x:v>
      </x:c>
      <x:c r="C51" s="19" t="str">
        <x:v>日出酒馆</x:v>
      </x:c>
      <x:c r="D51" s="19" t="str">
        <x:v>Sunrise Tavern</x:v>
      </x:c>
      <x:c r="E51" s="19" t="str">
        <x:v>熊战士</x:v>
      </x:c>
      <x:c r="F51" s="19" t="str">
        <x:v>Ursa Warrior</x:v>
      </x:c>
      <x:c r="G51" s="19" t="str">
        <x:v>Huth</x:v>
      </x:c>
      <x:c r="H51" s="19" t="str">
        <x:v>Ulfsaar</x:v>
      </x:c>
      <x:c r="I51" s="19" t="str">
        <x:v>AGI</x:v>
      </x:c>
      <x:c r="J51" s="19" t="str">
        <x:v>近战</x:v>
      </x:c>
      <x:c r="K51" s="19" t="n">
        <x:v>100</x:v>
      </x:c>
      <x:c r="L51" s="19" t="n">
        <x:v>4</x:v>
      </x:c>
      <x:c r="M51" s="19" t="n">
        <x:f>COUNTIF('英雄技能总表'!$F$2:$F$357,G51)</x:f>
        <x:v>4</x:v>
      </x:c>
      <x:c r="N51" s="19" t="str">
        <x:f>IF(M51=L51,"完整","检查")</x:f>
        <x:v>完整</x:v>
      </x:c>
      <x:c r="O51" s="18" t="str">
        <x:v>A059,A0LC,A03Y,ANic</x:v>
      </x:c>
    </x:row>
    <x:row r="52" ht="28" customHeight="1">
      <x:c r="A52" s="19" t="n">
        <x:v>51</x:v>
      </x:c>
      <x:c r="B52" s="19" t="str">
        <x:v>近卫军团</x:v>
      </x:c>
      <x:c r="C52" s="19" t="str">
        <x:v>日出酒馆</x:v>
      </x:c>
      <x:c r="D52" s="19" t="str">
        <x:v>Sunrise Tavern</x:v>
      </x:c>
      <x:c r="E52" s="19" t="str">
        <x:v>山岭巨人</x:v>
      </x:c>
      <x:c r="F52" s="19" t="str">
        <x:v>Stone Giant</x:v>
      </x:c>
      <x:c r="G52" s="19" t="str">
        <x:v>Ucrl</x:v>
      </x:c>
      <x:c r="H52" s="19" t="str">
        <x:v>Tiny</x:v>
      </x:c>
      <x:c r="I52" s="19" t="str">
        <x:v>STR</x:v>
      </x:c>
      <x:c r="J52" s="19" t="str">
        <x:v>近战</x:v>
      </x:c>
      <x:c r="K52" s="19" t="n">
        <x:v>128</x:v>
      </x:c>
      <x:c r="L52" s="19" t="n">
        <x:v>4</x:v>
      </x:c>
      <x:c r="M52" s="19" t="n">
        <x:f>COUNTIF('英雄技能总表'!$F$2:$F$357,G52)</x:f>
        <x:v>4</x:v>
      </x:c>
      <x:c r="N52" s="19" t="str">
        <x:f>IF(M52=L52,"完整","检查")</x:f>
        <x:v>完整</x:v>
      </x:c>
      <x:c r="O52" s="18" t="str">
        <x:v>A0BU,A0CY,A0LL,A0BZ</x:v>
      </x:c>
    </x:row>
    <x:row r="53" ht="28" customHeight="1">
      <x:c r="A53" s="19" t="n">
        <x:v>52</x:v>
      </x:c>
      <x:c r="B53" s="19" t="str">
        <x:v>近卫军团</x:v>
      </x:c>
      <x:c r="C53" s="19" t="str">
        <x:v>日出酒馆</x:v>
      </x:c>
      <x:c r="D53" s="19" t="str">
        <x:v>Sunrise Tavern</x:v>
      </x:c>
      <x:c r="E53" s="19" t="str">
        <x:v>先知</x:v>
      </x:c>
      <x:c r="F53" s="19" t="str">
        <x:v>Prophet</x:v>
      </x:c>
      <x:c r="G53" s="19" t="str">
        <x:v>Emns</x:v>
      </x:c>
      <x:c r="H53" s="19" t="str">
        <x:v>Furion</x:v>
      </x:c>
      <x:c r="I53" s="19" t="str">
        <x:v>INT</x:v>
      </x:c>
      <x:c r="J53" s="19" t="str">
        <x:v>远程</x:v>
      </x:c>
      <x:c r="K53" s="19" t="n">
        <x:v>600</x:v>
      </x:c>
      <x:c r="L53" s="19" t="n">
        <x:v>4</x:v>
      </x:c>
      <x:c r="M53" s="19" t="n">
        <x:f>COUNTIF('英雄技能总表'!$F$2:$F$357,G53)</x:f>
        <x:v>4</x:v>
      </x:c>
      <x:c r="N53" s="19" t="str">
        <x:f>IF(M53=L53,"完整","检查")</x:f>
        <x:v>完整</x:v>
      </x:c>
      <x:c r="O53" s="18" t="str">
        <x:v>A06Q,A01O,AEfn,A07X</x:v>
      </x:c>
    </x:row>
    <x:row r="54" ht="28" customHeight="1">
      <x:c r="A54" s="19" t="n">
        <x:v>53</x:v>
      </x:c>
      <x:c r="B54" s="19" t="str">
        <x:v>近卫军团</x:v>
      </x:c>
      <x:c r="C54" s="19" t="str">
        <x:v>日出酒馆</x:v>
      </x:c>
      <x:c r="D54" s="19" t="str">
        <x:v>Sunrise Tavern</x:v>
      </x:c>
      <x:c r="E54" s="19" t="str">
        <x:v>谜团</x:v>
      </x:c>
      <x:c r="F54" s="19" t="str">
        <x:v>Enigma</x:v>
      </x:c>
      <x:c r="G54" s="19" t="str">
        <x:v>Uktl</x:v>
      </x:c>
      <x:c r="H54" s="19" t="str">
        <x:v>Darchrow</x:v>
      </x:c>
      <x:c r="I54" s="19" t="str">
        <x:v>INT</x:v>
      </x:c>
      <x:c r="J54" s="19" t="str">
        <x:v>远程</x:v>
      </x:c>
      <x:c r="K54" s="19" t="n">
        <x:v>500</x:v>
      </x:c>
      <x:c r="L54" s="19" t="n">
        <x:v>4</x:v>
      </x:c>
      <x:c r="M54" s="19" t="n">
        <x:f>COUNTIF('英雄技能总表'!$F$2:$F$357,G54)</x:f>
        <x:v>4</x:v>
      </x:c>
      <x:c r="N54" s="19" t="str">
        <x:f>IF(M54=L54,"完整","检查")</x:f>
        <x:v>完整</x:v>
      </x:c>
      <x:c r="O54" s="18" t="str">
        <x:v>A0I7,A0B7,A0B1,A0BY</x:v>
      </x:c>
    </x:row>
    <x:row r="55" ht="28" customHeight="1">
      <x:c r="A55" s="19" t="n">
        <x:v>54</x:v>
      </x:c>
      <x:c r="B55" s="19" t="str">
        <x:v>近卫军团</x:v>
      </x:c>
      <x:c r="C55" s="19" t="str">
        <x:v>日出酒馆</x:v>
      </x:c>
      <x:c r="D55" s="19" t="str">
        <x:v>Sunrise Tavern</x:v>
      </x:c>
      <x:c r="E55" s="19" t="str">
        <x:v>食人魔法师</x:v>
      </x:c>
      <x:c r="F55" s="19" t="str">
        <x:v>Ogre Magi</x:v>
      </x:c>
      <x:c r="G55" s="19" t="str">
        <x:v>Hmkg</x:v>
      </x:c>
      <x:c r="H55" s="19" t="str">
        <x:v>Aggron Stonebreaker</x:v>
      </x:c>
      <x:c r="I55" s="19" t="str">
        <x:v>INT</x:v>
      </x:c>
      <x:c r="J55" s="19" t="str">
        <x:v>近战</x:v>
      </x:c>
      <x:c r="K55" s="19" t="n">
        <x:v>100</x:v>
      </x:c>
      <x:c r="L55" s="19" t="n">
        <x:v>4</x:v>
      </x:c>
      <x:c r="M55" s="19" t="n">
        <x:f>COUNTIF('英雄技能总表'!$F$2:$F$357,G55)</x:f>
        <x:v>4</x:v>
      </x:c>
      <x:c r="N55" s="19" t="str">
        <x:f>IF(M55=L55,"完整","检查")</x:f>
        <x:v>完整</x:v>
      </x:c>
      <x:c r="O55" s="18" t="str">
        <x:v>A011,A04W,A083,A088</x:v>
      </x:c>
    </x:row>
    <x:row r="56" ht="28" customHeight="1">
      <x:c r="A56" s="19" t="n">
        <x:v>55</x:v>
      </x:c>
      <x:c r="B56" s="19" t="str">
        <x:v>近卫军团</x:v>
      </x:c>
      <x:c r="C56" s="19" t="str">
        <x:v>日出酒馆</x:v>
      </x:c>
      <x:c r="D56" s="19" t="str">
        <x:v>Sunrise Tavern</x:v>
      </x:c>
      <x:c r="E56" s="19" t="str">
        <x:v>光之守卫</x:v>
      </x:c>
      <x:c r="F56" s="19" t="str">
        <x:v>Keeper of the Light</x:v>
      </x:c>
      <x:c r="G56" s="19" t="str">
        <x:v>Hblm</x:v>
      </x:c>
      <x:c r="H56" s="19" t="str">
        <x:v>Ezalor</x:v>
      </x:c>
      <x:c r="I56" s="19" t="str">
        <x:v>INT</x:v>
      </x:c>
      <x:c r="J56" s="19" t="str">
        <x:v>远程</x:v>
      </x:c>
      <x:c r="K56" s="19" t="n">
        <x:v>600</x:v>
      </x:c>
      <x:c r="L56" s="19" t="n">
        <x:v>4</x:v>
      </x:c>
      <x:c r="M56" s="19" t="n">
        <x:f>COUNTIF('英雄技能总表'!$F$2:$F$357,G56)</x:f>
        <x:v>4</x:v>
      </x:c>
      <x:c r="N56" s="19" t="str">
        <x:f>IF(M56=L56,"完整","检查")</x:f>
        <x:v>完整</x:v>
      </x:c>
      <x:c r="O56" s="18" t="str">
        <x:v>A085,A07Y,A0MO,A07N</x:v>
      </x:c>
    </x:row>
    <x:row r="57" ht="28" customHeight="1">
      <x:c r="A57" s="19" t="n">
        <x:v>56</x:v>
      </x:c>
      <x:c r="B57" s="19" t="str">
        <x:v>近卫军团</x:v>
      </x:c>
      <x:c r="C57" s="19" t="str">
        <x:v>日出酒馆</x:v>
      </x:c>
      <x:c r="D57" s="19" t="str">
        <x:v>Sunrise Tavern</x:v>
      </x:c>
      <x:c r="E57" s="19" t="str">
        <x:v>修补匠</x:v>
      </x:c>
      <x:c r="F57" s="19" t="str">
        <x:v>Tinker</x:v>
      </x:c>
      <x:c r="G57" s="19" t="str">
        <x:v>Ntin</x:v>
      </x:c>
      <x:c r="H57" s="19" t="str">
        <x:v>Boush</x:v>
      </x:c>
      <x:c r="I57" s="19" t="str">
        <x:v>INT</x:v>
      </x:c>
      <x:c r="J57" s="19" t="str">
        <x:v>远程</x:v>
      </x:c>
      <x:c r="K57" s="19" t="n">
        <x:v>500</x:v>
      </x:c>
      <x:c r="L57" s="19" t="n">
        <x:v>4</x:v>
      </x:c>
      <x:c r="M57" s="19" t="n">
        <x:f>COUNTIF('英雄技能总表'!$F$2:$F$357,G57)</x:f>
        <x:v>4</x:v>
      </x:c>
      <x:c r="N57" s="19" t="str">
        <x:f>IF(M57=L57,"完整","检查")</x:f>
        <x:v>完整</x:v>
      </x:c>
      <x:c r="O57" s="18" t="str">
        <x:v>A065,A049,A05E,A0BQ</x:v>
      </x:c>
    </x:row>
    <x:row r="58" ht="28" customHeight="1">
      <x:c r="A58" s="19" t="n">
        <x:v>57</x:v>
      </x:c>
      <x:c r="B58" s="19" t="str">
        <x:v>近卫军团</x:v>
      </x:c>
      <x:c r="C58" s="19" t="str">
        <x:v>日出酒馆</x:v>
      </x:c>
      <x:c r="D58" s="19" t="str">
        <x:v>Sunrise Tavern</x:v>
      </x:c>
      <x:c r="E58" s="19" t="str">
        <x:v>幻影长矛手</x:v>
      </x:c>
      <x:c r="F58" s="19" t="str">
        <x:v>Phantom Lancer</x:v>
      </x:c>
      <x:c r="G58" s="19" t="str">
        <x:v>Ogrh</x:v>
      </x:c>
      <x:c r="H58" s="19" t="str">
        <x:v>Azwraith</x:v>
      </x:c>
      <x:c r="I58" s="19" t="str">
        <x:v>AGI</x:v>
      </x:c>
      <x:c r="J58" s="19" t="str">
        <x:v>近战</x:v>
      </x:c>
      <x:c r="K58" s="19" t="n">
        <x:v>100</x:v>
      </x:c>
      <x:c r="L58" s="19" t="n">
        <x:v>4</x:v>
      </x:c>
      <x:c r="M58" s="19" t="n">
        <x:f>COUNTIF('英雄技能总表'!$F$2:$F$357,G58)</x:f>
        <x:v>4</x:v>
      </x:c>
      <x:c r="N58" s="19" t="str">
        <x:f>IF(M58=L58,"完整","检查")</x:f>
        <x:v>完整</x:v>
      </x:c>
      <x:c r="O58" s="18" t="str">
        <x:v>A0DB,A0DA,A0D7,A0D9</x:v>
      </x:c>
    </x:row>
    <x:row r="59" ht="28" customHeight="1">
      <x:c r="A59" s="19" t="n">
        <x:v>58</x:v>
      </x:c>
      <x:c r="B59" s="19" t="str">
        <x:v>近卫军团</x:v>
      </x:c>
      <x:c r="C59" s="19" t="str">
        <x:v>日出酒馆</x:v>
      </x:c>
      <x:c r="D59" s="19" t="str">
        <x:v>Sunrise Tavern</x:v>
      </x:c>
      <x:c r="E59" s="19" t="str">
        <x:v>树精卫士</x:v>
      </x:c>
      <x:c r="F59" s="19" t="str">
        <x:v>Treant Protector</x:v>
      </x:c>
      <x:c r="G59" s="19" t="str">
        <x:v>Hamg</x:v>
      </x:c>
      <x:c r="H59" s="19" t="str">
        <x:v>Rooftrellen</x:v>
      </x:c>
      <x:c r="I59" s="19" t="str">
        <x:v>STR</x:v>
      </x:c>
      <x:c r="J59" s="19" t="str">
        <x:v>近战</x:v>
      </x:c>
      <x:c r="K59" s="19" t="n">
        <x:v>100</x:v>
      </x:c>
      <x:c r="L59" s="19" t="n">
        <x:v>4</x:v>
      </x:c>
      <x:c r="M59" s="19" t="n">
        <x:f>COUNTIF('英雄技能总表'!$F$2:$F$357,G59)</x:f>
        <x:v>4</x:v>
      </x:c>
      <x:c r="N59" s="19" t="str">
        <x:f>IF(M59=L59,"完整","检查")</x:f>
        <x:v>完整</x:v>
      </x:c>
      <x:c r="O59" s="18" t="str">
        <x:v>A07Z,A01Z,A01V,A01U</x:v>
      </x:c>
    </x:row>
    <x:row r="60" ht="28" customHeight="1">
      <x:c r="A60" s="19" t="n">
        <x:v>59</x:v>
      </x:c>
      <x:c r="B60" s="19" t="str">
        <x:v>近卫军团</x:v>
      </x:c>
      <x:c r="C60" s="19" t="str">
        <x:v>日出酒馆</x:v>
      </x:c>
      <x:c r="D60" s="19" t="str">
        <x:v>Sunrise Tavern</x:v>
      </x:c>
      <x:c r="E60" s="19" t="str">
        <x:v>圣骑士</x:v>
      </x:c>
      <x:c r="F60" s="19" t="str">
        <x:v>Holy Knight</x:v>
      </x:c>
      <x:c r="G60" s="19" t="str">
        <x:v>H00A</x:v>
      </x:c>
      <x:c r="H60" s="19" t="str">
        <x:v>Chen</x:v>
      </x:c>
      <x:c r="I60" s="19" t="str">
        <x:v>INT</x:v>
      </x:c>
      <x:c r="J60" s="19" t="str">
        <x:v>远程</x:v>
      </x:c>
      <x:c r="K60" s="19" t="n">
        <x:v>600</x:v>
      </x:c>
      <x:c r="L60" s="19" t="n">
        <x:v>4</x:v>
      </x:c>
      <x:c r="M60" s="19" t="n">
        <x:f>COUNTIF('英雄技能总表'!$F$2:$F$357,G60)</x:f>
        <x:v>4</x:v>
      </x:c>
      <x:c r="N60" s="19" t="str">
        <x:f>IF(M60=L60,"完整","检查")</x:f>
        <x:v>完整</x:v>
      </x:c>
      <x:c r="O60" s="18" t="str">
        <x:v>A0LV,A069,A0LT,A0KM</x:v>
      </x:c>
    </x:row>
    <x:row r="61" ht="28" customHeight="1">
      <x:c r="A61" s="19" t="n">
        <x:v>60</x:v>
      </x:c>
      <x:c r="B61" s="19" t="str">
        <x:v>近卫军团</x:v>
      </x:c>
      <x:c r="C61" s="19" t="str">
        <x:v>日出酒馆</x:v>
      </x:c>
      <x:c r="D61" s="19" t="str">
        <x:v>Sunrise Tavern</x:v>
      </x:c>
      <x:c r="E61" s="19" t="str">
        <x:v>沉默术士</x:v>
      </x:c>
      <x:c r="F61" s="19" t="str">
        <x:v>Silencer</x:v>
      </x:c>
      <x:c r="G61" s="19" t="str">
        <x:v>N01A</x:v>
      </x:c>
      <x:c r="H61" s="19" t="str">
        <x:v>Nortrom</x:v>
      </x:c>
      <x:c r="I61" s="19" t="str">
        <x:v>INT</x:v>
      </x:c>
      <x:c r="J61" s="19" t="str">
        <x:v>远程</x:v>
      </x:c>
      <x:c r="K61" s="19" t="n">
        <x:v>600</x:v>
      </x:c>
      <x:c r="L61" s="19" t="n">
        <x:v>4</x:v>
      </x:c>
      <x:c r="M61" s="19" t="n">
        <x:f>COUNTIF('英雄技能总表'!$F$2:$F$357,G61)</x:f>
        <x:v>4</x:v>
      </x:c>
      <x:c r="N61" s="19" t="str">
        <x:f>IF(M61=L61,"完整","检查")</x:f>
        <x:v>完整</x:v>
      </x:c>
      <x:c r="O61" s="18" t="str">
        <x:v>A0LZ,A0LR,A0KD,A0L3</x:v>
      </x:c>
    </x:row>
    <x:row r="62" ht="28" customHeight="1">
      <x:c r="A62" s="19" t="n">
        <x:v>61</x:v>
      </x:c>
      <x:c r="B62" s="19" t="str">
        <x:v>天灾军团</x:v>
      </x:c>
      <x:c r="C62" s="19" t="str">
        <x:v>傍晚酒馆</x:v>
      </x:c>
      <x:c r="D62" s="19" t="str">
        <x:v>Evening Tavern</x:v>
      </x:c>
      <x:c r="E62" s="19" t="str">
        <x:v>闪电幽魂</x:v>
      </x:c>
      <x:c r="F62" s="19" t="str">
        <x:v>Lightning Revenant</x:v>
      </x:c>
      <x:c r="G62" s="19" t="str">
        <x:v>E002</x:v>
      </x:c>
      <x:c r="H62" s="19" t="str">
        <x:v>Razor</x:v>
      </x:c>
      <x:c r="I62" s="19" t="str">
        <x:v>AGI</x:v>
      </x:c>
      <x:c r="J62" s="19" t="str">
        <x:v>远程</x:v>
      </x:c>
      <x:c r="K62" s="19" t="n">
        <x:v>550</x:v>
      </x:c>
      <x:c r="L62" s="19" t="n">
        <x:v>4</x:v>
      </x:c>
      <x:c r="M62" s="19" t="n">
        <x:f>COUNTIF('英雄技能总表'!$F$2:$F$357,G62)</x:f>
        <x:v>4</x:v>
      </x:c>
      <x:c r="N62" s="19" t="str">
        <x:f>IF(M62=L62,"完整","检查")</x:f>
        <x:v>完整</x:v>
      </x:c>
      <x:c r="O62" s="18" t="str">
        <x:v>A04B,A00N,A00Y,A0RY</x:v>
      </x:c>
    </x:row>
    <x:row r="63" ht="28" customHeight="1">
      <x:c r="A63" s="19" t="n">
        <x:v>62</x:v>
      </x:c>
      <x:c r="B63" s="19" t="str">
        <x:v>天灾军团</x:v>
      </x:c>
      <x:c r="C63" s="19" t="str">
        <x:v>傍晚酒馆</x:v>
      </x:c>
      <x:c r="D63" s="19" t="str">
        <x:v>Evening Tavern</x:v>
      </x:c>
      <x:c r="E63" s="19" t="str">
        <x:v>蛇发女妖</x:v>
      </x:c>
      <x:c r="F63" s="19" t="str">
        <x:v>Gorgon</x:v>
      </x:c>
      <x:c r="G63" s="19" t="str">
        <x:v>H00V</x:v>
      </x:c>
      <x:c r="H63" s="19" t="str">
        <x:v>Medusa</x:v>
      </x:c>
      <x:c r="I63" s="19" t="str">
        <x:v>AGI</x:v>
      </x:c>
      <x:c r="J63" s="19" t="str">
        <x:v>远程</x:v>
      </x:c>
      <x:c r="K63" s="19" t="n">
        <x:v>600</x:v>
      </x:c>
      <x:c r="L63" s="19" t="n">
        <x:v>4</x:v>
      </x:c>
      <x:c r="M63" s="19" t="n">
        <x:f>COUNTIF('英雄技能总表'!$F$2:$F$357,G63)</x:f>
        <x:v>4</x:v>
      </x:c>
      <x:c r="N63" s="19" t="str">
        <x:f>IF(M63=L63,"完整","检查")</x:f>
        <x:v>完整</x:v>
      </x:c>
      <x:c r="O63" s="18" t="str">
        <x:v>A02V,A0G2,A0MP,A012</x:v>
      </x:c>
    </x:row>
    <x:row r="64" ht="28" customHeight="1">
      <x:c r="A64" s="19" t="n">
        <x:v>63</x:v>
      </x:c>
      <x:c r="B64" s="19" t="str">
        <x:v>天灾军团</x:v>
      </x:c>
      <x:c r="C64" s="19" t="str">
        <x:v>傍晚酒馆</x:v>
      </x:c>
      <x:c r="D64" s="19" t="str">
        <x:v>Evening Tavern</x:v>
      </x:c>
      <x:c r="E64" s="19" t="str">
        <x:v>食尸鬼</x:v>
      </x:c>
      <x:c r="F64" s="19" t="str">
        <x:v>Lifestealer</x:v>
      </x:c>
      <x:c r="G64" s="19" t="str">
        <x:v>U007</x:v>
      </x:c>
      <x:c r="H64" s="19" t="str">
        <x:v>N'aix</x:v>
      </x:c>
      <x:c r="I64" s="19" t="str">
        <x:v>STR</x:v>
      </x:c>
      <x:c r="J64" s="19" t="str">
        <x:v>近战</x:v>
      </x:c>
      <x:c r="K64" s="19" t="n">
        <x:v>100</x:v>
      </x:c>
      <x:c r="L64" s="19" t="n">
        <x:v>4</x:v>
      </x:c>
      <x:c r="M64" s="19" t="n">
        <x:f>COUNTIF('英雄技能总表'!$F$2:$F$357,G64)</x:f>
        <x:v>4</x:v>
      </x:c>
      <x:c r="N64" s="19" t="str">
        <x:f>IF(M64=L64,"完整","检查")</x:f>
        <x:v>完整</x:v>
      </x:c>
      <x:c r="O64" s="18" t="str">
        <x:v>A0JQ,A06Y,A01E,A028</x:v>
      </x:c>
    </x:row>
    <x:row r="65" ht="28" customHeight="1">
      <x:c r="A65" s="19" t="n">
        <x:v>64</x:v>
      </x:c>
      <x:c r="B65" s="19" t="str">
        <x:v>天灾军团</x:v>
      </x:c>
      <x:c r="C65" s="19" t="str">
        <x:v>傍晚酒馆</x:v>
      </x:c>
      <x:c r="D65" s="19" t="str">
        <x:v>Evening Tavern</x:v>
      </x:c>
      <x:c r="E65" s="19" t="str">
        <x:v>冥界亚龙</x:v>
      </x:c>
      <x:c r="F65" s="19" t="str">
        <x:v>Netherdrake</x:v>
      </x:c>
      <x:c r="G65" s="19" t="str">
        <x:v>EC77</x:v>
      </x:c>
      <x:c r="H65" s="19" t="str">
        <x:v>Viper</x:v>
      </x:c>
      <x:c r="I65" s="19" t="str">
        <x:v>AGI</x:v>
      </x:c>
      <x:c r="J65" s="19" t="str">
        <x:v>远程</x:v>
      </x:c>
      <x:c r="K65" s="19" t="n">
        <x:v>575</x:v>
      </x:c>
      <x:c r="L65" s="19" t="n">
        <x:v>4</x:v>
      </x:c>
      <x:c r="M65" s="19" t="n">
        <x:f>COUNTIF('英雄技能总表'!$F$2:$F$357,G65)</x:f>
        <x:v>4</x:v>
      </x:c>
      <x:c r="N65" s="19" t="str">
        <x:f>IF(M65=L65,"完整","检查")</x:f>
        <x:v>完整</x:v>
      </x:c>
      <x:c r="O65" s="18" t="str">
        <x:v>A05D,A080,A09V,A0MM</x:v>
      </x:c>
    </x:row>
    <x:row r="66" ht="28" customHeight="1">
      <x:c r="A66" s="19" t="n">
        <x:v>65</x:v>
      </x:c>
      <x:c r="B66" s="19" t="str">
        <x:v>天灾军团</x:v>
      </x:c>
      <x:c r="C66" s="19" t="str">
        <x:v>傍晚酒馆</x:v>
      </x:c>
      <x:c r="D66" s="19" t="str">
        <x:v>Evening Tavern</x:v>
      </x:c>
      <x:c r="E66" s="19" t="str">
        <x:v>虚空假面</x:v>
      </x:c>
      <x:c r="F66" s="19" t="str">
        <x:v>Faceless Void</x:v>
      </x:c>
      <x:c r="G66" s="19" t="str">
        <x:v>EC45</x:v>
      </x:c>
      <x:c r="H66" s="19" t="str">
        <x:v>Darkterror</x:v>
      </x:c>
      <x:c r="I66" s="19" t="str">
        <x:v>AGI</x:v>
      </x:c>
      <x:c r="J66" s="19" t="str">
        <x:v>近战</x:v>
      </x:c>
      <x:c r="K66" s="19" t="n">
        <x:v>128</x:v>
      </x:c>
      <x:c r="L66" s="19" t="n">
        <x:v>4</x:v>
      </x:c>
      <x:c r="M66" s="19" t="n">
        <x:f>COUNTIF('英雄技能总表'!$F$2:$F$357,G66)</x:f>
        <x:v>4</x:v>
      </x:c>
      <x:c r="N66" s="19" t="str">
        <x:f>IF(M66=L66,"完整","检查")</x:f>
        <x:v>完整</x:v>
      </x:c>
      <x:c r="O66" s="18" t="str">
        <x:v>A081,A0CZ,A0LK,A0J1</x:v>
      </x:c>
    </x:row>
    <x:row r="67" ht="28" customHeight="1">
      <x:c r="A67" s="19" t="n">
        <x:v>66</x:v>
      </x:c>
      <x:c r="B67" s="19" t="str">
        <x:v>天灾军团</x:v>
      </x:c>
      <x:c r="C67" s="19" t="str">
        <x:v>傍晚酒馆</x:v>
      </x:c>
      <x:c r="D67" s="19" t="str">
        <x:v>Evening Tavern</x:v>
      </x:c>
      <x:c r="E67" s="19" t="str">
        <x:v>地穴刺客</x:v>
      </x:c>
      <x:c r="F67" s="19" t="str">
        <x:v>Nerubian Assassin</x:v>
      </x:c>
      <x:c r="G67" s="19" t="str">
        <x:v>U000</x:v>
      </x:c>
      <x:c r="H67" s="19" t="str">
        <x:v>Anub'arak</x:v>
      </x:c>
      <x:c r="I67" s="19" t="str">
        <x:v>AGI</x:v>
      </x:c>
      <x:c r="J67" s="19" t="str">
        <x:v>近战</x:v>
      </x:c>
      <x:c r="K67" s="19" t="n">
        <x:v>128</x:v>
      </x:c>
      <x:c r="L67" s="19" t="n">
        <x:v>4</x:v>
      </x:c>
      <x:c r="M67" s="19" t="n">
        <x:f>COUNTIF('英雄技能总表'!$F$2:$F$357,G67)</x:f>
        <x:v>4</x:v>
      </x:c>
      <x:c r="N67" s="19" t="str">
        <x:f>IF(M67=L67,"完整","检查")</x:f>
        <x:v>完整</x:v>
      </x:c>
      <x:c r="O67" s="18" t="str">
        <x:v>A09K,A09U,A02K,A02L</x:v>
      </x:c>
    </x:row>
    <x:row r="68" ht="28" customHeight="1">
      <x:c r="A68" s="19" t="n">
        <x:v>67</x:v>
      </x:c>
      <x:c r="B68" s="19" t="str">
        <x:v>天灾军团</x:v>
      </x:c>
      <x:c r="C68" s="19" t="str">
        <x:v>傍晚酒馆</x:v>
      </x:c>
      <x:c r="D68" s="19" t="str">
        <x:v>Evening Tavern</x:v>
      </x:c>
      <x:c r="E68" s="19" t="str">
        <x:v>骷髅射手</x:v>
      </x:c>
      <x:c r="F68" s="19" t="str">
        <x:v>Bone Fletcher</x:v>
      </x:c>
      <x:c r="G68" s="19" t="str">
        <x:v>E004</x:v>
      </x:c>
      <x:c r="H68" s="19" t="str">
        <x:v>Clinkz</x:v>
      </x:c>
      <x:c r="I68" s="19" t="str">
        <x:v>AGI</x:v>
      </x:c>
      <x:c r="J68" s="19" t="str">
        <x:v>远程</x:v>
      </x:c>
      <x:c r="K68" s="19" t="n">
        <x:v>600</x:v>
      </x:c>
      <x:c r="L68" s="19" t="n">
        <x:v>4</x:v>
      </x:c>
      <x:c r="M68" s="19" t="n">
        <x:f>COUNTIF('英雄技能总表'!$F$2:$F$357,G68)</x:f>
        <x:v>4</x:v>
      </x:c>
      <x:c r="N68" s="19" t="str">
        <x:f>IF(M68=L68,"完整","检查")</x:f>
        <x:v>完整</x:v>
      </x:c>
      <x:c r="O68" s="18" t="str">
        <x:v>A04Q,A025,A030,AHfa</x:v>
      </x:c>
    </x:row>
    <x:row r="69" ht="28" customHeight="1">
      <x:c r="A69" s="19" t="n">
        <x:v>68</x:v>
      </x:c>
      <x:c r="B69" s="19" t="str">
        <x:v>天灾军团</x:v>
      </x:c>
      <x:c r="C69" s="19" t="str">
        <x:v>傍晚酒馆</x:v>
      </x:c>
      <x:c r="D69" s="19" t="str">
        <x:v>Evening Tavern</x:v>
      </x:c>
      <x:c r="E69" s="19" t="str">
        <x:v>暗夜魔王</x:v>
      </x:c>
      <x:c r="F69" s="19" t="str">
        <x:v>Night Stalker</x:v>
      </x:c>
      <x:c r="G69" s="19" t="str">
        <x:v>Udre</x:v>
      </x:c>
      <x:c r="H69" s="19" t="str">
        <x:v>Balanar</x:v>
      </x:c>
      <x:c r="I69" s="19" t="str">
        <x:v>STR</x:v>
      </x:c>
      <x:c r="J69" s="19" t="str">
        <x:v>近战</x:v>
      </x:c>
      <x:c r="K69" s="19" t="n">
        <x:v>100</x:v>
      </x:c>
      <x:c r="L69" s="19" t="n">
        <x:v>4</x:v>
      </x:c>
      <x:c r="M69" s="19" t="n">
        <x:f>COUNTIF('英雄技能总表'!$F$2:$F$357,G69)</x:f>
        <x:v>4</x:v>
      </x:c>
      <x:c r="N69" s="19" t="str">
        <x:f>IF(M69=L69,"完整","检查")</x:f>
        <x:v>完整</x:v>
      </x:c>
      <x:c r="O69" s="18" t="str">
        <x:v>A086,A08E,A03K,A02H</x:v>
      </x:c>
    </x:row>
    <x:row r="70" ht="28" customHeight="1">
      <x:c r="A70" s="19" t="n">
        <x:v>69</x:v>
      </x:c>
      <x:c r="B70" s="19" t="str">
        <x:v>天灾军团</x:v>
      </x:c>
      <x:c r="C70" s="19" t="str">
        <x:v>傍晚酒馆</x:v>
      </x:c>
      <x:c r="D70" s="19" t="str">
        <x:v>Evening Tavern</x:v>
      </x:c>
      <x:c r="E70" s="19" t="str">
        <x:v>痛苦女王</x:v>
      </x:c>
      <x:c r="F70" s="19" t="str">
        <x:v>Queen of Pain</x:v>
      </x:c>
      <x:c r="G70" s="19" t="str">
        <x:v>UC01</x:v>
      </x:c>
      <x:c r="H70" s="19" t="str">
        <x:v>Akasha</x:v>
      </x:c>
      <x:c r="I70" s="19" t="str">
        <x:v>INT</x:v>
      </x:c>
      <x:c r="J70" s="19" t="str">
        <x:v>远程</x:v>
      </x:c>
      <x:c r="K70" s="19" t="n">
        <x:v>550</x:v>
      </x:c>
      <x:c r="L70" s="19" t="n">
        <x:v>4</x:v>
      </x:c>
      <x:c r="M70" s="19" t="n">
        <x:f>COUNTIF('英雄技能总表'!$F$2:$F$357,G70)</x:f>
        <x:v>4</x:v>
      </x:c>
      <x:c r="N70" s="19" t="str">
        <x:f>IF(M70=L70,"完整","检查")</x:f>
        <x:v>完整</x:v>
      </x:c>
      <x:c r="O70" s="18" t="str">
        <x:v>A0Q7,A0ME,A04A,A00O</x:v>
      </x:c>
    </x:row>
    <x:row r="71" ht="28" customHeight="1">
      <x:c r="A71" s="19" t="n">
        <x:v>70</x:v>
      </x:c>
      <x:c r="B71" s="19" t="str">
        <x:v>天灾军团</x:v>
      </x:c>
      <x:c r="C71" s="19" t="str">
        <x:v>傍晚酒馆</x:v>
      </x:c>
      <x:c r="D71" s="19" t="str">
        <x:v>Evening Tavern</x:v>
      </x:c>
      <x:c r="E71" s="19" t="str">
        <x:v>鱼人守卫</x:v>
      </x:c>
      <x:c r="F71" s="19" t="str">
        <x:v>Slithereen Guard</x:v>
      </x:c>
      <x:c r="G71" s="19" t="str">
        <x:v>UC91</x:v>
      </x:c>
      <x:c r="H71" s="19" t="str">
        <x:v>Slardar</x:v>
      </x:c>
      <x:c r="I71" s="19" t="str">
        <x:v>STR</x:v>
      </x:c>
      <x:c r="J71" s="19" t="str">
        <x:v>近战</x:v>
      </x:c>
      <x:c r="K71" s="19" t="n">
        <x:v>100</x:v>
      </x:c>
      <x:c r="L71" s="19" t="n">
        <x:v>4</x:v>
      </x:c>
      <x:c r="M71" s="19" t="n">
        <x:f>COUNTIF('英雄技能总表'!$F$2:$F$357,G71)</x:f>
        <x:v>4</x:v>
      </x:c>
      <x:c r="N71" s="19" t="str">
        <x:f>IF(M71=L71,"完整","检查")</x:f>
        <x:v>完整</x:v>
      </x:c>
      <x:c r="O71" s="18" t="str">
        <x:v>A05C,A01W,A0JJ,A034</x:v>
      </x:c>
    </x:row>
    <x:row r="72" ht="28" customHeight="1">
      <x:c r="A72" s="19" t="n">
        <x:v>71</x:v>
      </x:c>
      <x:c r="B72" s="19" t="str">
        <x:v>天灾军团</x:v>
      </x:c>
      <x:c r="C72" s="19" t="str">
        <x:v>傍晚酒馆</x:v>
      </x:c>
      <x:c r="D72" s="19" t="str">
        <x:v>Evening Tavern</x:v>
      </x:c>
      <x:c r="E72" s="19" t="str">
        <x:v>末日使者</x:v>
      </x:c>
      <x:c r="F72" s="19" t="str">
        <x:v>Doom Bringer</x:v>
      </x:c>
      <x:c r="G72" s="19" t="str">
        <x:v>UC42</x:v>
      </x:c>
      <x:c r="H72" s="19" t="str">
        <x:v>Lucifer</x:v>
      </x:c>
      <x:c r="I72" s="19" t="str">
        <x:v>STR</x:v>
      </x:c>
      <x:c r="J72" s="19" t="str">
        <x:v>远程</x:v>
      </x:c>
      <x:c r="K72" s="19" t="n">
        <x:v>150</x:v>
      </x:c>
      <x:c r="L72" s="19" t="n">
        <x:v>4</x:v>
      </x:c>
      <x:c r="M72" s="19" t="n">
        <x:f>COUNTIF('英雄技能总表'!$F$2:$F$357,G72)</x:f>
        <x:v>4</x:v>
      </x:c>
      <x:c r="N72" s="19" t="str">
        <x:f>IF(M72=L72,"完整","检查")</x:f>
        <x:v>完整</x:v>
      </x:c>
      <x:c r="O72" s="18" t="str">
        <x:v>A094,A05Y,A0FE,A0MU</x:v>
      </x:c>
    </x:row>
    <x:row r="73" ht="28" customHeight="1">
      <x:c r="A73" s="19" t="n">
        <x:v>72</x:v>
      </x:c>
      <x:c r="B73" s="19" t="str">
        <x:v>天灾军团</x:v>
      </x:c>
      <x:c r="C73" s="19" t="str">
        <x:v>傍晚酒馆</x:v>
      </x:c>
      <x:c r="D73" s="19" t="str">
        <x:v>Evening Tavern</x:v>
      </x:c>
      <x:c r="E73" s="19" t="str">
        <x:v>骷髅王</x:v>
      </x:c>
      <x:c r="F73" s="19" t="str">
        <x:v>Skeleton King</x:v>
      </x:c>
      <x:c r="G73" s="19" t="str">
        <x:v>NC00</x:v>
      </x:c>
      <x:c r="H73" s="19" t="str">
        <x:v>King Leoric</x:v>
      </x:c>
      <x:c r="I73" s="19" t="str">
        <x:v>STR</x:v>
      </x:c>
      <x:c r="J73" s="19" t="str">
        <x:v>近战</x:v>
      </x:c>
      <x:c r="K73" s="19" t="n">
        <x:v>128</x:v>
      </x:c>
      <x:c r="L73" s="19" t="n">
        <x:v>4</x:v>
      </x:c>
      <x:c r="M73" s="19" t="n">
        <x:f>COUNTIF('英雄技能总表'!$F$2:$F$357,G73)</x:f>
        <x:v>4</x:v>
      </x:c>
      <x:c r="N73" s="19" t="str">
        <x:f>IF(M73=L73,"完整","检查")</x:f>
        <x:v>完整</x:v>
      </x:c>
      <x:c r="O73" s="18" t="str">
        <x:v>AHtb,AOcr,AUav,A01Y</x:v>
      </x:c>
    </x:row>
    <x:row r="74" ht="28" customHeight="1">
      <x:c r="A74" s="19" t="n">
        <x:v>73</x:v>
      </x:c>
      <x:c r="B74" s="19" t="str">
        <x:v>近卫军团</x:v>
      </x:c>
      <x:c r="C74" s="19" t="str">
        <x:v>黎明酒馆</x:v>
      </x:c>
      <x:c r="D74" s="19" t="str">
        <x:v>Dawn Tavern</x:v>
      </x:c>
      <x:c r="E74" s="19" t="str">
        <x:v>仙女龙</x:v>
      </x:c>
      <x:c r="F74" s="19" t="str">
        <x:v>Faerie Dragon</x:v>
      </x:c>
      <x:c r="G74" s="19" t="str">
        <x:v>N00B</x:v>
      </x:c>
      <x:c r="H74" s="19" t="str">
        <x:v>Puck</x:v>
      </x:c>
      <x:c r="I74" s="19" t="str">
        <x:v>INT</x:v>
      </x:c>
      <x:c r="J74" s="19" t="str">
        <x:v>远程</x:v>
      </x:c>
      <x:c r="K74" s="19" t="n">
        <x:v>600</x:v>
      </x:c>
      <x:c r="L74" s="19" t="n">
        <x:v>4</x:v>
      </x:c>
      <x:c r="M74" s="19" t="n">
        <x:f>COUNTIF('英雄技能总表'!$F$2:$F$357,G74)</x:f>
        <x:v>4</x:v>
      </x:c>
      <x:c r="N74" s="19" t="str">
        <x:f>IF(M74=L74,"完整","检查")</x:f>
        <x:v>完整</x:v>
      </x:c>
      <x:c r="O74" s="18" t="str">
        <x:v>A0S8,A0SC,A0SB,A0S9</x:v>
      </x:c>
    </x:row>
    <x:row r="75" ht="28" customHeight="1">
      <x:c r="A75" s="19" t="n">
        <x:v>74</x:v>
      </x:c>
      <x:c r="B75" s="19" t="str">
        <x:v>近卫军团</x:v>
      </x:c>
      <x:c r="C75" s="19" t="str">
        <x:v>黎明酒馆</x:v>
      </x:c>
      <x:c r="D75" s="19" t="str">
        <x:v>Dawn Tavern</x:v>
      </x:c>
      <x:c r="E75" s="19" t="str">
        <x:v>圣堂刺客</x:v>
      </x:c>
      <x:c r="F75" s="19" t="str">
        <x:v>Templar Assassin</x:v>
      </x:c>
      <x:c r="G75" s="19" t="str">
        <x:v>E01Y</x:v>
      </x:c>
      <x:c r="H75" s="19" t="str">
        <x:v>Lanaya</x:v>
      </x:c>
      <x:c r="I75" s="19" t="str">
        <x:v>AGI</x:v>
      </x:c>
      <x:c r="J75" s="19" t="str">
        <x:v>远程</x:v>
      </x:c>
      <x:c r="K75" s="19" t="n">
        <x:v>140</x:v>
      </x:c>
      <x:c r="L75" s="19" t="n">
        <x:v>4</x:v>
      </x:c>
      <x:c r="M75" s="19" t="n">
        <x:f>COUNTIF('英雄技能总表'!$F$2:$F$357,G75)</x:f>
        <x:v>4</x:v>
      </x:c>
      <x:c r="N75" s="19" t="str">
        <x:f>IF(M75=L75,"完整","检查")</x:f>
        <x:v>完整</x:v>
      </x:c>
      <x:c r="O75" s="18" t="str">
        <x:v>A0RP,A0RO,A0RE,A0RV</x:v>
      </x:c>
    </x:row>
    <x:row r="76" ht="28" customHeight="1">
      <x:c r="A76" s="19" t="n">
        <x:v>75</x:v>
      </x:c>
      <x:c r="B76" s="19" t="str">
        <x:v>近卫军团</x:v>
      </x:c>
      <x:c r="C76" s="19" t="str">
        <x:v>黎明酒馆</x:v>
      </x:c>
      <x:c r="D76" s="19" t="str">
        <x:v>Dawn Tavern</x:v>
      </x:c>
      <x:c r="E76" s="19" t="str">
        <x:v>神灵武士</x:v>
      </x:c>
      <x:c r="F76" s="19" t="str">
        <x:v>Sacred Warrior</x:v>
      </x:c>
      <x:c r="G76" s="19" t="str">
        <x:v>H00Q</x:v>
      </x:c>
      <x:c r="H76" s="19" t="str">
        <x:v>Huskar</x:v>
      </x:c>
      <x:c r="I76" s="19" t="str">
        <x:v>STR</x:v>
      </x:c>
      <x:c r="J76" s="19" t="str">
        <x:v>远程</x:v>
      </x:c>
      <x:c r="K76" s="19" t="n">
        <x:v>350</x:v>
      </x:c>
      <x:c r="L76" s="19" t="n">
        <x:v>4</x:v>
      </x:c>
      <x:c r="M76" s="19" t="n">
        <x:f>COUNTIF('英雄技能总表'!$F$2:$F$357,G76)</x:f>
        <x:v>4</x:v>
      </x:c>
      <x:c r="N76" s="19" t="str">
        <x:f>IF(M76=L76,"完整","检查")</x:f>
        <x:v>完整</x:v>
      </x:c>
      <x:c r="O76" s="18" t="str">
        <x:v>A0QR,A0QQ,A0QN,A0QP</x:v>
      </x:c>
    </x:row>
    <x:row r="77" ht="28" customHeight="1">
      <x:c r="A77" s="19" t="n">
        <x:v>76</x:v>
      </x:c>
      <x:c r="B77" s="19" t="str">
        <x:v>近卫军团</x:v>
      </x:c>
      <x:c r="C77" s="19" t="str">
        <x:v>黎明酒馆</x:v>
      </x:c>
      <x:c r="D77" s="19" t="str">
        <x:v>Dawn Tavern</x:v>
      </x:c>
      <x:c r="E77" s="19" t="str">
        <x:v>风暴之灵</x:v>
      </x:c>
      <x:c r="F77" s="19" t="str">
        <x:v>Storm Spirit</x:v>
      </x:c>
      <x:c r="G77" s="19" t="str">
        <x:v>H00S</x:v>
      </x:c>
      <x:c r="H77" s="19" t="str">
        <x:v>Raijin Thunderkeg</x:v>
      </x:c>
      <x:c r="I77" s="19" t="str">
        <x:v>INT</x:v>
      </x:c>
      <x:c r="J77" s="19" t="str">
        <x:v>远程</x:v>
      </x:c>
      <x:c r="K77" s="19" t="n">
        <x:v>600</x:v>
      </x:c>
      <x:c r="L77" s="19" t="n">
        <x:v>4</x:v>
      </x:c>
      <x:c r="M77" s="19" t="n">
        <x:f>COUNTIF('英雄技能总表'!$F$2:$F$357,G77)</x:f>
        <x:v>4</x:v>
      </x:c>
      <x:c r="N77" s="19" t="str">
        <x:f>IF(M77=L77,"完整","检查")</x:f>
        <x:v>完整</x:v>
      </x:c>
      <x:c r="O77" s="18" t="str">
        <x:v>A0R6,A0R1,A0QY,A0QW</x:v>
      </x:c>
    </x:row>
    <x:row r="78" ht="28" customHeight="1">
      <x:c r="A78" s="19" t="n">
        <x:v>77</x:v>
      </x:c>
      <x:c r="B78" s="19" t="str">
        <x:v>近卫军团</x:v>
      </x:c>
      <x:c r="C78" s="19" t="str">
        <x:v>黎明酒馆</x:v>
      </x:c>
      <x:c r="D78" s="19" t="str">
        <x:v>Dawn Tavern</x:v>
      </x:c>
      <x:c r="E78" s="19" t="str">
        <x:v>月之女祭司</x:v>
      </x:c>
      <x:c r="F78" s="19" t="str">
        <x:v>Priestess of the Moon</x:v>
      </x:c>
      <x:c r="G78" s="19" t="str">
        <x:v>N01V</x:v>
      </x:c>
      <x:c r="H78" s="19" t="str">
        <x:v>Mirana Nightshade</x:v>
      </x:c>
      <x:c r="I78" s="19" t="str">
        <x:v>AGI</x:v>
      </x:c>
      <x:c r="J78" s="19" t="str">
        <x:v>远程</x:v>
      </x:c>
      <x:c r="K78" s="19" t="n">
        <x:v>600</x:v>
      </x:c>
      <x:c r="L78" s="19" t="n">
        <x:v>4</x:v>
      </x:c>
      <x:c r="M78" s="19" t="n">
        <x:f>COUNTIF('英雄技能总表'!$F$2:$F$357,G78)</x:f>
        <x:v>4</x:v>
      </x:c>
      <x:c r="N78" s="19" t="str">
        <x:f>IF(M78=L78,"完整","检查")</x:f>
        <x:v>完整</x:v>
      </x:c>
      <x:c r="O78" s="18" t="str">
        <x:v>A0L8,A0LN,A0KV,A0KU</x:v>
      </x:c>
    </x:row>
    <x:row r="79" ht="28" customHeight="1">
      <x:c r="A79" s="19" t="n">
        <x:v>78</x:v>
      </x:c>
      <x:c r="B79" s="19" t="str">
        <x:v>近卫军团</x:v>
      </x:c>
      <x:c r="C79" s="19" t="str">
        <x:v>黎明酒馆</x:v>
      </x:c>
      <x:c r="D79" s="19" t="str">
        <x:v>Dawn Tavern</x:v>
      </x:c>
      <x:c r="E79" s="19" t="str">
        <x:v>炼金术士</x:v>
      </x:c>
      <x:c r="F79" s="19" t="str">
        <x:v>Alchemist</x:v>
      </x:c>
      <x:c r="G79" s="19" t="str">
        <x:v>N01I</x:v>
      </x:c>
      <x:c r="H79" s="19" t="str">
        <x:v>Razzil Darkbrew</x:v>
      </x:c>
      <x:c r="I79" s="19" t="str">
        <x:v>STR</x:v>
      </x:c>
      <x:c r="J79" s="19" t="str">
        <x:v>近战</x:v>
      </x:c>
      <x:c r="K79" s="19" t="n">
        <x:v>128</x:v>
      </x:c>
      <x:c r="L79" s="19" t="n">
        <x:v>4</x:v>
      </x:c>
      <x:c r="M79" s="19" t="n">
        <x:f>COUNTIF('英雄技能总表'!$F$2:$F$357,G79)</x:f>
        <x:v>4</x:v>
      </x:c>
      <x:c r="N79" s="19" t="str">
        <x:f>IF(M79=L79,"完整","检查")</x:f>
        <x:v>完整</x:v>
      </x:c>
      <x:c r="O79" s="18" t="str">
        <x:v>A0J6,A0IL,A0O3,ANcr</x:v>
      </x:c>
    </x:row>
    <x:row r="80" ht="28" customHeight="1">
      <x:c r="A80" s="19" t="n">
        <x:v>79</x:v>
      </x:c>
      <x:c r="B80" s="19" t="str">
        <x:v>近卫军团</x:v>
      </x:c>
      <x:c r="C80" s="19" t="str">
        <x:v>黎明酒馆</x:v>
      </x:c>
      <x:c r="D80" s="19" t="str">
        <x:v>Dawn Tavern</x:v>
      </x:c>
      <x:c r="E80" s="19" t="str">
        <x:v>双头龙</x:v>
      </x:c>
      <x:c r="F80" s="19" t="str">
        <x:v>Twin Head Dragon</x:v>
      </x:c>
      <x:c r="G80" s="19" t="str">
        <x:v>E00P</x:v>
      </x:c>
      <x:c r="H80" s="19" t="str">
        <x:v>Jakiro</x:v>
      </x:c>
      <x:c r="I80" s="19" t="str">
        <x:v>INT</x:v>
      </x:c>
      <x:c r="J80" s="19" t="str">
        <x:v>远程</x:v>
      </x:c>
      <x:c r="K80" s="19" t="n">
        <x:v>400</x:v>
      </x:c>
      <x:c r="L80" s="19" t="n">
        <x:v>4</x:v>
      </x:c>
      <x:c r="M80" s="19" t="n">
        <x:f>COUNTIF('英雄技能总表'!$F$2:$F$357,G80)</x:f>
        <x:v>4</x:v>
      </x:c>
      <x:c r="N80" s="19" t="str">
        <x:f>IF(M80=L80,"完整","检查")</x:f>
        <x:v>完整</x:v>
      </x:c>
      <x:c r="O80" s="18" t="str">
        <x:v>A0O7,A0O6,A0O8,A0O5</x:v>
      </x:c>
    </x:row>
    <x:row r="81" ht="28" customHeight="1">
      <x:c r="A81" s="19" t="n">
        <x:v>80</x:v>
      </x:c>
      <x:c r="B81" s="19" t="str">
        <x:v>近卫军团</x:v>
      </x:c>
      <x:c r="C81" s="19" t="str">
        <x:v>黎明酒馆</x:v>
      </x:c>
      <x:c r="D81" s="19" t="str">
        <x:v>Dawn Tavern</x:v>
      </x:c>
      <x:c r="E81" s="19" t="str">
        <x:v>兽王</x:v>
      </x:c>
      <x:c r="F81" s="19" t="str">
        <x:v>Beastmaster</x:v>
      </x:c>
      <x:c r="G81" s="19" t="str">
        <x:v>H00D</x:v>
      </x:c>
      <x:c r="H81" s="19" t="str">
        <x:v>Rexxar</x:v>
      </x:c>
      <x:c r="I81" s="19" t="str">
        <x:v>STR</x:v>
      </x:c>
      <x:c r="J81" s="19" t="str">
        <x:v>近战</x:v>
      </x:c>
      <x:c r="K81" s="19" t="n">
        <x:v>100</x:v>
      </x:c>
      <x:c r="L81" s="19" t="n">
        <x:v>4</x:v>
      </x:c>
      <x:c r="M81" s="19" t="n">
        <x:f>COUNTIF('英雄技能总表'!$F$2:$F$357,G81)</x:f>
        <x:v>4</x:v>
      </x:c>
      <x:c r="N81" s="19" t="str">
        <x:f>IF(M81=L81,"完整","检查")</x:f>
        <x:v>完整</x:v>
      </x:c>
      <x:c r="O81" s="18" t="str">
        <x:v>A0OO,A0O1,A0O0,A0O2</x:v>
      </x:c>
    </x:row>
    <x:row r="82" ht="28" customHeight="1">
      <x:c r="A82" s="19" t="n">
        <x:v>81</x:v>
      </x:c>
      <x:c r="B82" s="19" t="str">
        <x:v>天灾军团</x:v>
      </x:c>
      <x:c r="C82" s="19" t="str">
        <x:v>黄昏酒馆</x:v>
      </x:c>
      <x:c r="D82" s="19" t="str">
        <x:v>Dusk Tavern</x:v>
      </x:c>
      <x:c r="E82" s="19" t="str">
        <x:v>地卜师</x:v>
      </x:c>
      <x:c r="F82" s="19" t="str">
        <x:v>Geomancer</x:v>
      </x:c>
      <x:c r="G82" s="19" t="str">
        <x:v>H00I</x:v>
      </x:c>
      <x:c r="H82" s="19" t="str">
        <x:v>Meepo</x:v>
      </x:c>
      <x:c r="I82" s="19" t="str">
        <x:v>AGI</x:v>
      </x:c>
      <x:c r="J82" s="19" t="str">
        <x:v>近战</x:v>
      </x:c>
      <x:c r="K82" s="19" t="n">
        <x:v>100</x:v>
      </x:c>
      <x:c r="L82" s="19" t="n">
        <x:v>4</x:v>
      </x:c>
      <x:c r="M82" s="19" t="n">
        <x:f>COUNTIF('英雄技能总表'!$F$2:$F$357,G82)</x:f>
        <x:v>4</x:v>
      </x:c>
      <x:c r="N82" s="19" t="str">
        <x:f>IF(M82=L82,"完整","检查")</x:f>
        <x:v>完整</x:v>
      </x:c>
      <x:c r="O82" s="18" t="str">
        <x:v>A0N8,A0NB,A0N7,A0MW</x:v>
      </x:c>
    </x:row>
    <x:row r="83" ht="28" customHeight="1">
      <x:c r="A83" s="19" t="n">
        <x:v>82</x:v>
      </x:c>
      <x:c r="B83" s="19" t="str">
        <x:v>天灾军团</x:v>
      </x:c>
      <x:c r="C83" s="19" t="str">
        <x:v>黄昏酒馆</x:v>
      </x:c>
      <x:c r="D83" s="19" t="str">
        <x:v>Dusk Tavern</x:v>
      </x:c>
      <x:c r="E83" s="19" t="str">
        <x:v>不朽尸王</x:v>
      </x:c>
      <x:c r="F83" s="19" t="str">
        <x:v>Undying</x:v>
      </x:c>
      <x:c r="G83" s="19" t="str">
        <x:v>H00R</x:v>
      </x:c>
      <x:c r="H83" s="19" t="str">
        <x:v>Dirge</x:v>
      </x:c>
      <x:c r="I83" s="19" t="str">
        <x:v>INT</x:v>
      </x:c>
      <x:c r="J83" s="19" t="str">
        <x:v>近战</x:v>
      </x:c>
      <x:c r="K83" s="19" t="n">
        <x:v>100</x:v>
      </x:c>
      <x:c r="L83" s="19" t="n">
        <x:v>4</x:v>
      </x:c>
      <x:c r="M83" s="19" t="n">
        <x:f>COUNTIF('英雄技能总表'!$F$2:$F$357,G83)</x:f>
        <x:v>4</x:v>
      </x:c>
      <x:c r="N83" s="19" t="str">
        <x:f>IF(M83=L83,"完整","检查")</x:f>
        <x:v>完整</x:v>
      </x:c>
      <x:c r="O83" s="18" t="str">
        <x:v>A0R3,A0R5,A0QV,A01N</x:v>
      </x:c>
    </x:row>
    <x:row r="84" ht="28" customHeight="1">
      <x:c r="A84" s="19" t="n">
        <x:v>83</x:v>
      </x:c>
      <x:c r="B84" s="19" t="str">
        <x:v>天灾军团</x:v>
      </x:c>
      <x:c r="C84" s="19" t="str">
        <x:v>黄昏酒馆</x:v>
      </x:c>
      <x:c r="D84" s="19" t="str">
        <x:v>Dusk Tavern</x:v>
      </x:c>
      <x:c r="E84" s="19" t="str">
        <x:v>深渊领主</x:v>
      </x:c>
      <x:c r="F84" s="19" t="str">
        <x:v>Pit Lord</x:v>
      </x:c>
      <x:c r="G84" s="19" t="str">
        <x:v>N00R</x:v>
      </x:c>
      <x:c r="H84" s="19" t="str">
        <x:v>Azgalor</x:v>
      </x:c>
      <x:c r="I84" s="19" t="str">
        <x:v>STR</x:v>
      </x:c>
      <x:c r="J84" s="19" t="str">
        <x:v>近战</x:v>
      </x:c>
      <x:c r="K84" s="19" t="n">
        <x:v>100</x:v>
      </x:c>
      <x:c r="L84" s="19" t="n">
        <x:v>4</x:v>
      </x:c>
      <x:c r="M84" s="19" t="n">
        <x:f>COUNTIF('英雄技能总表'!$F$2:$F$357,G84)</x:f>
        <x:v>4</x:v>
      </x:c>
      <x:c r="N84" s="19" t="str">
        <x:f>IF(M84=L84,"完整","检查")</x:f>
        <x:v>完整</x:v>
      </x:c>
      <x:c r="O84" s="18" t="str">
        <x:v>A0QT,A0RA,A01I,A0R0</x:v>
      </x:c>
    </x:row>
    <x:row r="85" ht="28" customHeight="1">
      <x:c r="A85" s="19" t="n">
        <x:v>84</x:v>
      </x:c>
      <x:c r="B85" s="19" t="str">
        <x:v>天灾军团</x:v>
      </x:c>
      <x:c r="C85" s="19" t="str">
        <x:v>黄昏酒馆</x:v>
      </x:c>
      <x:c r="D85" s="19" t="str">
        <x:v>Dusk Tavern</x:v>
      </x:c>
      <x:c r="E85" s="19" t="str">
        <x:v>黑暗贤者</x:v>
      </x:c>
      <x:c r="F85" s="19" t="str">
        <x:v>Dark Seer</x:v>
      </x:c>
      <x:c r="G85" s="19" t="str">
        <x:v>H00N</x:v>
      </x:c>
      <x:c r="H85" s="19" t="str">
        <x:v>Ish'kafel</x:v>
      </x:c>
      <x:c r="I85" s="19" t="str">
        <x:v>INT</x:v>
      </x:c>
      <x:c r="J85" s="19" t="str">
        <x:v>近战</x:v>
      </x:c>
      <x:c r="K85" s="19" t="n">
        <x:v>125</x:v>
      </x:c>
      <x:c r="L85" s="19" t="n">
        <x:v>4</x:v>
      </x:c>
      <x:c r="M85" s="19" t="n">
        <x:f>COUNTIF('英雄技能总表'!$F$2:$F$357,G85)</x:f>
        <x:v>4</x:v>
      </x:c>
      <x:c r="N85" s="19" t="str">
        <x:f>IF(M85=L85,"完整","检查")</x:f>
        <x:v>完整</x:v>
      </x:c>
      <x:c r="O85" s="18" t="str">
        <x:v>A0QK,A0R7,A0QG,A0QE</x:v>
      </x:c>
    </x:row>
    <x:row r="86" ht="28" customHeight="1">
      <x:c r="A86" s="19" t="n">
        <x:v>85</x:v>
      </x:c>
      <x:c r="B86" s="19" t="str">
        <x:v>天灾军团</x:v>
      </x:c>
      <x:c r="C86" s="19" t="str">
        <x:v>黄昏酒馆</x:v>
      </x:c>
      <x:c r="D86" s="19" t="str">
        <x:v>Dusk Tavern</x:v>
      </x:c>
      <x:c r="E86" s="19" t="str">
        <x:v>暗影牧师</x:v>
      </x:c>
      <x:c r="F86" s="19" t="str">
        <x:v>Shadow Priest</x:v>
      </x:c>
      <x:c r="G86" s="19" t="str">
        <x:v>N01W</x:v>
      </x:c>
      <x:c r="H86" s="19" t="str">
        <x:v>Dazzle</x:v>
      </x:c>
      <x:c r="I86" s="19" t="str">
        <x:v>INT</x:v>
      </x:c>
      <x:c r="J86" s="19" t="str">
        <x:v>远程</x:v>
      </x:c>
      <x:c r="K86" s="19" t="n">
        <x:v>500</x:v>
      </x:c>
      <x:c r="L86" s="19" t="n">
        <x:v>4</x:v>
      </x:c>
      <x:c r="M86" s="19" t="n">
        <x:f>COUNTIF('英雄技能总表'!$F$2:$F$357,G86)</x:f>
        <x:v>4</x:v>
      </x:c>
      <x:c r="N86" s="19" t="str">
        <x:f>IF(M86=L86,"完整","检查")</x:f>
        <x:v>完整</x:v>
      </x:c>
      <x:c r="O86" s="18" t="str">
        <x:v>A0OS,A0OR,A0NV,A0NQ</x:v>
      </x:c>
    </x:row>
    <x:row r="87" ht="28" customHeight="1">
      <x:c r="A87" s="19" t="n">
        <x:v>86</x:v>
      </x:c>
      <x:c r="B87" s="19" t="str">
        <x:v>天灾军团</x:v>
      </x:c>
      <x:c r="C87" s="19" t="str">
        <x:v>黄昏酒馆</x:v>
      </x:c>
      <x:c r="D87" s="19" t="str">
        <x:v>Dusk Tavern</x:v>
      </x:c>
      <x:c r="E87" s="19" t="str">
        <x:v>术士</x:v>
      </x:c>
      <x:c r="F87" s="19" t="str">
        <x:v>Warlock</x:v>
      </x:c>
      <x:c r="G87" s="19" t="str">
        <x:v>E01C</x:v>
      </x:c>
      <x:c r="H87" s="19" t="str">
        <x:v>Demnok Lannik</x:v>
      </x:c>
      <x:c r="I87" s="19" t="str">
        <x:v>INT</x:v>
      </x:c>
      <x:c r="J87" s="19" t="str">
        <x:v>远程</x:v>
      </x:c>
      <x:c r="K87" s="19" t="n">
        <x:v>600</x:v>
      </x:c>
      <x:c r="L87" s="19" t="n">
        <x:v>4</x:v>
      </x:c>
      <x:c r="M87" s="19" t="n">
        <x:f>COUNTIF('英雄技能总表'!$F$2:$F$357,G87)</x:f>
        <x:v>4</x:v>
      </x:c>
      <x:c r="N87" s="19" t="str">
        <x:f>IF(M87=L87,"完整","检查")</x:f>
        <x:v>完整</x:v>
      </x:c>
      <x:c r="O87" s="18" t="str">
        <x:v>A0J5,A0AS,A06P,S008</x:v>
      </x:c>
    </x:row>
    <x:row r="88" ht="28" customHeight="1">
      <x:c r="A88" s="19" t="n">
        <x:v>87</x:v>
      </x:c>
      <x:c r="B88" s="19" t="str">
        <x:v>天灾军团</x:v>
      </x:c>
      <x:c r="C88" s="19" t="str">
        <x:v>黄昏酒馆</x:v>
      </x:c>
      <x:c r="D88" s="19" t="str">
        <x:v>Dusk Tavern</x:v>
      </x:c>
      <x:c r="E88" s="19" t="str">
        <x:v>黑曜毁灭者</x:v>
      </x:c>
      <x:c r="F88" s="19" t="str">
        <x:v>Obsidian Destroyer</x:v>
      </x:c>
      <x:c r="G88" s="19" t="str">
        <x:v>U00P</x:v>
      </x:c>
      <x:c r="H88" s="19" t="str">
        <x:v>Harbinger</x:v>
      </x:c>
      <x:c r="I88" s="19" t="str">
        <x:v>INT</x:v>
      </x:c>
      <x:c r="J88" s="19" t="str">
        <x:v>远程</x:v>
      </x:c>
      <x:c r="K88" s="19" t="n">
        <x:v>450</x:v>
      </x:c>
      <x:c r="L88" s="19" t="n">
        <x:v>4</x:v>
      </x:c>
      <x:c r="M88" s="19" t="n">
        <x:f>COUNTIF('英雄技能总表'!$F$2:$F$357,G88)</x:f>
        <x:v>4</x:v>
      </x:c>
      <x:c r="N88" s="19" t="str">
        <x:f>IF(M88=L88,"完整","检查")</x:f>
        <x:v>完整</x:v>
      </x:c>
      <x:c r="O88" s="18" t="str">
        <x:v>A0OK,A0OJ,A0OI,A0OG</x:v>
      </x:c>
    </x:row>
    <x:row r="89" ht="28" customHeight="1">
      <x:c r="A89" s="19" t="n">
        <x:v>88</x:v>
      </x:c>
      <x:c r="B89" s="19" t="str">
        <x:v>天灾军团</x:v>
      </x:c>
      <x:c r="C89" s="19" t="str">
        <x:v>黄昏酒馆</x:v>
      </x:c>
      <x:c r="D89" s="19" t="str">
        <x:v>Dusk Tavern</x:v>
      </x:c>
      <x:c r="E89" s="19" t="str">
        <x:v>巫医</x:v>
      </x:c>
      <x:c r="F89" s="19" t="str">
        <x:v>Witch Doctor</x:v>
      </x:c>
      <x:c r="G89" s="19" t="str">
        <x:v>E01A</x:v>
      </x:c>
      <x:c r="H89" s="19" t="str">
        <x:v>Vol'Jin</x:v>
      </x:c>
      <x:c r="I89" s="19" t="str">
        <x:v>INT</x:v>
      </x:c>
      <x:c r="J89" s="19" t="str">
        <x:v>远程</x:v>
      </x:c>
      <x:c r="K89" s="19" t="n">
        <x:v>600</x:v>
      </x:c>
      <x:c r="L89" s="19" t="n">
        <x:v>4</x:v>
      </x:c>
      <x:c r="M89" s="19" t="n">
        <x:f>COUNTIF('英雄技能总表'!$F$2:$F$357,G89)</x:f>
        <x:v>4</x:v>
      </x:c>
      <x:c r="N89" s="19" t="str">
        <x:f>IF(M89=L89,"完整","检查")</x:f>
        <x:v>完整</x:v>
      </x:c>
      <x:c r="O89" s="18" t="str">
        <x:v>A0NO,A0NM,A0NT,A0NE</x:v>
      </x:c>
    </x:row>
    <x:row r="90" ht="28" customHeight="1">
      <x:c r="A90" s="19" t="n">
        <x:v>89</x:v>
      </x:c>
      <x:c r="B90" s="19" t="str">
        <x:v>天灾军团</x:v>
      </x:c>
      <x:c r="C90" s="19" t="str">
        <x:v>黄昏酒馆</x:v>
      </x:c>
      <x:c r="D90" s="19" t="str">
        <x:v>Dusk Tavern</x:v>
      </x:c>
      <x:c r="E90" s="19" t="str">
        <x:v>幽鬼</x:v>
      </x:c>
      <x:c r="F90" s="19" t="str">
        <x:v>Spectre</x:v>
      </x:c>
      <x:c r="G90" s="19" t="str">
        <x:v>E01B</x:v>
      </x:c>
      <x:c r="H90" s="19" t="str">
        <x:v>Mercurial</x:v>
      </x:c>
      <x:c r="I90" s="19" t="str">
        <x:v>AGI</x:v>
      </x:c>
      <x:c r="J90" s="19" t="str">
        <x:v>近战</x:v>
      </x:c>
      <x:c r="K90" s="19" t="n">
        <x:v>100</x:v>
      </x:c>
      <x:c r="L90" s="19" t="n">
        <x:v>4</x:v>
      </x:c>
      <x:c r="M90" s="19" t="n">
        <x:f>COUNTIF('英雄技能总表'!$F$2:$F$357,G90)</x:f>
        <x:v>4</x:v>
      </x:c>
      <x:c r="N90" s="19" t="str">
        <x:f>IF(M90=L90,"完整","检查")</x:f>
        <x:v>完整</x:v>
      </x:c>
      <x:c r="O90" s="18" t="str">
        <x:v>A0FX,A0NA,A0HW,A0H9</x:v>
      </x:c>
    </x:row>
  </x:sheetData>
  <x:conditionalFormatting sqref="N2:N90">
    <x:cfRule type="containsText" dxfId="7" priority="1" operator="containsText" text="完整"/>
    <x:cfRule type="containsText" dxfId="8" priority="2" operator="containsText" text="检查"/>
  </x:conditionalFormatting>
  <x:pageMargins left="0.7" right="0.7" top="0.75" bottom="0.75" header="0.3" footer="0.3"/>
  <x:tableParts count="1">
    <x:tablePart xmlns:r="http://schemas.openxmlformats.org/officeDocument/2006/relationships" r:id="R0adb720134a747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24" hidden="0" customWidth="1"/>
    <x:col min="5" max="5" width="11" hidden="0" customWidth="1"/>
    <x:col min="6" max="6" width="11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2" hidden="0" customWidth="1"/>
    <x:col min="17" max="17" width="22" hidden="0" customWidth="1"/>
    <x:col min="18" max="18" width="22" hidden="0" customWidth="1"/>
    <x:col min="19" max="19" width="38" hidden="0" customWidth="1"/>
    <x:col min="20" max="20" width="48" hidden="0" customWidth="1"/>
  </x:cols>
  <x:sheetData>
    <x:row r="1" ht="34" customHeight="1">
      <x:c r="A1" s="39" t="str">
        <x:v>编号</x:v>
      </x:c>
      <x:c r="B1" s="39" t="str">
        <x:v>英雄中文</x:v>
      </x:c>
      <x:c r="C1" s="39" t="str">
        <x:v>Hero_EN</x:v>
      </x:c>
      <x:c r="D1" s="39" t="str">
        <x:v>Skill_EN</x:v>
      </x:c>
      <x:c r="E1" s="39" t="str">
        <x:v>Ability_ID</x:v>
      </x:c>
      <x:c r="F1" s="39" t="str">
        <x:v>Base_Code</x:v>
      </x:c>
      <x:c r="G1" s="39" t="str">
        <x:v>DataA/级</x:v>
      </x:c>
      <x:c r="H1" s="39" t="str">
        <x:v>DataB/级</x:v>
      </x:c>
      <x:c r="I1" s="39" t="str">
        <x:v>DataC/级</x:v>
      </x:c>
      <x:c r="J1" s="39" t="str">
        <x:v>DataD/级</x:v>
      </x:c>
      <x:c r="K1" s="39" t="str">
        <x:v>DataE/级</x:v>
      </x:c>
      <x:c r="L1" s="39" t="str">
        <x:v>DataF/级</x:v>
      </x:c>
      <x:c r="M1" s="39" t="str">
        <x:v>DataG/级</x:v>
      </x:c>
      <x:c r="N1" s="39" t="str">
        <x:v>DataH/级</x:v>
      </x:c>
      <x:c r="O1" s="39" t="str">
        <x:v>DataI/级</x:v>
      </x:c>
      <x:c r="P1" s="39" t="str">
        <x:v>UnitID/级</x:v>
      </x:c>
      <x:c r="Q1" s="39" t="str">
        <x:v>BuffID/级</x:v>
      </x:c>
      <x:c r="R1" s="39" t="str">
        <x:v>EfctID/级</x:v>
      </x:c>
      <x:c r="S1" s="39" t="str">
        <x:v>原说明数字索引</x:v>
      </x:c>
      <x:c r="T1" s="39" t="str">
        <x:v>说明</x:v>
      </x:c>
    </x:row>
    <x:row r="2" ht="34" customHeight="1">
      <x:c r="A2" s="18" t="str">
        <x:v>H008-1</x:v>
      </x:c>
      <x:c r="B2" s="18" t="str">
        <x:v>刚背兽</x:v>
      </x:c>
      <x:c r="C2" s="18" t="str">
        <x:v>Bristleback</x:v>
      </x:c>
      <x:c r="D2" s="18" t="str">
        <x:v>Quill Spray</x:v>
      </x:c>
      <x:c r="E2" s="18" t="str">
        <x:v>A0GP</x:v>
      </x:c>
      <x:c r="F2" s="18" t="str">
        <x:v>AEfk</x:v>
      </x:c>
      <x:c r="G2" s="48" t="str">
        <x:v>—/—/—/—</x:v>
      </x:c>
      <x:c r="H2" s="48" t="str">
        <x:v>—/—/—/—</x:v>
      </x:c>
      <x:c r="I2" s="48" t="str">
        <x:v>—/—/—/—</x:v>
      </x:c>
      <x:c r="J2" s="48" t="str">
        <x:v>100/100/100/100</x:v>
      </x:c>
      <x:c r="K2" s="48" t="str">
        <x:v>—/—/—/—</x:v>
      </x:c>
      <x:c r="L2" s="48" t="str">
        <x:v>—/—/—/—</x:v>
      </x:c>
      <x:c r="M2" s="48" t="str">
        <x:v>—/—/—/—</x:v>
      </x:c>
      <x:c r="N2" s="48" t="str">
        <x:v>—/—/—/—</x:v>
      </x:c>
      <x:c r="O2" s="48" t="str">
        <x:v>—/—/—/—</x:v>
      </x:c>
      <x:c r="P2" s="48" t="str">
        <x:v>—/—/—/—</x:v>
      </x:c>
      <x:c r="Q2" s="48" t="str">
        <x:v>—/—/—/—</x:v>
      </x:c>
      <x:c r="R2" s="48" t="str">
        <x:v>—/—/—/—</x:v>
      </x:c>
      <x:c r="S2" s="48" t="str">
        <x:v>650 / 30 / 10 / 1 / 20 / 2 / 40 / 3 / 60 / 4 / 80</x:v>
      </x:c>
      <x:c r="T2" s="48" t="str">
        <x:v>“—”表示 6.48b 对象表该级字段为空；脚本型技能需结合证据说明与来源冲突表。</x:v>
      </x:c>
    </x:row>
    <x:row r="3" ht="34" customHeight="1">
      <x:c r="A3" s="18" t="str">
        <x:v>H008-2</x:v>
      </x:c>
      <x:c r="B3" s="18" t="str">
        <x:v>刚背兽</x:v>
      </x:c>
      <x:c r="C3" s="18" t="str">
        <x:v>Bristleback</x:v>
      </x:c>
      <x:c r="D3" s="18" t="str">
        <x:v>Bristleback</x:v>
      </x:c>
      <x:c r="E3" s="18" t="str">
        <x:v>A0M3</x:v>
      </x:c>
      <x:c r="F3" s="18" t="str">
        <x:v>AEev</x:v>
      </x:c>
      <x:c r="G3" s="48" t="str">
        <x:v>—/—/—/—</x:v>
      </x:c>
      <x:c r="H3" s="48" t="str">
        <x:v>—/—/—/—</x:v>
      </x:c>
      <x:c r="I3" s="48" t="str">
        <x:v>—/—/—/—</x:v>
      </x:c>
      <x:c r="J3" s="48" t="str">
        <x:v>—/—/—/—</x:v>
      </x:c>
      <x:c r="K3" s="48" t="str">
        <x:v>—/—/—/—</x:v>
      </x:c>
      <x:c r="L3" s="48" t="str">
        <x:v>—/—/—/—</x:v>
      </x:c>
      <x:c r="M3" s="48" t="str">
        <x:v>—/—/—/—</x:v>
      </x:c>
      <x:c r="N3" s="48" t="str">
        <x:v>—/—/—/—</x:v>
      </x:c>
      <x:c r="O3" s="48" t="str">
        <x:v>—/—/—/—</x:v>
      </x:c>
      <x:c r="P3" s="48" t="str">
        <x:v>—/—/—/—</x:v>
      </x:c>
      <x:c r="Q3" s="48" t="str">
        <x:v>—/—/—/—</x:v>
      </x:c>
      <x:c r="R3" s="48" t="str">
        <x:v>—/—/—/—</x:v>
      </x:c>
      <x:c r="S3" s="48" t="str">
        <x:v>200 / 1 / 10% / 5% / 2 / 20% / 3 / 30% / 15% / 4 / 40%</x:v>
      </x:c>
      <x:c r="T3" s="48" t="str">
        <x:v>“—”表示 6.48b 对象表该级字段为空；脚本型技能需结合证据说明与来源冲突表。</x:v>
      </x:c>
    </x:row>
    <x:row r="4" ht="34" customHeight="1">
      <x:c r="A4" s="18" t="str">
        <x:v>H008-3</x:v>
      </x:c>
      <x:c r="B4" s="18" t="str">
        <x:v>刚背兽</x:v>
      </x:c>
      <x:c r="C4" s="18" t="str">
        <x:v>Bristleback</x:v>
      </x:c>
      <x:c r="D4" s="18" t="str">
        <x:v>Warpath</x:v>
      </x:c>
      <x:c r="E4" s="18" t="str">
        <x:v>A0FV</x:v>
      </x:c>
      <x:c r="F4" s="18" t="str">
        <x:v>AEev</x:v>
      </x:c>
      <x:c r="G4" s="48" t="str">
        <x:v>—/—/—</x:v>
      </x:c>
      <x:c r="H4" s="48" t="str">
        <x:v>—/—/—</x:v>
      </x:c>
      <x:c r="I4" s="48" t="str">
        <x:v>—/—/—</x:v>
      </x:c>
      <x:c r="J4" s="48" t="str">
        <x:v>—/—/—</x:v>
      </x:c>
      <x:c r="K4" s="48" t="str">
        <x:v>—/—/—</x:v>
      </x:c>
      <x:c r="L4" s="48" t="str">
        <x:v>—/—/—</x:v>
      </x:c>
      <x:c r="M4" s="48" t="str">
        <x:v>—/—/—</x:v>
      </x:c>
      <x:c r="N4" s="48" t="str">
        <x:v>—/—/—</x:v>
      </x:c>
      <x:c r="O4" s="48" t="str">
        <x:v>—/—/—</x:v>
      </x:c>
      <x:c r="P4" s="48" t="str">
        <x:v>—/—/—</x:v>
      </x:c>
      <x:c r="Q4" s="48" t="str">
        <x:v>—/—/—</x:v>
      </x:c>
      <x:c r="R4" s="48" t="str">
        <x:v>—/—/—</x:v>
      </x:c>
      <x:c r="S4" s="48" t="str">
        <x:v>10 / 4 / 1 / 30% / 5% / 1% / 2 / 40% / 7% / 10% / 2% / 3 / 50% / 15% / 3%</x:v>
      </x:c>
      <x:c r="T4" s="48" t="str">
        <x:v>“—”表示 6.48b 对象表该级字段为空；脚本型技能需结合证据说明与来源冲突表。</x:v>
      </x:c>
    </x:row>
    <x:row r="5" ht="34" customHeight="1">
      <x:c r="A5" s="18" t="str">
        <x:v>H008-4</x:v>
      </x:c>
      <x:c r="B5" s="18" t="str">
        <x:v>刚背兽</x:v>
      </x:c>
      <x:c r="C5" s="18" t="str">
        <x:v>Bristleback</x:v>
      </x:c>
      <x:c r="D5" s="18" t="str">
        <x:v>Viscous Nasal Goo</x:v>
      </x:c>
      <x:c r="E5" s="18" t="str">
        <x:v>A0FW</x:v>
      </x:c>
      <x:c r="F5" s="18" t="str">
        <x:v>ANcl</x:v>
      </x:c>
      <x:c r="G5" s="48" t="str">
        <x:v>—/—/—/—</x:v>
      </x:c>
      <x:c r="H5" s="48" t="str">
        <x:v>1/1/1/1</x:v>
      </x:c>
      <x:c r="I5" s="48" t="str">
        <x:v>1/1/1/1</x:v>
      </x:c>
      <x:c r="J5" s="48" t="str">
        <x:v>—/—/—/—</x:v>
      </x:c>
      <x:c r="K5" s="48" t="str">
        <x:v>—/—/—/—</x:v>
      </x:c>
      <x:c r="L5" s="48" t="str">
        <x:v>channel/channel/channel/channel</x:v>
      </x:c>
      <x:c r="M5" s="48" t="str">
        <x:v>—/—/—/—</x:v>
      </x:c>
      <x:c r="N5" s="48" t="str">
        <x:v>—/—/—/—</x:v>
      </x:c>
      <x:c r="O5" s="48" t="str">
        <x:v>—/—/—/—</x:v>
      </x:c>
      <x:c r="P5" s="48" t="str">
        <x:v>—/—/—/—</x:v>
      </x:c>
      <x:c r="Q5" s="48" t="str">
        <x:v>—/—/—/—</x:v>
      </x:c>
      <x:c r="R5" s="48" t="str">
        <x:v>—/—/—/—</x:v>
      </x:c>
      <x:c r="S5" s="48" t="str">
        <x:v>5 / 1 / -1 / 20% / 3% / 2 / 6% / 3 / -2 / 9% / 4 / 12% / 1.5</x:v>
      </x:c>
      <x:c r="T5" s="48" t="str">
        <x:v>“—”表示 6.48b 对象表该级字段为空；脚本型技能需结合证据说明与来源冲突表。</x:v>
      </x:c>
    </x:row>
    <x:row r="6" ht="34" customHeight="1">
      <x:c r="A6" s="18" t="str">
        <x:v>E005-1</x:v>
      </x:c>
      <x:c r="B6" s="18" t="str">
        <x:v>月之骑士</x:v>
      </x:c>
      <x:c r="C6" s="18" t="str">
        <x:v>Moon Rider</x:v>
      </x:c>
      <x:c r="D6" s="18" t="str">
        <x:v>Moon Glaive</x:v>
      </x:c>
      <x:c r="E6" s="18" t="str">
        <x:v>A041</x:v>
      </x:c>
      <x:c r="F6" s="18" t="str">
        <x:v>Amgl</x:v>
      </x:c>
      <x:c r="G6" s="48" t="str">
        <x:v>—/—/—/—</x:v>
      </x:c>
      <x:c r="H6" s="48" t="str">
        <x:v>—/—/—/—</x:v>
      </x:c>
      <x:c r="I6" s="48" t="str">
        <x:v>—/—/—/—</x:v>
      </x:c>
      <x:c r="J6" s="48" t="str">
        <x:v>—/—/—/—</x:v>
      </x:c>
      <x:c r="K6" s="48" t="str">
        <x:v>—/—/—/—</x:v>
      </x:c>
      <x:c r="L6" s="48" t="str">
        <x:v>—/—/—/—</x:v>
      </x:c>
      <x:c r="M6" s="48" t="str">
        <x:v>—/—/—/—</x:v>
      </x:c>
      <x:c r="N6" s="48" t="str">
        <x:v>—/—/—/—</x:v>
      </x:c>
      <x:c r="O6" s="48" t="str">
        <x:v>—/—/—/—</x:v>
      </x:c>
      <x:c r="P6" s="48" t="str">
        <x:v>—/—/—/—</x:v>
      </x:c>
      <x:c r="Q6" s="48" t="str">
        <x:v>—/—/—/—</x:v>
      </x:c>
      <x:c r="R6" s="48" t="str">
        <x:v>—/—/—/—</x:v>
      </x:c>
      <x:c r="S6" s="48" t="str">
        <x:v>35% / 1 / 2 / 3 / 4 / 5</x:v>
      </x:c>
      <x:c r="T6" s="48" t="str">
        <x:v>“—”表示 6.48b 对象表该级字段为空；脚本型技能需结合证据说明与来源冲突表。</x:v>
      </x:c>
    </x:row>
    <x:row r="7" ht="34" customHeight="1">
      <x:c r="A7" s="18" t="str">
        <x:v>E005-2</x:v>
      </x:c>
      <x:c r="B7" s="18" t="str">
        <x:v>月之骑士</x:v>
      </x:c>
      <x:c r="C7" s="18" t="str">
        <x:v>Moon Rider</x:v>
      </x:c>
      <x:c r="D7" s="18" t="str">
        <x:v>Lunar Blessing</x:v>
      </x:c>
      <x:c r="E7" s="18" t="str">
        <x:v>A062</x:v>
      </x:c>
      <x:c r="F7" s="18" t="str">
        <x:v>AEar</x:v>
      </x:c>
      <x:c r="G7" s="48" t="str">
        <x:v>0.06/0.13/0.2/0.27</x:v>
      </x:c>
      <x:c r="H7" s="48" t="str">
        <x:v>—/—/—/—</x:v>
      </x:c>
      <x:c r="I7" s="48" t="str">
        <x:v>1/1/1/1</x:v>
      </x:c>
      <x:c r="J7" s="48" t="str">
        <x:v>—/—/—/—</x:v>
      </x:c>
      <x:c r="K7" s="48" t="str">
        <x:v>—/—/—/—</x:v>
      </x:c>
      <x:c r="L7" s="48" t="str">
        <x:v>—/—/—/—</x:v>
      </x:c>
      <x:c r="M7" s="48" t="str">
        <x:v>—/—/—/—</x:v>
      </x:c>
      <x:c r="N7" s="48" t="str">
        <x:v>—/—/—/—</x:v>
      </x:c>
      <x:c r="O7" s="48" t="str">
        <x:v>—/—/—/—</x:v>
      </x:c>
      <x:c r="P7" s="48" t="str">
        <x:v>—/—/—/—</x:v>
      </x:c>
      <x:c r="Q7" s="48" t="str">
        <x:v>B01W/B01W/B01W/B01W</x:v>
      </x:c>
      <x:c r="R7" s="48" t="str">
        <x:v>—/—/—/—</x:v>
      </x:c>
      <x:c r="S7" s="48" t="str">
        <x:v>1 / 6% / 2 / 13% / 3 / 20% / 4 / 27%</x:v>
      </x:c>
      <x:c r="T7" s="48" t="str">
        <x:v>“—”表示 6.48b 对象表该级字段为空；脚本型技能需结合证据说明与来源冲突表。</x:v>
      </x:c>
    </x:row>
    <x:row r="8" ht="34" customHeight="1">
      <x:c r="A8" s="18" t="str">
        <x:v>E005-3</x:v>
      </x:c>
      <x:c r="B8" s="18" t="str">
        <x:v>月之骑士</x:v>
      </x:c>
      <x:c r="C8" s="18" t="str">
        <x:v>Moon Rider</x:v>
      </x:c>
      <x:c r="D8" s="18" t="str">
        <x:v>Eclipse</x:v>
      </x:c>
      <x:c r="E8" s="18" t="str">
        <x:v>A054</x:v>
      </x:c>
      <x:c r="F8" s="18" t="str">
        <x:v>ANcl</x:v>
      </x:c>
      <x:c r="G8" s="48" t="str">
        <x:v>1/1/1</x:v>
      </x:c>
      <x:c r="H8" s="48" t="str">
        <x:v>—/—/—</x:v>
      </x:c>
      <x:c r="I8" s="48" t="str">
        <x:v>1/1/1</x:v>
      </x:c>
      <x:c r="J8" s="48" t="str">
        <x:v>0.98/0.98/0.98</x:v>
      </x:c>
      <x:c r="K8" s="48" t="str">
        <x:v>—/—/—</x:v>
      </x:c>
      <x:c r="L8" s="48" t="str">
        <x:v>channel/channel/channel</x:v>
      </x:c>
      <x:c r="M8" s="48" t="str">
        <x:v>—/—/—</x:v>
      </x:c>
      <x:c r="N8" s="48" t="str">
        <x:v>—/—/—</x:v>
      </x:c>
      <x:c r="O8" s="48" t="str">
        <x:v>—/—/—</x:v>
      </x:c>
      <x:c r="P8" s="48" t="str">
        <x:v>—/—/—</x:v>
      </x:c>
      <x:c r="Q8" s="48" t="str">
        <x:v>—/—/—</x:v>
      </x:c>
      <x:c r="R8" s="48" t="str">
        <x:v>—/—/—</x:v>
      </x:c>
      <x:c r="S8" s="48" t="str">
        <x:v>300 / 1 / 4 / 2 / 7 / 3 / 10 / 140 / 120 / 100</x:v>
      </x:c>
      <x:c r="T8" s="48" t="str">
        <x:v>“—”表示 6.48b 对象表该级字段为空；脚本型技能需结合证据说明与来源冲突表。</x:v>
      </x:c>
    </x:row>
    <x:row r="9" ht="34" customHeight="1">
      <x:c r="A9" s="18" t="str">
        <x:v>E005-4</x:v>
      </x:c>
      <x:c r="B9" s="18" t="str">
        <x:v>月之骑士</x:v>
      </x:c>
      <x:c r="C9" s="18" t="str">
        <x:v>Moon Rider</x:v>
      </x:c>
      <x:c r="D9" s="18" t="str">
        <x:v>Lucent Beam</x:v>
      </x:c>
      <x:c r="E9" s="18" t="str">
        <x:v>A042</x:v>
      </x:c>
      <x:c r="F9" s="18" t="str">
        <x:v>ANfb</x:v>
      </x:c>
      <x:c r="G9" s="48" t="str">
        <x:v>75/150/225/300</x:v>
      </x:c>
      <x:c r="H9" s="48" t="str">
        <x:v>—/—/—/—</x:v>
      </x:c>
      <x:c r="I9" s="48" t="str">
        <x:v>—/—/—/—</x:v>
      </x:c>
      <x:c r="J9" s="48" t="str">
        <x:v>—/—/—/—</x:v>
      </x:c>
      <x:c r="K9" s="48" t="str">
        <x:v>—/—/—/—</x:v>
      </x:c>
      <x:c r="L9" s="48" t="str">
        <x:v>—/—/—/—</x:v>
      </x:c>
      <x:c r="M9" s="48" t="str">
        <x:v>—/—/—/—</x:v>
      </x:c>
      <x:c r="N9" s="48" t="str">
        <x:v>—/—/—/—</x:v>
      </x:c>
      <x:c r="O9" s="48" t="str">
        <x:v>—/—/—/—</x:v>
      </x:c>
      <x:c r="P9" s="48" t="str">
        <x:v>—/—/—/—</x:v>
      </x:c>
      <x:c r="Q9" s="48" t="str">
        <x:v>—/—/—/—</x:v>
      </x:c>
      <x:c r="R9" s="48" t="str">
        <x:v>—/—/—/—</x:v>
      </x:c>
      <x:c r="S9" s="48" t="str">
        <x:v>1 / 75 / 2 / 150 / 3 / 225 / 4 / 300 / 6</x:v>
      </x:c>
      <x:c r="T9" s="48" t="str">
        <x:v>“—”表示 6.48b 对象表该级字段为空；脚本型技能需结合证据说明与来源冲突表。</x:v>
      </x:c>
    </x:row>
    <x:row r="10" ht="34" customHeight="1">
      <x:c r="A10" s="18" t="str">
        <x:v>Npbm-1</x:v>
      </x:c>
      <x:c r="B10" s="18" t="str">
        <x:v>熊猫酒仙</x:v>
      </x:c>
      <x:c r="C10" s="18" t="str">
        <x:v>Pandaren Brewmaster</x:v>
      </x:c>
      <x:c r="D10" s="18" t="str">
        <x:v>Thunder Clap</x:v>
      </x:c>
      <x:c r="E10" s="18" t="str">
        <x:v>A06M</x:v>
      </x:c>
      <x:c r="F10" s="18" t="str">
        <x:v>AHtc</x:v>
      </x:c>
      <x:c r="G10" s="48" t="str">
        <x:v>100/175/250/300</x:v>
      </x:c>
      <x:c r="H10" s="48" t="str">
        <x:v>—/—/—/—</x:v>
      </x:c>
      <x:c r="I10" s="48" t="str">
        <x:v>0.25/0.35/0.45/0.55</x:v>
      </x:c>
      <x:c r="J10" s="48" t="str">
        <x:v>0.25/0.35/0.45/0.55</x:v>
      </x:c>
      <x:c r="K10" s="48" t="str">
        <x:v>—/—/—/—</x:v>
      </x:c>
      <x:c r="L10" s="48" t="str">
        <x:v>—/—/—/—</x:v>
      </x:c>
      <x:c r="M10" s="48" t="str">
        <x:v>—/—/—/—</x:v>
      </x:c>
      <x:c r="N10" s="48" t="str">
        <x:v>—/—/—/—</x:v>
      </x:c>
      <x:c r="O10" s="48" t="str">
        <x:v>—/—/—/—</x:v>
      </x:c>
      <x:c r="P10" s="48" t="str">
        <x:v>—/—/—/—</x:v>
      </x:c>
      <x:c r="Q10" s="48" t="str">
        <x:v>BHtc/BHtc/BHtc/BHtc</x:v>
      </x:c>
      <x:c r="R10" s="48" t="str">
        <x:v>—/—/—/—</x:v>
      </x:c>
      <x:c r="S10" s="48" t="str">
        <x:v>1 / 100 / 25% / 2 / 175 / 35% / 3 / 250 / 45% / 4 / 300 / 55% / 12</x:v>
      </x:c>
      <x:c r="T10" s="48" t="str">
        <x:v>“—”表示 6.48b 对象表该级字段为空；脚本型技能需结合证据说明与来源冲突表。</x:v>
      </x:c>
    </x:row>
    <x:row r="11" ht="34" customHeight="1">
      <x:c r="A11" s="18" t="str">
        <x:v>Npbm-2</x:v>
      </x:c>
      <x:c r="B11" s="18" t="str">
        <x:v>熊猫酒仙</x:v>
      </x:c>
      <x:c r="C11" s="18" t="str">
        <x:v>Pandaren Brewmaster</x:v>
      </x:c>
      <x:c r="D11" s="18" t="str">
        <x:v>Drunken Haze</x:v>
      </x:c>
      <x:c r="E11" s="18" t="str">
        <x:v>Acdh</x:v>
      </x:c>
      <x:c r="F11" s="18" t="str">
        <x:v>ANdh</x:v>
      </x:c>
      <x:c r="G11" s="48" t="str">
        <x:v>—/—/—/—</x:v>
      </x:c>
      <x:c r="H11" s="48" t="str">
        <x:v>0.45/0.55/0.65/0.75</x:v>
      </x:c>
      <x:c r="I11" s="48" t="str">
        <x:v>0.1/0.12/0.15/0.17</x:v>
      </x:c>
      <x:c r="J11" s="48" t="str">
        <x:v>—/—/—/—</x:v>
      </x:c>
      <x:c r="K11" s="48" t="str">
        <x:v>—/—/—/—</x:v>
      </x:c>
      <x:c r="L11" s="48" t="str">
        <x:v>—/—/—/—</x:v>
      </x:c>
      <x:c r="M11" s="48" t="str">
        <x:v>—/—/—/—</x:v>
      </x:c>
      <x:c r="N11" s="48" t="str">
        <x:v>—/—/—/—</x:v>
      </x:c>
      <x:c r="O11" s="48" t="str">
        <x:v>—/—/—/—</x:v>
      </x:c>
      <x:c r="P11" s="48" t="str">
        <x:v>—/—/—/—</x:v>
      </x:c>
      <x:c r="Q11" s="48" t="str">
        <x:v>BNdh/BNdh/BNdh/BNdh</x:v>
      </x:c>
      <x:c r="R11" s="48" t="str">
        <x:v>—/—/—/—</x:v>
      </x:c>
      <x:c r="S11" s="48" t="str">
        <x:v>7 / 1 / 10% / 45% / 2 / 12% / 55% / 3 / 15% / 65% / 4 / 17% / 75% / 12</x:v>
      </x:c>
      <x:c r="T11" s="48" t="str">
        <x:v>“—”表示 6.48b 对象表该级字段为空；脚本型技能需结合证据说明与来源冲突表。</x:v>
      </x:c>
    </x:row>
    <x:row r="12" ht="34" customHeight="1">
      <x:c r="A12" s="18" t="str">
        <x:v>Npbm-3</x:v>
      </x:c>
      <x:c r="B12" s="18" t="str">
        <x:v>熊猫酒仙</x:v>
      </x:c>
      <x:c r="C12" s="18" t="str">
        <x:v>Pandaren Brewmaster</x:v>
      </x:c>
      <x:c r="D12" s="18" t="str">
        <x:v>Drunken Brawler</x:v>
      </x:c>
      <x:c r="E12" s="18" t="str">
        <x:v>A0MX</x:v>
      </x:c>
      <x:c r="F12" s="18" t="str">
        <x:v>ANdb</x:v>
      </x:c>
      <x:c r="G12" s="48" t="str">
        <x:v>5/10/15/20</x:v>
      </x:c>
      <x:c r="H12" s="48" t="str">
        <x:v>1.8/1.8/1.8/1.8</x:v>
      </x:c>
      <x:c r="I12" s="48" t="str">
        <x:v>—/—/—/—</x:v>
      </x:c>
      <x:c r="J12" s="48" t="str">
        <x:v>0.06/0.12/0.18/0.24</x:v>
      </x:c>
      <x:c r="K12" s="48" t="str">
        <x:v>—/—/—/—</x:v>
      </x:c>
      <x:c r="L12" s="48" t="str">
        <x:v>—/—/—/—</x:v>
      </x:c>
      <x:c r="M12" s="48" t="str">
        <x:v>—/—/—/—</x:v>
      </x:c>
      <x:c r="N12" s="48" t="str">
        <x:v>—/—/—/—</x:v>
      </x:c>
      <x:c r="O12" s="48" t="str">
        <x:v>—/—/—/—</x:v>
      </x:c>
      <x:c r="P12" s="48" t="str">
        <x:v>—/—/—/—</x:v>
      </x:c>
      <x:c r="Q12" s="48" t="str">
        <x:v>—/—/—/—</x:v>
      </x:c>
      <x:c r="R12" s="48" t="str">
        <x:v>—/—/—/—</x:v>
      </x:c>
      <x:c r="S12" s="48" t="str">
        <x:v>1.8 / 1 / 6% / 5% / 2 / 12% / 10% / 3 / 18% / 15% / 4 / 24% / 20%</x:v>
      </x:c>
      <x:c r="T12" s="48" t="str">
        <x:v>“—”表示 6.48b 对象表该级字段为空；脚本型技能需结合证据说明与来源冲突表。</x:v>
      </x:c>
    </x:row>
    <x:row r="13" ht="34" customHeight="1">
      <x:c r="A13" s="18" t="str">
        <x:v>Npbm-4</x:v>
      </x:c>
      <x:c r="B13" s="18" t="str">
        <x:v>熊猫酒仙</x:v>
      </x:c>
      <x:c r="C13" s="18" t="str">
        <x:v>Pandaren Brewmaster</x:v>
      </x:c>
      <x:c r="D13" s="18" t="str">
        <x:v>Primal Split, Earth, And Fire</x:v>
      </x:c>
      <x:c r="E13" s="18" t="str">
        <x:v>A0MQ</x:v>
      </x:c>
      <x:c r="F13" s="18" t="str">
        <x:v>ANef</x:v>
      </x:c>
      <x:c r="G13" s="48" t="str">
        <x:v>npn1,npn2,npn3/npn4,npn5,npn6/n011,n012,n010</x:v>
      </x:c>
      <x:c r="H13" s="48" t="str">
        <x:v>—/—/—</x:v>
      </x:c>
      <x:c r="I13" s="48" t="str">
        <x:v>—/—/—</x:v>
      </x:c>
      <x:c r="J13" s="48" t="str">
        <x:v>—/—/—</x:v>
      </x:c>
      <x:c r="K13" s="48" t="str">
        <x:v>—/—/—</x:v>
      </x:c>
      <x:c r="L13" s="48" t="str">
        <x:v>—/—/—</x:v>
      </x:c>
      <x:c r="M13" s="48" t="str">
        <x:v>—/—/—</x:v>
      </x:c>
      <x:c r="N13" s="48" t="str">
        <x:v>—/—/—</x:v>
      </x:c>
      <x:c r="O13" s="48" t="str">
        <x:v>—/—/—</x:v>
      </x:c>
      <x:c r="P13" s="48" t="str">
        <x:v>—/—/—</x:v>
      </x:c>
      <x:c r="Q13" s="48" t="str">
        <x:v>BNef/BNef/BNef</x:v>
      </x:c>
      <x:c r="R13" s="48" t="str">
        <x:v>—/—/—</x:v>
      </x:c>
      <x:c r="S13" s="48" t="str">
        <x:v>3 / 1 / 15 / 2 / 17 / 19 / 180</x:v>
      </x:c>
      <x:c r="T13" s="48" t="str">
        <x:v>“—”表示 6.48b 对象表该级字段为空；脚本型技能需结合证据说明与来源冲突表。</x:v>
      </x:c>
    </x:row>
    <x:row r="14" ht="34" customHeight="1">
      <x:c r="A14" s="18" t="str">
        <x:v>H000-1</x:v>
      </x:c>
      <x:c r="B14" s="18" t="str">
        <x:v>半人马酋长</x:v>
      </x:c>
      <x:c r="C14" s="18" t="str">
        <x:v>Centaur Warchief</x:v>
      </x:c>
      <x:c r="D14" s="18" t="str">
        <x:v>Hoof Stomp</x:v>
      </x:c>
      <x:c r="E14" s="18" t="str">
        <x:v>A00S</x:v>
      </x:c>
      <x:c r="F14" s="18" t="str">
        <x:v>AOws</x:v>
      </x:c>
      <x:c r="G14" s="48" t="str">
        <x:v>100/150/200/250</x:v>
      </x:c>
      <x:c r="H14" s="48" t="str">
        <x:v>—/—/—/—</x:v>
      </x:c>
      <x:c r="I14" s="48" t="str">
        <x:v>—/—/—/—</x:v>
      </x:c>
      <x:c r="J14" s="48" t="str">
        <x:v>—/—/—/—</x:v>
      </x:c>
      <x:c r="K14" s="48" t="str">
        <x:v>—/—/—/—</x:v>
      </x:c>
      <x:c r="L14" s="48" t="str">
        <x:v>—/—/—/—</x:v>
      </x:c>
      <x:c r="M14" s="48" t="str">
        <x:v>—/—/—/—</x:v>
      </x:c>
      <x:c r="N14" s="48" t="str">
        <x:v>—/—/—/—</x:v>
      </x:c>
      <x:c r="O14" s="48" t="str">
        <x:v>—/—/—/—</x:v>
      </x:c>
      <x:c r="P14" s="48" t="str">
        <x:v>—/—/—/—</x:v>
      </x:c>
      <x:c r="Q14" s="48" t="str">
        <x:v>BPSE/BPSE/BPSE/BPSE</x:v>
      </x:c>
      <x:c r="R14" s="48" t="str">
        <x:v>—/—/—/—</x:v>
      </x:c>
      <x:c r="S14" s="48" t="str">
        <x:v>1 / 100 / 1.25 / 2 / 150 / 1.75 / 3 / 200 / 2.25 / 4 / 250 / 2.75 / 15</x:v>
      </x:c>
      <x:c r="T14" s="48" t="str">
        <x:v>“—”表示 6.48b 对象表该级字段为空；脚本型技能需结合证据说明与来源冲突表。</x:v>
      </x:c>
    </x:row>
    <x:row r="15" ht="34" customHeight="1">
      <x:c r="A15" s="18" t="str">
        <x:v>H000-2</x:v>
      </x:c>
      <x:c r="B15" s="18" t="str">
        <x:v>半人马酋长</x:v>
      </x:c>
      <x:c r="C15" s="18" t="str">
        <x:v>Centaur Warchief</x:v>
      </x:c>
      <x:c r="D15" s="18" t="str">
        <x:v>Double Edge</x:v>
      </x:c>
      <x:c r="E15" s="18" t="str">
        <x:v>A00L</x:v>
      </x:c>
      <x:c r="F15" s="18" t="str">
        <x:v>ANfb</x:v>
      </x:c>
      <x:c r="G15" s="48" t="str">
        <x:v>—/—/—/—</x:v>
      </x:c>
      <x:c r="H15" s="48" t="str">
        <x:v>—/—/—/—</x:v>
      </x:c>
      <x:c r="I15" s="48" t="str">
        <x:v>—/—/—/—</x:v>
      </x:c>
      <x:c r="J15" s="48" t="str">
        <x:v>—/—/—/—</x:v>
      </x:c>
      <x:c r="K15" s="48" t="str">
        <x:v>—/—/—/—</x:v>
      </x:c>
      <x:c r="L15" s="48" t="str">
        <x:v>—/—/—/—</x:v>
      </x:c>
      <x:c r="M15" s="48" t="str">
        <x:v>—/—/—/—</x:v>
      </x:c>
      <x:c r="N15" s="48" t="str">
        <x:v>—/—/—/—</x:v>
      </x:c>
      <x:c r="O15" s="48" t="str">
        <x:v>—/—/—/—</x:v>
      </x:c>
      <x:c r="P15" s="48" t="str">
        <x:v>—/—/—/—</x:v>
      </x:c>
      <x:c r="Q15" s="48" t="str">
        <x:v>—/—/—/—</x:v>
      </x:c>
      <x:c r="R15" s="48" t="str">
        <x:v>—/—/—/—</x:v>
      </x:c>
      <x:c r="S15" s="48" t="str">
        <x:v>1 / 175 / 2 / 250 / 3 / 325 / 4 / 400 / 25</x:v>
      </x:c>
      <x:c r="T15" s="48" t="str">
        <x:v>“—”表示 6.48b 对象表该级字段为空；脚本型技能需结合证据说明与来源冲突表。</x:v>
      </x:c>
    </x:row>
    <x:row r="16" ht="34" customHeight="1">
      <x:c r="A16" s="18" t="str">
        <x:v>H000-3</x:v>
      </x:c>
      <x:c r="B16" s="18" t="str">
        <x:v>半人马酋长</x:v>
      </x:c>
      <x:c r="C16" s="18" t="str">
        <x:v>Centaur Warchief</x:v>
      </x:c>
      <x:c r="D16" s="18" t="str">
        <x:v>Return</x:v>
      </x:c>
      <x:c r="E16" s="18" t="str">
        <x:v>A00V</x:v>
      </x:c>
      <x:c r="F16" s="18" t="str">
        <x:v>AEah</x:v>
      </x:c>
      <x:c r="G16" s="48" t="str">
        <x:v>—/—/—/—</x:v>
      </x:c>
      <x:c r="H16" s="48" t="str">
        <x:v>—/—/—/—</x:v>
      </x:c>
      <x:c r="I16" s="48" t="str">
        <x:v>—/—/—/—</x:v>
      </x:c>
      <x:c r="J16" s="48" t="str">
        <x:v>—/—/—/—</x:v>
      </x:c>
      <x:c r="K16" s="48" t="str">
        <x:v>—/—/—/—</x:v>
      </x:c>
      <x:c r="L16" s="48" t="str">
        <x:v>—/—/—/—</x:v>
      </x:c>
      <x:c r="M16" s="48" t="str">
        <x:v>—/—/—/—</x:v>
      </x:c>
      <x:c r="N16" s="48" t="str">
        <x:v>—/—/—/—</x:v>
      </x:c>
      <x:c r="O16" s="48" t="str">
        <x:v>—/—/—/—</x:v>
      </x:c>
      <x:c r="P16" s="48" t="str">
        <x:v>—/—/—/—</x:v>
      </x:c>
      <x:c r="Q16" s="48" t="str">
        <x:v>B00M/B00M/B00M/B00M</x:v>
      </x:c>
      <x:c r="R16" s="48" t="str">
        <x:v>—/—/—/—</x:v>
      </x:c>
      <x:c r="S16" s="48" t="str">
        <x:v>1 / 12.5 / 2 / 25 / 3 / 37.5 / 4 / 50</x:v>
      </x:c>
      <x:c r="T16" s="48" t="str">
        <x:v>“—”表示 6.48b 对象表该级字段为空；脚本型技能需结合证据说明与来源冲突表。</x:v>
      </x:c>
    </x:row>
    <x:row r="17" ht="34" customHeight="1">
      <x:c r="A17" s="18" t="str">
        <x:v>H000-4</x:v>
      </x:c>
      <x:c r="B17" s="18" t="str">
        <x:v>半人马酋长</x:v>
      </x:c>
      <x:c r="C17" s="18" t="str">
        <x:v>Centaur Warchief</x:v>
      </x:c>
      <x:c r="D17" s="18" t="str">
        <x:v>Great Fortitude</x:v>
      </x:c>
      <x:c r="E17" s="18" t="str">
        <x:v>A01L</x:v>
      </x:c>
      <x:c r="F17" s="18" t="str">
        <x:v>Aamk</x:v>
      </x:c>
      <x:c r="G17" s="48" t="str">
        <x:v>—/—/—</x:v>
      </x:c>
      <x:c r="H17" s="48" t="str">
        <x:v>—/—/—</x:v>
      </x:c>
      <x:c r="I17" s="48" t="str">
        <x:v>12/24/36</x:v>
      </x:c>
      <x:c r="J17" s="48" t="str">
        <x:v>—/—/—</x:v>
      </x:c>
      <x:c r="K17" s="48" t="str">
        <x:v>—/—/—</x:v>
      </x:c>
      <x:c r="L17" s="48" t="str">
        <x:v>—/—/—</x:v>
      </x:c>
      <x:c r="M17" s="48" t="str">
        <x:v>—/—/—</x:v>
      </x:c>
      <x:c r="N17" s="48" t="str">
        <x:v>—/—/—</x:v>
      </x:c>
      <x:c r="O17" s="48" t="str">
        <x:v>—/—/—</x:v>
      </x:c>
      <x:c r="P17" s="48" t="str">
        <x:v>—/—/—</x:v>
      </x:c>
      <x:c r="Q17" s="48" t="str">
        <x:v>—/—/—</x:v>
      </x:c>
      <x:c r="R17" s="48" t="str">
        <x:v>—/—/—</x:v>
      </x:c>
      <x:c r="S17" s="48" t="str">
        <x:v>1 / 12 / 2 / 24 / 3 / 36 / 4</x:v>
      </x:c>
      <x:c r="T17" s="48" t="str">
        <x:v>“—”表示 6.48b 对象表该级字段为空；脚本型技能需结合证据说明与来源冲突表。</x:v>
      </x:c>
    </x:row>
    <x:row r="18" ht="34" customHeight="1">
      <x:c r="A18" s="18" t="str">
        <x:v>Nbrn-1</x:v>
      </x:c>
      <x:c r="B18" s="18" t="str">
        <x:v>卓尔游侠</x:v>
      </x:c>
      <x:c r="C18" s="18" t="str">
        <x:v>Drow Ranger</x:v>
      </x:c>
      <x:c r="D18" s="18" t="str">
        <x:v>Frost Arrows</x:v>
      </x:c>
      <x:c r="E18" s="18" t="str">
        <x:v>A026</x:v>
      </x:c>
      <x:c r="F18" s="18" t="str">
        <x:v>AHca</x:v>
      </x:c>
      <x:c r="G18" s="48" t="str">
        <x:v>—/—/—/—</x:v>
      </x:c>
      <x:c r="H18" s="48" t="str">
        <x:v>0.1/0.2/0.3/0.4</x:v>
      </x:c>
      <x:c r="I18" s="48" t="str">
        <x:v>0.05/0.1/0.15/0.2</x:v>
      </x:c>
      <x:c r="J18" s="48" t="str">
        <x:v>7/7/7/7</x:v>
      </x:c>
      <x:c r="K18" s="48" t="str">
        <x:v>—/—/—/—</x:v>
      </x:c>
      <x:c r="L18" s="48" t="str">
        <x:v>—/—/—/—</x:v>
      </x:c>
      <x:c r="M18" s="48" t="str">
        <x:v>—/—/—/—</x:v>
      </x:c>
      <x:c r="N18" s="48" t="str">
        <x:v>—/—/—/—</x:v>
      </x:c>
      <x:c r="O18" s="48" t="str">
        <x:v>—/—/—/—</x:v>
      </x:c>
      <x:c r="P18" s="48" t="str">
        <x:v>—/—/—/—</x:v>
      </x:c>
      <x:c r="Q18" s="48" t="str">
        <x:v>BHca,Bcsd/BHca,Bcsd/BHca,Bcsd/BHca,Bcsd</x:v>
      </x:c>
      <x:c r="R18" s="48" t="str">
        <x:v>—/—/—/—</x:v>
      </x:c>
      <x:c r="S18" s="48" t="str">
        <x:v>1 / 5% / 10% / 2 / 20% / 3 / 15% / 30% / 4 / 40% / 0</x:v>
      </x:c>
      <x:c r="T18" s="48" t="str">
        <x:v>“—”表示 6.48b 对象表该级字段为空；脚本型技能需结合证据说明与来源冲突表。</x:v>
      </x:c>
    </x:row>
    <x:row r="19" ht="34" customHeight="1">
      <x:c r="A19" s="18" t="str">
        <x:v>Nbrn-2</x:v>
      </x:c>
      <x:c r="B19" s="18" t="str">
        <x:v>卓尔游侠</x:v>
      </x:c>
      <x:c r="C19" s="18" t="str">
        <x:v>Drow Ranger</x:v>
      </x:c>
      <x:c r="D19" s="18" t="str">
        <x:v>Silence</x:v>
      </x:c>
      <x:c r="E19" s="18" t="str">
        <x:v>A0QB</x:v>
      </x:c>
      <x:c r="F19" s="18" t="str">
        <x:v>ANsi</x:v>
      </x:c>
      <x:c r="G19" s="48" t="str">
        <x:v>8/8/8/8</x:v>
      </x:c>
      <x:c r="H19" s="48" t="str">
        <x:v>—/—/—/—</x:v>
      </x:c>
      <x:c r="I19" s="48" t="str">
        <x:v>—/—/—/—</x:v>
      </x:c>
      <x:c r="J19" s="48" t="str">
        <x:v>—/—/—/—</x:v>
      </x:c>
      <x:c r="K19" s="48" t="str">
        <x:v>—/—/—/—</x:v>
      </x:c>
      <x:c r="L19" s="48" t="str">
        <x:v>—/—/—/—</x:v>
      </x:c>
      <x:c r="M19" s="48" t="str">
        <x:v>—/—/—/—</x:v>
      </x:c>
      <x:c r="N19" s="48" t="str">
        <x:v>—/—/—/—</x:v>
      </x:c>
      <x:c r="O19" s="48" t="str">
        <x:v>—/—/—/—</x:v>
      </x:c>
      <x:c r="P19" s="48" t="str">
        <x:v>—/—/—/—</x:v>
      </x:c>
      <x:c r="Q19" s="48" t="str">
        <x:v>B07V/B07V/B07V/B07V</x:v>
      </x:c>
      <x:c r="R19" s="48" t="str">
        <x:v>—/—/—/—</x:v>
      </x:c>
      <x:c r="S19" s="48" t="str">
        <x:v>1 / 3 / 2 / 4 / 5 / 6 / 15</x:v>
      </x:c>
      <x:c r="T19" s="48" t="str">
        <x:v>“—”表示 6.48b 对象表该级字段为空；脚本型技能需结合证据说明与来源冲突表。</x:v>
      </x:c>
    </x:row>
    <x:row r="20" ht="34" customHeight="1">
      <x:c r="A20" s="18" t="str">
        <x:v>Nbrn-3</x:v>
      </x:c>
      <x:c r="B20" s="18" t="str">
        <x:v>卓尔游侠</x:v>
      </x:c>
      <x:c r="C20" s="18" t="str">
        <x:v>Drow Ranger</x:v>
      </x:c>
      <x:c r="D20" s="18" t="str">
        <x:v>Trueshot Aura</x:v>
      </x:c>
      <x:c r="E20" s="18" t="str">
        <x:v>A029</x:v>
      </x:c>
      <x:c r="F20" s="18" t="str">
        <x:v>AEar</x:v>
      </x:c>
      <x:c r="G20" s="48" t="str">
        <x:v>0.07/0.14/0.21/0.28</x:v>
      </x:c>
      <x:c r="H20" s="48" t="str">
        <x:v>—/—/—/—</x:v>
      </x:c>
      <x:c r="I20" s="48" t="str">
        <x:v>1/1/1/1</x:v>
      </x:c>
      <x:c r="J20" s="48" t="str">
        <x:v>—/—/—/—</x:v>
      </x:c>
      <x:c r="K20" s="48" t="str">
        <x:v>—/—/—/—</x:v>
      </x:c>
      <x:c r="L20" s="48" t="str">
        <x:v>—/—/—/—</x:v>
      </x:c>
      <x:c r="M20" s="48" t="str">
        <x:v>—/—/—/—</x:v>
      </x:c>
      <x:c r="N20" s="48" t="str">
        <x:v>—/—/—/—</x:v>
      </x:c>
      <x:c r="O20" s="48" t="str">
        <x:v>—/—/—/—</x:v>
      </x:c>
      <x:c r="P20" s="48" t="str">
        <x:v>—/—/—/—</x:v>
      </x:c>
      <x:c r="Q20" s="48" t="str">
        <x:v>BEar/BEar/BEar/BEar</x:v>
      </x:c>
      <x:c r="R20" s="48" t="str">
        <x:v>—/—/—/—</x:v>
      </x:c>
      <x:c r="S20" s="48" t="str">
        <x:v>1 / 7% / 2 / 14% / 3 / 21% / 4 / 28%</x:v>
      </x:c>
      <x:c r="T20" s="48" t="str">
        <x:v>“—”表示 6.48b 对象表该级字段为空；脚本型技能需结合证据说明与来源冲突表。</x:v>
      </x:c>
    </x:row>
    <x:row r="21" ht="34" customHeight="1">
      <x:c r="A21" s="18" t="str">
        <x:v>Nbrn-4</x:v>
      </x:c>
      <x:c r="B21" s="18" t="str">
        <x:v>卓尔游侠</x:v>
      </x:c>
      <x:c r="C21" s="18" t="str">
        <x:v>Drow Ranger</x:v>
      </x:c>
      <x:c r="D21" s="18" t="str">
        <x:v>Marksmanship</x:v>
      </x:c>
      <x:c r="E21" s="18" t="str">
        <x:v>A056</x:v>
      </x:c>
      <x:c r="F21" s="18" t="str">
        <x:v>AHbh</x:v>
      </x:c>
      <x:c r="G21" s="48" t="str">
        <x:v>10/15/20</x:v>
      </x:c>
      <x:c r="H21" s="48" t="str">
        <x:v>—/—/—</x:v>
      </x:c>
      <x:c r="I21" s="48" t="str">
        <x:v>9999/9999/9999</x:v>
      </x:c>
      <x:c r="J21" s="48" t="str">
        <x:v>—/—/—</x:v>
      </x:c>
      <x:c r="K21" s="48" t="str">
        <x:v>—/—/—</x:v>
      </x:c>
      <x:c r="L21" s="48" t="str">
        <x:v>—/—/—</x:v>
      </x:c>
      <x:c r="M21" s="48" t="str">
        <x:v>—/—/—</x:v>
      </x:c>
      <x:c r="N21" s="48" t="str">
        <x:v>—/—/—</x:v>
      </x:c>
      <x:c r="O21" s="48" t="str">
        <x:v>—/—/—</x:v>
      </x:c>
      <x:c r="P21" s="48" t="str">
        <x:v>—/—/—</x:v>
      </x:c>
      <x:c r="Q21" s="48" t="str">
        <x:v>BPSE/BPSE/BPSE</x:v>
      </x:c>
      <x:c r="R21" s="48" t="str">
        <x:v>—/—/—</x:v>
      </x:c>
      <x:c r="S21" s="48" t="str">
        <x:v>1 / 10% / 2 / 15% / 3 / 20%</x:v>
      </x:c>
      <x:c r="T21" s="48" t="str">
        <x:v>“—”表示 6.48b 对象表该级字段为空；脚本型技能需结合证据说明与来源冲突表。</x:v>
      </x:c>
    </x:row>
    <x:row r="22" ht="34" customHeight="1">
      <x:c r="A22" s="18" t="str">
        <x:v>Hlgr-1</x:v>
      </x:c>
      <x:c r="B22" s="18" t="str">
        <x:v>龙骑士</x:v>
      </x:c>
      <x:c r="C22" s="18" t="str">
        <x:v>Dragon Knight</x:v>
      </x:c>
      <x:c r="D22" s="18" t="str">
        <x:v>Breathe Fire</x:v>
      </x:c>
      <x:c r="E22" s="18" t="str">
        <x:v>A03F</x:v>
      </x:c>
      <x:c r="F22" s="18" t="str">
        <x:v>ANbf</x:v>
      </x:c>
      <x:c r="G22" s="48" t="str">
        <x:v>75/150/225/300</x:v>
      </x:c>
      <x:c r="H22" s="48" t="str">
        <x:v>99999/99999/99999/99999</x:v>
      </x:c>
      <x:c r="I22" s="48" t="str">
        <x:v>500/500/500/500</x:v>
      </x:c>
      <x:c r="J22" s="48" t="str">
        <x:v>250/250/250/250</x:v>
      </x:c>
      <x:c r="K22" s="48" t="str">
        <x:v>—/—/—/—</x:v>
      </x:c>
      <x:c r="L22" s="48" t="str">
        <x:v>—/—/—/—</x:v>
      </x:c>
      <x:c r="M22" s="48" t="str">
        <x:v>—/—/—/—</x:v>
      </x:c>
      <x:c r="N22" s="48" t="str">
        <x:v>—/—/—/—</x:v>
      </x:c>
      <x:c r="O22" s="48" t="str">
        <x:v>—/—/—/—</x:v>
      </x:c>
      <x:c r="P22" s="48" t="str">
        <x:v>—/—/—/—</x:v>
      </x:c>
      <x:c r="Q22" s="48" t="str">
        <x:v>BNbf/BNbf/BNbf/BNbf</x:v>
      </x:c>
      <x:c r="R22" s="48" t="str">
        <x:v>—/—/—/—</x:v>
      </x:c>
      <x:c r="S22" s="48" t="str">
        <x:v>1 / 75 / 2 / 150 / 3 / 225 / 4 / 300 / 12</x:v>
      </x:c>
      <x:c r="T22" s="48" t="str">
        <x:v>“—”表示 6.48b 对象表该级字段为空；脚本型技能需结合证据说明与来源冲突表。</x:v>
      </x:c>
    </x:row>
    <x:row r="23" ht="34" customHeight="1">
      <x:c r="A23" s="18" t="str">
        <x:v>Hlgr-2</x:v>
      </x:c>
      <x:c r="B23" s="18" t="str">
        <x:v>龙骑士</x:v>
      </x:c>
      <x:c r="C23" s="18" t="str">
        <x:v>Dragon Knight</x:v>
      </x:c>
      <x:c r="D23" s="18" t="str">
        <x:v>Dragon Tail</x:v>
      </x:c>
      <x:c r="E23" s="18" t="str">
        <x:v>A0AR</x:v>
      </x:c>
      <x:c r="F23" s="18" t="str">
        <x:v>AHtb</x:v>
      </x:c>
      <x:c r="G23" s="48" t="str">
        <x:v>25/50/75/100</x:v>
      </x:c>
      <x:c r="H23" s="48" t="str">
        <x:v>—/—/—/—</x:v>
      </x:c>
      <x:c r="I23" s="48" t="str">
        <x:v>—/—/—/—</x:v>
      </x:c>
      <x:c r="J23" s="48" t="str">
        <x:v>—/—/—/—</x:v>
      </x:c>
      <x:c r="K23" s="48" t="str">
        <x:v>—/—/—/—</x:v>
      </x:c>
      <x:c r="L23" s="48" t="str">
        <x:v>—/—/—/—</x:v>
      </x:c>
      <x:c r="M23" s="48" t="str">
        <x:v>—/—/—/—</x:v>
      </x:c>
      <x:c r="N23" s="48" t="str">
        <x:v>—/—/—/—</x:v>
      </x:c>
      <x:c r="O23" s="48" t="str">
        <x:v>—/—/—/—</x:v>
      </x:c>
      <x:c r="P23" s="48" t="str">
        <x:v>—/—/—/—</x:v>
      </x:c>
      <x:c r="Q23" s="48" t="str">
        <x:v>BPSE/BPSE/BPSE/BPSE</x:v>
      </x:c>
      <x:c r="R23" s="48" t="str">
        <x:v>—/—/—/—</x:v>
      </x:c>
      <x:c r="S23" s="48" t="str">
        <x:v>1 / 25 / 2.5 / 2 / 50 / 2.75 / 3 / 75 / 4 / 100 / 3.25 / 9</x:v>
      </x:c>
      <x:c r="T23" s="48" t="str">
        <x:v>“—”表示 6.48b 对象表该级字段为空；脚本型技能需结合证据说明与来源冲突表。</x:v>
      </x:c>
    </x:row>
    <x:row r="24" ht="34" customHeight="1">
      <x:c r="A24" s="18" t="str">
        <x:v>Hlgr-3</x:v>
      </x:c>
      <x:c r="B24" s="18" t="str">
        <x:v>龙骑士</x:v>
      </x:c>
      <x:c r="C24" s="18" t="str">
        <x:v>Dragon Knight</x:v>
      </x:c>
      <x:c r="D24" s="18" t="str">
        <x:v>Dragon Blood</x:v>
      </x:c>
      <x:c r="E24" s="18" t="str">
        <x:v>A0CL</x:v>
      </x:c>
      <x:c r="F24" s="18" t="str">
        <x:v>AUau</x:v>
      </x:c>
      <x:c r="G24" s="48" t="str">
        <x:v>—/—/—/—</x:v>
      </x:c>
      <x:c r="H24" s="48" t="str">
        <x:v>1/2/3/4</x:v>
      </x:c>
      <x:c r="I24" s="48" t="str">
        <x:v>—/—/—/—</x:v>
      </x:c>
      <x:c r="J24" s="48" t="str">
        <x:v>—/—/—/—</x:v>
      </x:c>
      <x:c r="K24" s="48" t="str">
        <x:v>—/—/—/—</x:v>
      </x:c>
      <x:c r="L24" s="48" t="str">
        <x:v>—/—/—/—</x:v>
      </x:c>
      <x:c r="M24" s="48" t="str">
        <x:v>—/—/—/—</x:v>
      </x:c>
      <x:c r="N24" s="48" t="str">
        <x:v>—/—/—/—</x:v>
      </x:c>
      <x:c r="O24" s="48" t="str">
        <x:v>—/—/—/—</x:v>
      </x:c>
      <x:c r="P24" s="48" t="str">
        <x:v>—/—/—/—</x:v>
      </x:c>
      <x:c r="Q24" s="48" t="str">
        <x:v>B04D/B04D/B04D/B04D</x:v>
      </x:c>
      <x:c r="R24" s="48" t="str">
        <x:v>—/—/—/—</x:v>
      </x:c>
      <x:c r="S24" s="48" t="str">
        <x:v>1 / 2 / 4 / 3 / 6 / 8</x:v>
      </x:c>
      <x:c r="T24" s="48" t="str">
        <x:v>“—”表示 6.48b 对象表该级字段为空；脚本型技能需结合证据说明与来源冲突表。</x:v>
      </x:c>
    </x:row>
    <x:row r="25" ht="34" customHeight="1">
      <x:c r="A25" s="18" t="str">
        <x:v>Hlgr-4</x:v>
      </x:c>
      <x:c r="B25" s="18" t="str">
        <x:v>龙骑士</x:v>
      </x:c>
      <x:c r="C25" s="18" t="str">
        <x:v>Dragon Knight</x:v>
      </x:c>
      <x:c r="D25" s="18" t="str">
        <x:v>Elder Dragon Form</x:v>
      </x:c>
      <x:c r="E25" s="18" t="str">
        <x:v>A03G</x:v>
      </x:c>
      <x:c r="F25" s="18" t="str">
        <x:v>AEme</x:v>
      </x:c>
      <x:c r="G25" s="48" t="str">
        <x:v>Hlgr/Hlgr/Hlgr</x:v>
      </x:c>
      <x:c r="H25" s="48" t="str">
        <x:v>7/7/7</x:v>
      </x:c>
      <x:c r="I25" s="48" t="str">
        <x:v>—/—/—</x:v>
      </x:c>
      <x:c r="J25" s="48" t="str">
        <x:v>—/—/—</x:v>
      </x:c>
      <x:c r="K25" s="48" t="str">
        <x:v>—/—/—</x:v>
      </x:c>
      <x:c r="L25" s="48" t="str">
        <x:v>—/—/—</x:v>
      </x:c>
      <x:c r="M25" s="48" t="str">
        <x:v>—/—/—</x:v>
      </x:c>
      <x:c r="N25" s="48" t="str">
        <x:v>—/—/—</x:v>
      </x:c>
      <x:c r="O25" s="48" t="str">
        <x:v>—/—/—</x:v>
      </x:c>
      <x:c r="P25" s="48" t="str">
        <x:v>H00F/H00E/H00G</x:v>
      </x:c>
      <x:c r="Q25" s="48" t="str">
        <x:v>B00Y/B00Z/B010</x:v>
      </x:c>
      <x:c r="R25" s="48" t="str">
        <x:v>—/—/—</x:v>
      </x:c>
      <x:c r="S25" s="48" t="str">
        <x:v>60 / 1 / 2 / 3 / 135 / 10 / 35</x:v>
      </x:c>
      <x:c r="T25" s="48" t="str">
        <x:v>“—”表示 6.48b 对象表该级字段为空；脚本型技能需结合证据说明与来源冲突表。</x:v>
      </x:c>
    </x:row>
    <x:row r="26" ht="34" customHeight="1">
      <x:c r="A26" s="18" t="str">
        <x:v>Edem-1</x:v>
      </x:c>
      <x:c r="B26" s="18" t="str">
        <x:v>敌法师</x:v>
      </x:c>
      <x:c r="C26" s="18" t="str">
        <x:v>Anti-Mage</x:v>
      </x:c>
      <x:c r="D26" s="18" t="str">
        <x:v>Blink</x:v>
      </x:c>
      <x:c r="E26" s="18" t="str">
        <x:v>AEbl</x:v>
      </x:c>
      <x:c r="F26" s="18" t="str">
        <x:v>AEbl</x:v>
      </x:c>
      <x:c r="G26" s="48" t="str">
        <x:v>1000/1075/1150/1150</x:v>
      </x:c>
      <x:c r="H26" s="48" t="str">
        <x:v>200/200/200/200</x:v>
      </x:c>
      <x:c r="I26" s="48" t="str">
        <x:v>—/—/—/—</x:v>
      </x:c>
      <x:c r="J26" s="48" t="str">
        <x:v>—/—/—/—</x:v>
      </x:c>
      <x:c r="K26" s="48" t="str">
        <x:v>—/—/—/—</x:v>
      </x:c>
      <x:c r="L26" s="48" t="str">
        <x:v>—/—/—/—</x:v>
      </x:c>
      <x:c r="M26" s="48" t="str">
        <x:v>—/—/—/—</x:v>
      </x:c>
      <x:c r="N26" s="48" t="str">
        <x:v>—/—/—/—</x:v>
      </x:c>
      <x:c r="O26" s="48" t="str">
        <x:v>—/—/—/—</x:v>
      </x:c>
      <x:c r="P26" s="48" t="str">
        <x:v>—/—/—/—</x:v>
      </x:c>
      <x:c r="Q26" s="48" t="str">
        <x:v>—/—/—/—</x:v>
      </x:c>
      <x:c r="R26" s="48" t="str">
        <x:v>—/—/—/—</x:v>
      </x:c>
      <x:c r="S26" s="48" t="str">
        <x:v>60 / 1 / 12 / 2 / 9 / 3 / 7 / 4 / 5</x:v>
      </x:c>
      <x:c r="T26" s="48" t="str">
        <x:v>“—”表示 6.48b 对象表该级字段为空；脚本型技能需结合证据说明与来源冲突表。</x:v>
      </x:c>
    </x:row>
    <x:row r="27" ht="34" customHeight="1">
      <x:c r="A27" s="18" t="str">
        <x:v>Edem-2</x:v>
      </x:c>
      <x:c r="B27" s="18" t="str">
        <x:v>敌法师</x:v>
      </x:c>
      <x:c r="C27" s="18" t="str">
        <x:v>Anti-Mage</x:v>
      </x:c>
      <x:c r="D27" s="18" t="str">
        <x:v>Spell Shield</x:v>
      </x:c>
      <x:c r="E27" s="18" t="str">
        <x:v>A0KY</x:v>
      </x:c>
      <x:c r="F27" s="18" t="str">
        <x:v>AIdd</x:v>
      </x:c>
      <x:c r="G27" s="48" t="str">
        <x:v>1/1/1/—</x:v>
      </x:c>
      <x:c r="H27" s="48" t="str">
        <x:v>1/1/1/—</x:v>
      </x:c>
      <x:c r="I27" s="48" t="str">
        <x:v>—/—/—/—</x:v>
      </x:c>
      <x:c r="J27" s="48" t="str">
        <x:v>—/—/—/—</x:v>
      </x:c>
      <x:c r="K27" s="48" t="str">
        <x:v>0.9/0.8/0.7/—</x:v>
      </x:c>
      <x:c r="L27" s="48" t="str">
        <x:v>—/—/—/—</x:v>
      </x:c>
      <x:c r="M27" s="48" t="str">
        <x:v>1/1/1/—</x:v>
      </x:c>
      <x:c r="N27" s="48" t="str">
        <x:v>1/1/1/—</x:v>
      </x:c>
      <x:c r="O27" s="48" t="str">
        <x:v>—/—/—/—</x:v>
      </x:c>
      <x:c r="P27" s="48" t="str">
        <x:v>—/—/—/—</x:v>
      </x:c>
      <x:c r="Q27" s="48" t="str">
        <x:v>—/—/—/—</x:v>
      </x:c>
      <x:c r="R27" s="48" t="str">
        <x:v>—/—/—/—</x:v>
      </x:c>
      <x:c r="S27" s="48" t="str">
        <x:v>1 / 10% / 2 / 20% / 3 / 30% / 4 / 40%</x:v>
      </x:c>
      <x:c r="T27" s="48" t="str">
        <x:v>“—”表示 6.48b 对象表该级字段为空；脚本型技能需结合证据说明与来源冲突表。</x:v>
      </x:c>
    </x:row>
    <x:row r="28" ht="34" customHeight="1">
      <x:c r="A28" s="18" t="str">
        <x:v>Edem-3</x:v>
      </x:c>
      <x:c r="B28" s="18" t="str">
        <x:v>敌法师</x:v>
      </x:c>
      <x:c r="C28" s="18" t="str">
        <x:v>Anti-Mage</x:v>
      </x:c>
      <x:c r="D28" s="18" t="str">
        <x:v>Mana Void</x:v>
      </x:c>
      <x:c r="E28" s="18" t="str">
        <x:v>A0E3</x:v>
      </x:c>
      <x:c r="F28" s="18" t="str">
        <x:v>AHtb</x:v>
      </x:c>
      <x:c r="G28" s="48" t="str">
        <x:v>—/—/—</x:v>
      </x:c>
      <x:c r="H28" s="48" t="str">
        <x:v>—/—/—</x:v>
      </x:c>
      <x:c r="I28" s="48" t="str">
        <x:v>—/—/—</x:v>
      </x:c>
      <x:c r="J28" s="48" t="str">
        <x:v>—/—/—</x:v>
      </x:c>
      <x:c r="K28" s="48" t="str">
        <x:v>—/—/—</x:v>
      </x:c>
      <x:c r="L28" s="48" t="str">
        <x:v>—/—/—</x:v>
      </x:c>
      <x:c r="M28" s="48" t="str">
        <x:v>—/—/—</x:v>
      </x:c>
      <x:c r="N28" s="48" t="str">
        <x:v>—/—/—</x:v>
      </x:c>
      <x:c r="O28" s="48" t="str">
        <x:v>—/—/—</x:v>
      </x:c>
      <x:c r="P28" s="48" t="str">
        <x:v>—/—/—</x:v>
      </x:c>
      <x:c r="Q28" s="48" t="str">
        <x:v>BPSE/BPSE/BPSE</x:v>
      </x:c>
      <x:c r="R28" s="48" t="str">
        <x:v>—/—/—</x:v>
      </x:c>
      <x:c r="S28" s="48" t="str">
        <x:v>1 / 6 / 2 / 85 / 3 / 1.1 / 120</x:v>
      </x:c>
      <x:c r="T28" s="48" t="str">
        <x:v>“—”表示 6.48b 对象表该级字段为空；脚本型技能需结合证据说明与来源冲突表。</x:v>
      </x:c>
    </x:row>
    <x:row r="29" ht="34" customHeight="1">
      <x:c r="A29" s="18" t="str">
        <x:v>Edem-4</x:v>
      </x:c>
      <x:c r="B29" s="18" t="str">
        <x:v>敌法师</x:v>
      </x:c>
      <x:c r="C29" s="18" t="str">
        <x:v>Anti-Mage</x:v>
      </x:c>
      <x:c r="D29" s="18" t="str">
        <x:v>Mana Break</x:v>
      </x:c>
      <x:c r="E29" s="18" t="str">
        <x:v>A022</x:v>
      </x:c>
      <x:c r="F29" s="18" t="str">
        <x:v>Afbk</x:v>
      </x:c>
      <x:c r="G29" s="48" t="str">
        <x:v>16/32/48/—</x:v>
      </x:c>
      <x:c r="H29" s="48" t="str">
        <x:v>0.6/0.6/0.6/—</x:v>
      </x:c>
      <x:c r="I29" s="48" t="str">
        <x:v>16/32/48/—</x:v>
      </x:c>
      <x:c r="J29" s="48" t="str">
        <x:v>0.6/0.6/0.6/—</x:v>
      </x:c>
      <x:c r="K29" s="48" t="str">
        <x:v>—/—/—/—</x:v>
      </x:c>
      <x:c r="L29" s="48" t="str">
        <x:v>—/—/—/—</x:v>
      </x:c>
      <x:c r="M29" s="48" t="str">
        <x:v>—/—/—/—</x:v>
      </x:c>
      <x:c r="N29" s="48" t="str">
        <x:v>—/—/—/—</x:v>
      </x:c>
      <x:c r="O29" s="48" t="str">
        <x:v>—/—/—/—</x:v>
      </x:c>
      <x:c r="P29" s="48" t="str">
        <x:v>—/—/—/—</x:v>
      </x:c>
      <x:c r="Q29" s="48" t="str">
        <x:v>—/—/—/—</x:v>
      </x:c>
      <x:c r="R29" s="48" t="str">
        <x:v>—/—/—/—</x:v>
      </x:c>
      <x:c r="S29" s="48" t="str">
        <x:v>1 / 16 / 2 / 32 / 3 / 48 / 4 / 64</x:v>
      </x:c>
      <x:c r="T29" s="48" t="str">
        <x:v>“—”表示 6.48b 对象表该级字段为空；脚本型技能需结合证据说明与来源冲突表。</x:v>
      </x:c>
    </x:row>
    <x:row r="30" ht="34" customHeight="1">
      <x:c r="A30" s="18" t="str">
        <x:v>Usyl-1</x:v>
      </x:c>
      <x:c r="B30" s="18" t="str">
        <x:v>矮人狙击手</x:v>
      </x:c>
      <x:c r="C30" s="18" t="str">
        <x:v>Dwarven Sniper</x:v>
      </x:c>
      <x:c r="D30" s="18" t="str">
        <x:v>ScatterShot</x:v>
      </x:c>
      <x:c r="E30" s="18" t="str">
        <x:v>A064</x:v>
      </x:c>
      <x:c r="F30" s="18" t="str">
        <x:v>AHbz</x:v>
      </x:c>
      <x:c r="G30" s="48" t="str">
        <x:v>1/1/1/1</x:v>
      </x:c>
      <x:c r="H30" s="48" t="str">
        <x:v>—/—/—/—</x:v>
      </x:c>
      <x:c r="I30" s="48" t="str">
        <x:v>1/1/1/1</x:v>
      </x:c>
      <x:c r="J30" s="48" t="str">
        <x:v>0.5/0.5/0.5/0.5</x:v>
      </x:c>
      <x:c r="K30" s="48" t="str">
        <x:v>—/—/—/—</x:v>
      </x:c>
      <x:c r="L30" s="48" t="str">
        <x:v>—/—/—/—</x:v>
      </x:c>
      <x:c r="M30" s="48" t="str">
        <x:v>—/—/—/—</x:v>
      </x:c>
      <x:c r="N30" s="48" t="str">
        <x:v>—/—/—/—</x:v>
      </x:c>
      <x:c r="O30" s="48" t="str">
        <x:v>—/—/—/—</x:v>
      </x:c>
      <x:c r="P30" s="48" t="str">
        <x:v>—/—/—/—</x:v>
      </x:c>
      <x:c r="Q30" s="48" t="str">
        <x:v>BHbd,BHbz/BHbd,BHbz/BHbd,BHbz/BHbd,BHbz</x:v>
      </x:c>
      <x:c r="R30" s="48" t="str">
        <x:v>—/—/—/—</x:v>
      </x:c>
      <x:c r="S30" s="48" t="str">
        <x:v>10 / -35 / 200 / 1 / 8 / 2 / 12 / 3 / 16 / 4 / 20 / 13</x:v>
      </x:c>
      <x:c r="T30" s="48" t="str">
        <x:v>“—”表示 6.48b 对象表该级字段为空；脚本型技能需结合证据说明与来源冲突表。</x:v>
      </x:c>
    </x:row>
    <x:row r="31" ht="34" customHeight="1">
      <x:c r="A31" s="18" t="str">
        <x:v>Usyl-2</x:v>
      </x:c>
      <x:c r="B31" s="18" t="str">
        <x:v>矮人狙击手</x:v>
      </x:c>
      <x:c r="C31" s="18" t="str">
        <x:v>Dwarven Sniper</x:v>
      </x:c>
      <x:c r="D31" s="18" t="str">
        <x:v>Headshot</x:v>
      </x:c>
      <x:c r="E31" s="18" t="str">
        <x:v>A03S</x:v>
      </x:c>
      <x:c r="F31" s="18" t="str">
        <x:v>AHbh</x:v>
      </x:c>
      <x:c r="G31" s="48" t="str">
        <x:v>25/30/35/40</x:v>
      </x:c>
      <x:c r="H31" s="48" t="str">
        <x:v>—/—/—/—</x:v>
      </x:c>
      <x:c r="I31" s="48" t="str">
        <x:v>30/30/40/50</x:v>
      </x:c>
      <x:c r="J31" s="48" t="str">
        <x:v>—/—/—/—</x:v>
      </x:c>
      <x:c r="K31" s="48" t="str">
        <x:v>—/—/—/—</x:v>
      </x:c>
      <x:c r="L31" s="48" t="str">
        <x:v>—/—/—/—</x:v>
      </x:c>
      <x:c r="M31" s="48" t="str">
        <x:v>—/—/—/—</x:v>
      </x:c>
      <x:c r="N31" s="48" t="str">
        <x:v>—/—/—/—</x:v>
      </x:c>
      <x:c r="O31" s="48" t="str">
        <x:v>—/—/—/—</x:v>
      </x:c>
      <x:c r="P31" s="48" t="str">
        <x:v>—/—/—/—</x:v>
      </x:c>
      <x:c r="Q31" s="48" t="str">
        <x:v>BPSE/BPSE/BPSE/BPSE</x:v>
      </x:c>
      <x:c r="R31" s="48" t="str">
        <x:v>—/—/—/—</x:v>
      </x:c>
      <x:c r="S31" s="48" t="str">
        <x:v>1 / 30 / 25% / 2 / 30% / 3 / 40 / 35% / 4 / 50 / 40% / 01</x:v>
      </x:c>
      <x:c r="T31" s="48" t="str">
        <x:v>“—”表示 6.48b 对象表该级字段为空；脚本型技能需结合证据说明与来源冲突表。</x:v>
      </x:c>
    </x:row>
    <x:row r="32" ht="34" customHeight="1">
      <x:c r="A32" s="18" t="str">
        <x:v>Usyl-3</x:v>
      </x:c>
      <x:c r="B32" s="18" t="str">
        <x:v>矮人狙击手</x:v>
      </x:c>
      <x:c r="C32" s="18" t="str">
        <x:v>Dwarven Sniper</x:v>
      </x:c>
      <x:c r="D32" s="18" t="str">
        <x:v>Take Aim</x:v>
      </x:c>
      <x:c r="E32" s="18" t="str">
        <x:v>A03U</x:v>
      </x:c>
      <x:c r="F32" s="18" t="str">
        <x:v>Amgl</x:v>
      </x:c>
      <x:c r="G32" s="48" t="str">
        <x:v>—/—/—/—</x:v>
      </x:c>
      <x:c r="H32" s="48" t="str">
        <x:v>—/—/—/—</x:v>
      </x:c>
      <x:c r="I32" s="48" t="str">
        <x:v>—/—/—/—</x:v>
      </x:c>
      <x:c r="J32" s="48" t="str">
        <x:v>—/—/—/—</x:v>
      </x:c>
      <x:c r="K32" s="48" t="str">
        <x:v>—/—/—/—</x:v>
      </x:c>
      <x:c r="L32" s="48" t="str">
        <x:v>—/—/—/—</x:v>
      </x:c>
      <x:c r="M32" s="48" t="str">
        <x:v>—/—/—/—</x:v>
      </x:c>
      <x:c r="N32" s="48" t="str">
        <x:v>—/—/—/—</x:v>
      </x:c>
      <x:c r="O32" s="48" t="str">
        <x:v>—/—/—/—</x:v>
      </x:c>
      <x:c r="P32" s="48" t="str">
        <x:v>—/—/—/—</x:v>
      </x:c>
      <x:c r="Q32" s="48" t="str">
        <x:v>—/—/—/—</x:v>
      </x:c>
      <x:c r="R32" s="48" t="str">
        <x:v>—/—/—/—</x:v>
      </x:c>
      <x:c r="S32" s="48" t="str">
        <x:v>1 / 55 / 2 / 110 / 3 / 165 / 4 / 220</x:v>
      </x:c>
      <x:c r="T32" s="48" t="str">
        <x:v>“—”表示 6.48b 对象表该级字段为空；脚本型技能需结合证据说明与来源冲突表。</x:v>
      </x:c>
    </x:row>
    <x:row r="33" ht="34" customHeight="1">
      <x:c r="A33" s="18" t="str">
        <x:v>Usyl-4</x:v>
      </x:c>
      <x:c r="B33" s="18" t="str">
        <x:v>矮人狙击手</x:v>
      </x:c>
      <x:c r="C33" s="18" t="str">
        <x:v>Dwarven Sniper</x:v>
      </x:c>
      <x:c r="D33" s="18" t="str">
        <x:v>Assassinate</x:v>
      </x:c>
      <x:c r="E33" s="18" t="str">
        <x:v>A04P</x:v>
      </x:c>
      <x:c r="F33" s="18" t="str">
        <x:v>AHtb</x:v>
      </x:c>
      <x:c r="G33" s="48" t="str">
        <x:v>355/505/655</x:v>
      </x:c>
      <x:c r="H33" s="48" t="str">
        <x:v>—/—/—</x:v>
      </x:c>
      <x:c r="I33" s="48" t="str">
        <x:v>—/—/—</x:v>
      </x:c>
      <x:c r="J33" s="48" t="str">
        <x:v>—/—/—</x:v>
      </x:c>
      <x:c r="K33" s="48" t="str">
        <x:v>—/—/—</x:v>
      </x:c>
      <x:c r="L33" s="48" t="str">
        <x:v>—/—/—</x:v>
      </x:c>
      <x:c r="M33" s="48" t="str">
        <x:v>—/—/—</x:v>
      </x:c>
      <x:c r="N33" s="48" t="str">
        <x:v>—/—/—</x:v>
      </x:c>
      <x:c r="O33" s="48" t="str">
        <x:v>—/—/—</x:v>
      </x:c>
      <x:c r="P33" s="48" t="str">
        <x:v>—/—/—</x:v>
      </x:c>
      <x:c r="Q33" s="48" t="str">
        <x:v>BPSE/BPSE/BPSE</x:v>
      </x:c>
      <x:c r="R33" s="48" t="str">
        <x:v>—/—/—</x:v>
      </x:c>
      <x:c r="S33" s="48" t="str">
        <x:v>1 / 355 / 1500 / 2 / 505 / 2000 / 3 / 655 / 2500 / 30 / 20 / 10 / 4</x:v>
      </x:c>
      <x:c r="T33" s="48" t="str">
        <x:v>“—”表示 6.48b 对象表该级字段为空；脚本型技能需结合证据说明与来源冲突表。</x:v>
      </x:c>
    </x:row>
    <x:row r="34" ht="34" customHeight="1">
      <x:c r="A34" s="18" t="str">
        <x:v>Harf-1</x:v>
      </x:c>
      <x:c r="B34" s="18" t="str">
        <x:v>全能骑士</x:v>
      </x:c>
      <x:c r="C34" s="18" t="str">
        <x:v>Omniknight</x:v>
      </x:c>
      <x:c r="D34" s="18" t="str">
        <x:v>Purification</x:v>
      </x:c>
      <x:c r="E34" s="18" t="str">
        <x:v>A08N</x:v>
      </x:c>
      <x:c r="F34" s="18" t="str">
        <x:v>AUfa</x:v>
      </x:c>
      <x:c r="G34" s="48" t="str">
        <x:v>0.02/0.02/0.02/0.02</x:v>
      </x:c>
      <x:c r="H34" s="48" t="str">
        <x:v>—/—/—/—</x:v>
      </x:c>
      <x:c r="I34" s="48" t="str">
        <x:v>—/—/—/—</x:v>
      </x:c>
      <x:c r="J34" s="48" t="str">
        <x:v>—/—/—/—</x:v>
      </x:c>
      <x:c r="K34" s="48" t="str">
        <x:v>—/—/—/—</x:v>
      </x:c>
      <x:c r="L34" s="48" t="str">
        <x:v>—/—/—/—</x:v>
      </x:c>
      <x:c r="M34" s="48" t="str">
        <x:v>—/—/—/—</x:v>
      </x:c>
      <x:c r="N34" s="48" t="str">
        <x:v>—/—/—/—</x:v>
      </x:c>
      <x:c r="O34" s="48" t="str">
        <x:v>—/—/—/—</x:v>
      </x:c>
      <x:c r="P34" s="48" t="str">
        <x:v>—/—/—/—</x:v>
      </x:c>
      <x:c r="Q34" s="48" t="str">
        <x:v>BUfa/BUfa/BUfa/BUfa</x:v>
      </x:c>
      <x:c r="R34" s="48" t="str">
        <x:v>—/—/—/—</x:v>
      </x:c>
      <x:c r="S34" s="48" t="str">
        <x:v>1 / 90 / 2 / 180 / 3 / 270 / 4 / 360 / 12</x:v>
      </x:c>
      <x:c r="T34" s="48" t="str">
        <x:v>“—”表示 6.48b 对象表该级字段为空；脚本型技能需结合证据说明与来源冲突表。</x:v>
      </x:c>
    </x:row>
    <x:row r="35" ht="34" customHeight="1">
      <x:c r="A35" s="18" t="str">
        <x:v>Harf-2</x:v>
      </x:c>
      <x:c r="B35" s="18" t="str">
        <x:v>全能骑士</x:v>
      </x:c>
      <x:c r="C35" s="18" t="str">
        <x:v>Omniknight</x:v>
      </x:c>
      <x:c r="D35" s="18" t="str">
        <x:v>Repel</x:v>
      </x:c>
      <x:c r="E35" s="18" t="str">
        <x:v>A08V</x:v>
      </x:c>
      <x:c r="F35" s="18" t="str">
        <x:v>Aams</x:v>
      </x:c>
      <x:c r="G35" s="48" t="str">
        <x:v>—/—/—/—</x:v>
      </x:c>
      <x:c r="H35" s="48" t="str">
        <x:v>—/—/—/—</x:v>
      </x:c>
      <x:c r="I35" s="48" t="str">
        <x:v>—/—/—/—</x:v>
      </x:c>
      <x:c r="J35" s="48" t="str">
        <x:v>—/—/—/—</x:v>
      </x:c>
      <x:c r="K35" s="48" t="str">
        <x:v>—/—/—/—</x:v>
      </x:c>
      <x:c r="L35" s="48" t="str">
        <x:v>—/—/—/—</x:v>
      </x:c>
      <x:c r="M35" s="48" t="str">
        <x:v>—/—/—/—</x:v>
      </x:c>
      <x:c r="N35" s="48" t="str">
        <x:v>—/—/—/—</x:v>
      </x:c>
      <x:c r="O35" s="48" t="str">
        <x:v>—/—/—/—</x:v>
      </x:c>
      <x:c r="P35" s="48" t="str">
        <x:v>—/—/—/—</x:v>
      </x:c>
      <x:c r="Q35" s="48" t="str">
        <x:v>B014,Bam2/B014,Bam2/B014,Bam2/—</x:v>
      </x:c>
      <x:c r="R35" s="48" t="str">
        <x:v>—/—/—/—</x:v>
      </x:c>
      <x:c r="S35" s="48" t="str">
        <x:v>1 / 5 / 2 / 10 / 3 / 15 / 4 / 20</x:v>
      </x:c>
      <x:c r="T35" s="48" t="str">
        <x:v>“—”表示 6.48b 对象表该级字段为空；脚本型技能需结合证据说明与来源冲突表。</x:v>
      </x:c>
    </x:row>
    <x:row r="36" ht="34" customHeight="1">
      <x:c r="A36" s="18" t="str">
        <x:v>Harf-3</x:v>
      </x:c>
      <x:c r="B36" s="18" t="str">
        <x:v>全能骑士</x:v>
      </x:c>
      <x:c r="C36" s="18" t="str">
        <x:v>Omniknight</x:v>
      </x:c>
      <x:c r="D36" s="18" t="str">
        <x:v>Degen Aura</x:v>
      </x:c>
      <x:c r="E36" s="18" t="str">
        <x:v>A06A</x:v>
      </x:c>
      <x:c r="F36" s="18" t="str">
        <x:v>AOae</x:v>
      </x:c>
      <x:c r="G36" s="48" t="str">
        <x:v>-0.07/-0.14/-0.21/-0.28</x:v>
      </x:c>
      <x:c r="H36" s="48" t="str">
        <x:v>—/—/—/—</x:v>
      </x:c>
      <x:c r="I36" s="48" t="str">
        <x:v>—/—/—/—</x:v>
      </x:c>
      <x:c r="J36" s="48" t="str">
        <x:v>—/—/—/—</x:v>
      </x:c>
      <x:c r="K36" s="48" t="str">
        <x:v>—/—/—/—</x:v>
      </x:c>
      <x:c r="L36" s="48" t="str">
        <x:v>—/—/—/—</x:v>
      </x:c>
      <x:c r="M36" s="48" t="str">
        <x:v>—/—/—/—</x:v>
      </x:c>
      <x:c r="N36" s="48" t="str">
        <x:v>—/—/—/—</x:v>
      </x:c>
      <x:c r="O36" s="48" t="str">
        <x:v>—/—/—/—</x:v>
      </x:c>
      <x:c r="P36" s="48" t="str">
        <x:v>—/—/—/—</x:v>
      </x:c>
      <x:c r="Q36" s="48" t="str">
        <x:v>B01B/B01B/B01B/B01B</x:v>
      </x:c>
      <x:c r="R36" s="48" t="str">
        <x:v>—/—/—/—</x:v>
      </x:c>
      <x:c r="S36" s="48" t="str">
        <x:v>1 / 7% / 2 / 14% / 3 / 21% / 4 / 28%</x:v>
      </x:c>
      <x:c r="T36" s="48" t="str">
        <x:v>“—”表示 6.48b 对象表该级字段为空；脚本型技能需结合证据说明与来源冲突表。</x:v>
      </x:c>
    </x:row>
    <x:row r="37" ht="34" customHeight="1">
      <x:c r="A37" s="18" t="str">
        <x:v>Harf-4</x:v>
      </x:c>
      <x:c r="B37" s="18" t="str">
        <x:v>全能骑士</x:v>
      </x:c>
      <x:c r="C37" s="18" t="str">
        <x:v>Omniknight</x:v>
      </x:c>
      <x:c r="D37" s="18" t="str">
        <x:v>Guardian Angel</x:v>
      </x:c>
      <x:c r="E37" s="18" t="str">
        <x:v>A0ER</x:v>
      </x:c>
      <x:c r="F37" s="18" t="str">
        <x:v>ANbr</x:v>
      </x:c>
      <x:c r="G37" s="48" t="str">
        <x:v>—/—/—</x:v>
      </x:c>
      <x:c r="H37" s="48" t="str">
        <x:v>1000/1000/1000</x:v>
      </x:c>
      <x:c r="I37" s="48" t="str">
        <x:v>25/25/25</x:v>
      </x:c>
      <x:c r="J37" s="48" t="str">
        <x:v>—/—/—</x:v>
      </x:c>
      <x:c r="K37" s="48" t="str">
        <x:v>—/—/—</x:v>
      </x:c>
      <x:c r="L37" s="48" t="str">
        <x:v>—/—/—</x:v>
      </x:c>
      <x:c r="M37" s="48" t="str">
        <x:v>—/—/—</x:v>
      </x:c>
      <x:c r="N37" s="48" t="str">
        <x:v>—/—/—</x:v>
      </x:c>
      <x:c r="O37" s="48" t="str">
        <x:v>—/—/—</x:v>
      </x:c>
      <x:c r="P37" s="48" t="str">
        <x:v>—/—/—</x:v>
      </x:c>
      <x:c r="Q37" s="48" t="str">
        <x:v>B00G/B00G/B00G</x:v>
      </x:c>
      <x:c r="R37" s="48" t="str">
        <x:v>—/—/—</x:v>
      </x:c>
      <x:c r="S37" s="48" t="str">
        <x:v>1 / 5 / 2 / 7 / 3 / 9 / 150 / 4</x:v>
      </x:c>
      <x:c r="T37" s="48" t="str">
        <x:v>“—”表示 6.48b 对象表该级字段为空；脚本型技能需结合证据说明与来源冲突表。</x:v>
      </x:c>
    </x:row>
    <x:row r="38" ht="34" customHeight="1">
      <x:c r="A38" s="18" t="str">
        <x:v>N016-1</x:v>
      </x:c>
      <x:c r="B38" s="18" t="str">
        <x:v>巨魔战将</x:v>
      </x:c>
      <x:c r="C38" s="18" t="str">
        <x:v>Troll Warlord</x:v>
      </x:c>
      <x:c r="D38" s="18" t="str">
        <x:v>Blind</x:v>
      </x:c>
      <x:c r="E38" s="18" t="str">
        <x:v>A0BC</x:v>
      </x:c>
      <x:c r="F38" s="18" t="str">
        <x:v>Acrs</x:v>
      </x:c>
      <x:c r="G38" s="48" t="str">
        <x:v>0.15/0.24/0.33/—</x:v>
      </x:c>
      <x:c r="H38" s="48" t="str">
        <x:v>—/—/—/—</x:v>
      </x:c>
      <x:c r="I38" s="48" t="str">
        <x:v>—/—/—/—</x:v>
      </x:c>
      <x:c r="J38" s="48" t="str">
        <x:v>—/—/—/—</x:v>
      </x:c>
      <x:c r="K38" s="48" t="str">
        <x:v>—/—/—/—</x:v>
      </x:c>
      <x:c r="L38" s="48" t="str">
        <x:v>—/—/—/—</x:v>
      </x:c>
      <x:c r="M38" s="48" t="str">
        <x:v>—/—/—/—</x:v>
      </x:c>
      <x:c r="N38" s="48" t="str">
        <x:v>—/—/—/—</x:v>
      </x:c>
      <x:c r="O38" s="48" t="str">
        <x:v>—/—/—/—</x:v>
      </x:c>
      <x:c r="P38" s="48" t="str">
        <x:v>—/—/—/—</x:v>
      </x:c>
      <x:c r="Q38" s="48" t="str">
        <x:v>B00C/B00C/B00C/—</x:v>
      </x:c>
      <x:c r="R38" s="48" t="str">
        <x:v>—/—/—/—</x:v>
      </x:c>
      <x:c r="S38" s="48" t="str">
        <x:v>15 / 1 / 15% / 2 / 24% / 3 / 33% / 4 / 42% / 8</x:v>
      </x:c>
      <x:c r="T38" s="48" t="str">
        <x:v>“—”表示 6.48b 对象表该级字段为空；脚本型技能需结合证据说明与来源冲突表。</x:v>
      </x:c>
    </x:row>
    <x:row r="39" ht="34" customHeight="1">
      <x:c r="A39" s="18" t="str">
        <x:v>N016-2</x:v>
      </x:c>
      <x:c r="B39" s="18" t="str">
        <x:v>巨魔战将</x:v>
      </x:c>
      <x:c r="C39" s="18" t="str">
        <x:v>Troll Warlord</x:v>
      </x:c>
      <x:c r="D39" s="18" t="str">
        <x:v>Fervor</x:v>
      </x:c>
      <x:c r="E39" s="18" t="str">
        <x:v>A0BD</x:v>
      </x:c>
      <x:c r="F39" s="18" t="str">
        <x:v>AOae</x:v>
      </x:c>
      <x:c r="G39" s="48" t="str">
        <x:v>—/—/—/—</x:v>
      </x:c>
      <x:c r="H39" s="48" t="str">
        <x:v>0.05/0.15/0.2/0.3</x:v>
      </x:c>
      <x:c r="I39" s="48" t="str">
        <x:v>—/—/—/—</x:v>
      </x:c>
      <x:c r="J39" s="48" t="str">
        <x:v>—/—/—/—</x:v>
      </x:c>
      <x:c r="K39" s="48" t="str">
        <x:v>—/—/—/—</x:v>
      </x:c>
      <x:c r="L39" s="48" t="str">
        <x:v>—/—/—/—</x:v>
      </x:c>
      <x:c r="M39" s="48" t="str">
        <x:v>—/—/—/—</x:v>
      </x:c>
      <x:c r="N39" s="48" t="str">
        <x:v>—/—/—/—</x:v>
      </x:c>
      <x:c r="O39" s="48" t="str">
        <x:v>—/—/—/—</x:v>
      </x:c>
      <x:c r="P39" s="48" t="str">
        <x:v>—/—/—/—</x:v>
      </x:c>
      <x:c r="Q39" s="48" t="str">
        <x:v>B00E/B00E/B00E/B00E</x:v>
      </x:c>
      <x:c r="R39" s="48" t="str">
        <x:v>—/—/—/—</x:v>
      </x:c>
      <x:c r="S39" s="48" t="str">
        <x:v>1 / 5% / 2 / 15% / 3 / 20% / 4 / 30%</x:v>
      </x:c>
      <x:c r="T39" s="48" t="str">
        <x:v>“—”表示 6.48b 对象表该级字段为空；脚本型技能需结合证据说明与来源冲突表。</x:v>
      </x:c>
    </x:row>
    <x:row r="40" ht="34" customHeight="1">
      <x:c r="A40" s="18" t="str">
        <x:v>N016-3</x:v>
      </x:c>
      <x:c r="B40" s="18" t="str">
        <x:v>巨魔战将</x:v>
      </x:c>
      <x:c r="C40" s="18" t="str">
        <x:v>Troll Warlord</x:v>
      </x:c>
      <x:c r="D40" s="18" t="str">
        <x:v>Rampage</x:v>
      </x:c>
      <x:c r="E40" s="18" t="str">
        <x:v>A0BB</x:v>
      </x:c>
      <x:c r="F40" s="18" t="str">
        <x:v>Absk</x:v>
      </x:c>
      <x:c r="G40" s="48" t="str">
        <x:v>0.07/0.09/0.11</x:v>
      </x:c>
      <x:c r="H40" s="48" t="str">
        <x:v>0.4/0.8/1.2</x:v>
      </x:c>
      <x:c r="I40" s="48" t="str">
        <x:v>—/—/—</x:v>
      </x:c>
      <x:c r="J40" s="48" t="str">
        <x:v>—/—/—</x:v>
      </x:c>
      <x:c r="K40" s="48" t="str">
        <x:v>—/—/—</x:v>
      </x:c>
      <x:c r="L40" s="48" t="str">
        <x:v>—/—/—</x:v>
      </x:c>
      <x:c r="M40" s="48" t="str">
        <x:v>—/—/—</x:v>
      </x:c>
      <x:c r="N40" s="48" t="str">
        <x:v>—/—/—</x:v>
      </x:c>
      <x:c r="O40" s="48" t="str">
        <x:v>—/—/—</x:v>
      </x:c>
      <x:c r="P40" s="48" t="str">
        <x:v>—/—/—</x:v>
      </x:c>
      <x:c r="Q40" s="48" t="str">
        <x:v>B00B/B00B/B00B</x:v>
      </x:c>
      <x:c r="R40" s="48" t="str">
        <x:v>—/—/—</x:v>
      </x:c>
      <x:c r="S40" s="48" t="str">
        <x:v>30 / 1 / 40% / 7% / 2 / 80% / 9% / 3 / 120% / 11% / 90 / 80 / 70</x:v>
      </x:c>
      <x:c r="T40" s="48" t="str">
        <x:v>“—”表示 6.48b 对象表该级字段为空；脚本型技能需结合证据说明与来源冲突表。</x:v>
      </x:c>
    </x:row>
    <x:row r="41" ht="34" customHeight="1">
      <x:c r="A41" s="18" t="str">
        <x:v>N016-4</x:v>
      </x:c>
      <x:c r="B41" s="18" t="str">
        <x:v>巨魔战将</x:v>
      </x:c>
      <x:c r="C41" s="18" t="str">
        <x:v>Troll Warlord</x:v>
      </x:c>
      <x:c r="D41" s="18" t="str">
        <x:v>Berserker Rage</x:v>
      </x:c>
      <x:c r="E41" s="18" t="str">
        <x:v>A0BE</x:v>
      </x:c>
      <x:c r="F41" s="18" t="str">
        <x:v>Abrf</x:v>
      </x:c>
      <x:c r="G41" s="48" t="str">
        <x:v>N016/N016/N016/—</x:v>
      </x:c>
      <x:c r="H41" s="48" t="str">
        <x:v>1/1/1/—</x:v>
      </x:c>
      <x:c r="I41" s="48" t="str">
        <x:v>—/—/—/—</x:v>
      </x:c>
      <x:c r="J41" s="48" t="str">
        <x:v>—/—/—/—</x:v>
      </x:c>
      <x:c r="K41" s="48" t="str">
        <x:v>—/—/—/—</x:v>
      </x:c>
      <x:c r="L41" s="48" t="str">
        <x:v>—/—/—/—</x:v>
      </x:c>
      <x:c r="M41" s="48" t="str">
        <x:v>—/—/—/—</x:v>
      </x:c>
      <x:c r="N41" s="48" t="str">
        <x:v>—/—/—/—</x:v>
      </x:c>
      <x:c r="O41" s="48" t="str">
        <x:v>—/—/—/—</x:v>
      </x:c>
      <x:c r="P41" s="48" t="str">
        <x:v>N017/N017/N017/—</x:v>
      </x:c>
      <x:c r="Q41" s="48" t="str">
        <x:v>—/—/—/—</x:v>
      </x:c>
      <x:c r="R41" s="48" t="str">
        <x:v>—/—/—/—</x:v>
      </x:c>
      <x:c r="S41" s="48" t="str">
        <x:v>1 / 5% / 25 / 2 / 50 / 3 / 10% / 4</x:v>
      </x:c>
      <x:c r="T41" s="48" t="str">
        <x:v>“—”表示 6.48b 对象表该级字段为空；脚本型技能需结合证据说明与来源冲突表。</x:v>
      </x:c>
    </x:row>
    <x:row r="42" ht="34" customHeight="1">
      <x:c r="A42" s="18" t="str">
        <x:v>Naka-1</x:v>
      </x:c>
      <x:c r="B42" s="18" t="str">
        <x:v>赏金猎人</x:v>
      </x:c>
      <x:c r="C42" s="18" t="str">
        <x:v>Bounty Hunter</x:v>
      </x:c>
      <x:c r="D42" s="18" t="str">
        <x:v>Shuriken Toss</x:v>
      </x:c>
      <x:c r="E42" s="18" t="str">
        <x:v>A004</x:v>
      </x:c>
      <x:c r="F42" s="18" t="str">
        <x:v>AHtb</x:v>
      </x:c>
      <x:c r="G42" s="48" t="str">
        <x:v>100/200/250/325</x:v>
      </x:c>
      <x:c r="H42" s="48" t="str">
        <x:v>—/—/—/—</x:v>
      </x:c>
      <x:c r="I42" s="48" t="str">
        <x:v>—/—/—/—</x:v>
      </x:c>
      <x:c r="J42" s="48" t="str">
        <x:v>—/—/—/—</x:v>
      </x:c>
      <x:c r="K42" s="48" t="str">
        <x:v>—/—/—/—</x:v>
      </x:c>
      <x:c r="L42" s="48" t="str">
        <x:v>—/—/—/—</x:v>
      </x:c>
      <x:c r="M42" s="48" t="str">
        <x:v>—/—/—/—</x:v>
      </x:c>
      <x:c r="N42" s="48" t="str">
        <x:v>—/—/—/—</x:v>
      </x:c>
      <x:c r="O42" s="48" t="str">
        <x:v>—/—/—/—</x:v>
      </x:c>
      <x:c r="P42" s="48" t="str">
        <x:v>—/—/—/—</x:v>
      </x:c>
      <x:c r="Q42" s="48" t="str">
        <x:v>BPSE/BPSE/BPSE/BPSE</x:v>
      </x:c>
      <x:c r="R42" s="48" t="str">
        <x:v>—/—/—/—</x:v>
      </x:c>
      <x:c r="S42" s="48" t="str">
        <x:v>1 / 100 / 2 / 200 / 3 / 250 / 4 / 325 / 10</x:v>
      </x:c>
      <x:c r="T42" s="48" t="str">
        <x:v>“—”表示 6.48b 对象表该级字段为空；脚本型技能需结合证据说明与来源冲突表。</x:v>
      </x:c>
    </x:row>
    <x:row r="43" ht="34" customHeight="1">
      <x:c r="A43" s="18" t="str">
        <x:v>Naka-2</x:v>
      </x:c>
      <x:c r="B43" s="18" t="str">
        <x:v>赏金猎人</x:v>
      </x:c>
      <x:c r="C43" s="18" t="str">
        <x:v>Bounty Hunter</x:v>
      </x:c>
      <x:c r="D43" s="18" t="str">
        <x:v>Jinada</x:v>
      </x:c>
      <x:c r="E43" s="18" t="str">
        <x:v>A000</x:v>
      </x:c>
      <x:c r="F43" s="18" t="str">
        <x:v>ANdb</x:v>
      </x:c>
      <x:c r="G43" s="48" t="str">
        <x:v>15/15/15/15</x:v>
      </x:c>
      <x:c r="H43" s="48" t="str">
        <x:v>1.25/1.5/1.75/2</x:v>
      </x:c>
      <x:c r="I43" s="48" t="str">
        <x:v>—/—/—/—</x:v>
      </x:c>
      <x:c r="J43" s="48" t="str">
        <x:v>0.05/0.1/0.15/0.2</x:v>
      </x:c>
      <x:c r="K43" s="48" t="str">
        <x:v>—/—/—/—</x:v>
      </x:c>
      <x:c r="L43" s="48" t="str">
        <x:v>—/—/—/—</x:v>
      </x:c>
      <x:c r="M43" s="48" t="str">
        <x:v>—/—/—/—</x:v>
      </x:c>
      <x:c r="N43" s="48" t="str">
        <x:v>—/—/—/—</x:v>
      </x:c>
      <x:c r="O43" s="48" t="str">
        <x:v>—/—/—/—</x:v>
      </x:c>
      <x:c r="P43" s="48" t="str">
        <x:v>—/—/—/—</x:v>
      </x:c>
      <x:c r="Q43" s="48" t="str">
        <x:v>—/—/—/—</x:v>
      </x:c>
      <x:c r="R43" s="48" t="str">
        <x:v>—/—/—/—</x:v>
      </x:c>
      <x:c r="S43" s="48" t="str">
        <x:v>15% / 1 / 5% / 1.25 / 2 / 10% / 1.5 / 3 / 1.75 / 4 / 20%</x:v>
      </x:c>
      <x:c r="T43" s="48" t="str">
        <x:v>“—”表示 6.48b 对象表该级字段为空；脚本型技能需结合证据说明与来源冲突表。</x:v>
      </x:c>
    </x:row>
    <x:row r="44" ht="34" customHeight="1">
      <x:c r="A44" s="18" t="str">
        <x:v>Naka-3</x:v>
      </x:c>
      <x:c r="B44" s="18" t="str">
        <x:v>赏金猎人</x:v>
      </x:c>
      <x:c r="C44" s="18" t="str">
        <x:v>Bounty Hunter</x:v>
      </x:c>
      <x:c r="D44" s="18" t="str">
        <x:v>Wind Walk</x:v>
      </x:c>
      <x:c r="E44" s="18" t="str">
        <x:v>A07A</x:v>
      </x:c>
      <x:c r="F44" s="18" t="str">
        <x:v>AOwk</x:v>
      </x:c>
      <x:c r="G44" s="48" t="str">
        <x:v>1/0.75/0.5/0.25</x:v>
      </x:c>
      <x:c r="H44" s="48" t="str">
        <x:v>—/—/—/—</x:v>
      </x:c>
      <x:c r="I44" s="48" t="str">
        <x:v>30/60/90/120</x:v>
      </x:c>
      <x:c r="J44" s="48" t="str">
        <x:v>1/1/1/1</x:v>
      </x:c>
      <x:c r="K44" s="48" t="str">
        <x:v>—/—/—/—</x:v>
      </x:c>
      <x:c r="L44" s="48" t="str">
        <x:v>—/—/—/—</x:v>
      </x:c>
      <x:c r="M44" s="48" t="str">
        <x:v>—/—/—/—</x:v>
      </x:c>
      <x:c r="N44" s="48" t="str">
        <x:v>—/—/—/—</x:v>
      </x:c>
      <x:c r="O44" s="48" t="str">
        <x:v>—/—/—/—</x:v>
      </x:c>
      <x:c r="P44" s="48" t="str">
        <x:v>—/—/—/—</x:v>
      </x:c>
      <x:c r="Q44" s="48" t="str">
        <x:v>B068/B068/B068/B068</x:v>
      </x:c>
      <x:c r="R44" s="48" t="str">
        <x:v>—/—/—/—</x:v>
      </x:c>
      <x:c r="S44" s="48" t="str">
        <x:v>1 / 30 / 15 / 2 / 60 / 20 / 3 / 90 / 25 / 4 / 120</x:v>
      </x:c>
      <x:c r="T44" s="48" t="str">
        <x:v>“—”表示 6.48b 对象表该级字段为空；脚本型技能需结合证据说明与来源冲突表。</x:v>
      </x:c>
    </x:row>
    <x:row r="45" ht="34" customHeight="1">
      <x:c r="A45" s="18" t="str">
        <x:v>Naka-4</x:v>
      </x:c>
      <x:c r="B45" s="18" t="str">
        <x:v>赏金猎人</x:v>
      </x:c>
      <x:c r="C45" s="18" t="str">
        <x:v>Bounty Hunter</x:v>
      </x:c>
      <x:c r="D45" s="18" t="str">
        <x:v>Track</x:v>
      </x:c>
      <x:c r="E45" s="18" t="str">
        <x:v>A0B4</x:v>
      </x:c>
      <x:c r="F45" s="18" t="str">
        <x:v>Afae</x:v>
      </x:c>
      <x:c r="G45" s="48" t="str">
        <x:v>1/2/4</x:v>
      </x:c>
      <x:c r="H45" s="48" t="str">
        <x:v>—/—/—</x:v>
      </x:c>
      <x:c r="I45" s="48" t="str">
        <x:v>—/—/—</x:v>
      </x:c>
      <x:c r="J45" s="48" t="str">
        <x:v>—/—/—</x:v>
      </x:c>
      <x:c r="K45" s="48" t="str">
        <x:v>—/—/—</x:v>
      </x:c>
      <x:c r="L45" s="48" t="str">
        <x:v>—/—/—</x:v>
      </x:c>
      <x:c r="M45" s="48" t="str">
        <x:v>—/—/—</x:v>
      </x:c>
      <x:c r="N45" s="48" t="str">
        <x:v>—/—/—</x:v>
      </x:c>
      <x:c r="O45" s="48" t="str">
        <x:v>—/—/—</x:v>
      </x:c>
      <x:c r="P45" s="48" t="str">
        <x:v>—/—/—</x:v>
      </x:c>
      <x:c r="Q45" s="48" t="str">
        <x:v>B00L/B00L/B00L</x:v>
      </x:c>
      <x:c r="R45" s="48" t="str">
        <x:v>—/—/—</x:v>
      </x:c>
      <x:c r="S45" s="48" t="str">
        <x:v>30 / 20% / 1 / 50 / 2 / 100 / 3 / 150 / 4 / 10 / 7 / 5</x:v>
      </x:c>
      <x:c r="T45" s="48" t="str">
        <x:v>“—”表示 6.48b 对象表该级字段为空；脚本型技能需结合证据说明与来源冲突表。</x:v>
      </x:c>
    </x:row>
    <x:row r="46" ht="34" customHeight="1">
      <x:c r="A46" s="18" t="str">
        <x:v>Orkn-1</x:v>
      </x:c>
      <x:c r="B46" s="18" t="str">
        <x:v>暗影萨满</x:v>
      </x:c>
      <x:c r="C46" s="18" t="str">
        <x:v>Shadow Shaman</x:v>
      </x:c>
      <x:c r="D46" s="18" t="str">
        <x:v>Voodoo</x:v>
      </x:c>
      <x:c r="E46" s="18" t="str">
        <x:v>A0RX</x:v>
      </x:c>
      <x:c r="F46" s="18" t="str">
        <x:v>AOhx</x:v>
      </x:c>
      <x:c r="G46" s="48" t="str">
        <x:v>99/99/99/99</x:v>
      </x:c>
      <x:c r="H46" s="48" t="str">
        <x:v>nech,npig,nsea,ncrb,nhmc,nrat,nfro,necr,nrac/nech,npig,nsea,ncrb,nhmc,nrat,nfro,necr,nrac/nech,npig,nsea,ncrb,nhmc,nrat,nfro,necr,nrac/nech,npig,nsea,ncrb,nhmc,nrat,nfro,necr,nrac</x:v>
      </x:c>
      <x:c r="I46" s="48" t="str">
        <x:v>nalb,nvul,nsno/nalb,nvul,nsno/nalb,nvul,nsno/nalb,nvul,nsno</x:v>
      </x:c>
      <x:c r="J46" s="48" t="str">
        <x:v>nsha,npng/nsha,npng/nsha,npng/nsha,npng</x:v>
      </x:c>
      <x:c r="K46" s="48" t="str">
        <x:v>nshw,npnw/nshw,npnw/nshw,npnw/nshw,npnw</x:v>
      </x:c>
      <x:c r="L46" s="48" t="str">
        <x:v>—/—/—/—</x:v>
      </x:c>
      <x:c r="M46" s="48" t="str">
        <x:v>—/—/—/—</x:v>
      </x:c>
      <x:c r="N46" s="48" t="str">
        <x:v>—/—/—/—</x:v>
      </x:c>
      <x:c r="O46" s="48" t="str">
        <x:v>—/—/—/—</x:v>
      </x:c>
      <x:c r="P46" s="48" t="str">
        <x:v>—/—/—/—</x:v>
      </x:c>
      <x:c r="Q46" s="48" t="str">
        <x:v>B00H/B00H/B00H/B00H</x:v>
      </x:c>
      <x:c r="R46" s="48" t="str">
        <x:v>—/—/—/—</x:v>
      </x:c>
      <x:c r="S46" s="48" t="str">
        <x:v>1 / 2 / 3 / 4 / 13</x:v>
      </x:c>
      <x:c r="T46" s="48" t="str">
        <x:v>“—”表示 6.48b 对象表该级字段为空；脚本型技能需结合证据说明与来源冲突表。</x:v>
      </x:c>
    </x:row>
    <x:row r="47" ht="34" customHeight="1">
      <x:c r="A47" s="18" t="str">
        <x:v>Orkn-2</x:v>
      </x:c>
      <x:c r="B47" s="18" t="str">
        <x:v>暗影萨满</x:v>
      </x:c>
      <x:c r="C47" s="18" t="str">
        <x:v>Shadow Shaman</x:v>
      </x:c>
      <x:c r="D47" s="18" t="str">
        <x:v>Shackles</x:v>
      </x:c>
      <x:c r="E47" s="18" t="str">
        <x:v>A00P</x:v>
      </x:c>
      <x:c r="F47" s="18" t="str">
        <x:v>Amls</x:v>
      </x:c>
      <x:c r="G47" s="48" t="str">
        <x:v>40/40/40/—</x:v>
      </x:c>
      <x:c r="H47" s="48" t="str">
        <x:v>—/—/—/—</x:v>
      </x:c>
      <x:c r="I47" s="48" t="str">
        <x:v>—/—/—/—</x:v>
      </x:c>
      <x:c r="J47" s="48" t="str">
        <x:v>—/—/—/—</x:v>
      </x:c>
      <x:c r="K47" s="48" t="str">
        <x:v>—/—/—/—</x:v>
      </x:c>
      <x:c r="L47" s="48" t="str">
        <x:v>—/—/—/—</x:v>
      </x:c>
      <x:c r="M47" s="48" t="str">
        <x:v>—/—/—/—</x:v>
      </x:c>
      <x:c r="N47" s="48" t="str">
        <x:v>—/—/—/—</x:v>
      </x:c>
      <x:c r="O47" s="48" t="str">
        <x:v>—/—/—/—</x:v>
      </x:c>
      <x:c r="P47" s="48" t="str">
        <x:v>—/—/—/—</x:v>
      </x:c>
      <x:c r="Q47" s="48" t="str">
        <x:v>B008,B008/B008,B008/B008,B008/—</x:v>
      </x:c>
      <x:c r="R47" s="48" t="str">
        <x:v>—/—/—/—</x:v>
      </x:c>
      <x:c r="S47" s="48" t="str">
        <x:v>40 / 1 / 2.5 / 2 / 3.25 / 3 / 4 / 4.75 / 16</x:v>
      </x:c>
      <x:c r="T47" s="48" t="str">
        <x:v>“—”表示 6.48b 对象表该级字段为空；脚本型技能需结合证据说明与来源冲突表。</x:v>
      </x:c>
    </x:row>
    <x:row r="48" ht="34" customHeight="1">
      <x:c r="A48" s="18" t="str">
        <x:v>Orkn-3</x:v>
      </x:c>
      <x:c r="B48" s="18" t="str">
        <x:v>暗影萨满</x:v>
      </x:c>
      <x:c r="C48" s="18" t="str">
        <x:v>Shadow Shaman</x:v>
      </x:c>
      <x:c r="D48" s="18" t="str">
        <x:v>Mass Serpent Ward</x:v>
      </x:c>
      <x:c r="E48" s="18" t="str">
        <x:v>A00H</x:v>
      </x:c>
      <x:c r="F48" s="18" t="str">
        <x:v>AOwd</x:v>
      </x:c>
      <x:c r="G48" s="48" t="str">
        <x:v>8/8/8</x:v>
      </x:c>
      <x:c r="H48" s="48" t="str">
        <x:v>—/—/—</x:v>
      </x:c>
      <x:c r="I48" s="48" t="str">
        <x:v>—/—/—</x:v>
      </x:c>
      <x:c r="J48" s="48" t="str">
        <x:v>—/—/—</x:v>
      </x:c>
      <x:c r="K48" s="48" t="str">
        <x:v>—/—/—</x:v>
      </x:c>
      <x:c r="L48" s="48" t="str">
        <x:v>—/—/—</x:v>
      </x:c>
      <x:c r="M48" s="48" t="str">
        <x:v>—/—/—</x:v>
      </x:c>
      <x:c r="N48" s="48" t="str">
        <x:v>—/—/—</x:v>
      </x:c>
      <x:c r="O48" s="48" t="str">
        <x:v>—/—/—</x:v>
      </x:c>
      <x:c r="P48" s="48" t="str">
        <x:v>osp4/o008/o009</x:v>
      </x:c>
      <x:c r="Q48" s="48" t="str">
        <x:v>BOwd/BOwd/BOwd</x:v>
      </x:c>
      <x:c r="R48" s="48" t="str">
        <x:v>—/—/—</x:v>
      </x:c>
      <x:c r="S48" s="48" t="str">
        <x:v>8 / 1 / 43 / 2 / 58 / 3 / 73 / 120</x:v>
      </x:c>
      <x:c r="T48" s="48" t="str">
        <x:v>“—”表示 6.48b 对象表该级字段为空；脚本型技能需结合证据说明与来源冲突表。</x:v>
      </x:c>
    </x:row>
    <x:row r="49" ht="34" customHeight="1">
      <x:c r="A49" s="18" t="str">
        <x:v>Orkn-4</x:v>
      </x:c>
      <x:c r="B49" s="18" t="str">
        <x:v>暗影萨满</x:v>
      </x:c>
      <x:c r="C49" s="18" t="str">
        <x:v>Shadow Shaman</x:v>
      </x:c>
      <x:c r="D49" s="18" t="str">
        <x:v>Forked Lightning</x:v>
      </x:c>
      <x:c r="E49" s="18" t="str">
        <x:v>A010</x:v>
      </x:c>
      <x:c r="F49" s="18" t="str">
        <x:v>ANfl</x:v>
      </x:c>
      <x:c r="G49" s="48" t="str">
        <x:v>75/150/225/—</x:v>
      </x:c>
      <x:c r="H49" s="48" t="str">
        <x:v>3/4/6/—</x:v>
      </x:c>
      <x:c r="I49" s="48" t="str">
        <x:v>700/700/700/—</x:v>
      </x:c>
      <x:c r="J49" s="48" t="str">
        <x:v>300/300/300/—</x:v>
      </x:c>
      <x:c r="K49" s="48" t="str">
        <x:v>—/—/—/—</x:v>
      </x:c>
      <x:c r="L49" s="48" t="str">
        <x:v>—/—/—/—</x:v>
      </x:c>
      <x:c r="M49" s="48" t="str">
        <x:v>—/—/—/—</x:v>
      </x:c>
      <x:c r="N49" s="48" t="str">
        <x:v>—/—/—/—</x:v>
      </x:c>
      <x:c r="O49" s="48" t="str">
        <x:v>—/—/—/—</x:v>
      </x:c>
      <x:c r="P49" s="48" t="str">
        <x:v>—/—/—/—</x:v>
      </x:c>
      <x:c r="Q49" s="48" t="str">
        <x:v>—/—/—/—</x:v>
      </x:c>
      <x:c r="R49" s="48" t="str">
        <x:v>—/—/—/—</x:v>
      </x:c>
      <x:c r="S49" s="48" t="str">
        <x:v>1 / 75 / 3 / 2 / 150 / 4 / 225 / 6 / 300 / 7 / 10</x:v>
      </x:c>
      <x:c r="T49" s="48" t="str">
        <x:v>“—”表示 6.48b 对象表该级字段为空；脚本型技能需结合证据说明与来源冲突表。</x:v>
      </x:c>
    </x:row>
    <x:row r="50" ht="34" customHeight="1">
      <x:c r="A50" s="18" t="str">
        <x:v>Eevi-1</x:v>
      </x:c>
      <x:c r="B50" s="18" t="str">
        <x:v>灵魂守卫</x:v>
      </x:c>
      <x:c r="C50" s="18" t="str">
        <x:v>Soul Keeper</x:v>
      </x:c>
      <x:c r="D50" s="18" t="str">
        <x:v>Soul Steal</x:v>
      </x:c>
      <x:c r="E50" s="18" t="str">
        <x:v>A04L</x:v>
      </x:c>
      <x:c r="F50" s="18" t="str">
        <x:v>AHdr</x:v>
      </x:c>
      <x:c r="G50" s="48" t="str">
        <x:v>5/10/15/20</x:v>
      </x:c>
      <x:c r="H50" s="48" t="str">
        <x:v>—/—/—/—</x:v>
      </x:c>
      <x:c r="I50" s="48" t="str">
        <x:v>0.25/0.25/0.25/0.25</x:v>
      </x:c>
      <x:c r="J50" s="48" t="str">
        <x:v>—/—/—/—</x:v>
      </x:c>
      <x:c r="K50" s="48" t="str">
        <x:v>—/—/—/—</x:v>
      </x:c>
      <x:c r="L50" s="48" t="str">
        <x:v>—/—/—/—</x:v>
      </x:c>
      <x:c r="M50" s="48" t="str">
        <x:v>—/—/—/—</x:v>
      </x:c>
      <x:c r="N50" s="48" t="str">
        <x:v>—/—/—/—</x:v>
      </x:c>
      <x:c r="O50" s="48" t="str">
        <x:v>—/—/—/—</x:v>
      </x:c>
      <x:c r="P50" s="48" t="str">
        <x:v>—/—/—/—</x:v>
      </x:c>
      <x:c r="Q50" s="48" t="str">
        <x:v>Bdcb,Bdcl,Bdcm,Bdtb,Bdtl,Bdtm,Bdbb,Bdbl,Bdbm/Bdcb,Bdcl,Bdcm,Bdtb,Bdtl,Bdtm,Bdbb,Bdbl,Bdbm/Bdcb,Bdcl,Bdcm,Bdtb,Bdtl,Bdtm,Bdbb,Bdbl,Bdbm/Bdcb,Bdcl,Bdcm,Bdtb,Bdtl,Bdtm,Bdbb,Bdbl,Bdbm</x:v>
      </x:c>
      <x:c r="R50" s="48" t="str">
        <x:v>—/—/—/—</x:v>
      </x:c>
      <x:c r="S50" s="48" t="str">
        <x:v>8 / 1 / 20 / 2 / 40 / 3 / 60 / 4 / 80 / 12</x:v>
      </x:c>
      <x:c r="T50" s="48" t="str">
        <x:v>“—”表示 6.48b 对象表该级字段为空；脚本型技能需结合证据说明与来源冲突表。</x:v>
      </x:c>
    </x:row>
    <x:row r="51" ht="34" customHeight="1">
      <x:c r="A51" s="18" t="str">
        <x:v>Eevi-2</x:v>
      </x:c>
      <x:c r="B51" s="18" t="str">
        <x:v>灵魂守卫</x:v>
      </x:c>
      <x:c r="C51" s="18" t="str">
        <x:v>Soul Keeper</x:v>
      </x:c>
      <x:c r="D51" s="18" t="str">
        <x:v>Conjure Image</x:v>
      </x:c>
      <x:c r="E51" s="18" t="str">
        <x:v>A0H4</x:v>
      </x:c>
      <x:c r="F51" s="18" t="str">
        <x:v>ANcl</x:v>
      </x:c>
      <x:c r="G51" s="48" t="str">
        <x:v>—/—/—/—</x:v>
      </x:c>
      <x:c r="H51" s="48" t="str">
        <x:v>—/—/—/—</x:v>
      </x:c>
      <x:c r="I51" s="48" t="str">
        <x:v>1/1/1/1</x:v>
      </x:c>
      <x:c r="J51" s="48" t="str">
        <x:v>0.98/0.98/0.98/0.98</x:v>
      </x:c>
      <x:c r="K51" s="48" t="str">
        <x:v>—/—/—/—</x:v>
      </x:c>
      <x:c r="L51" s="48" t="str">
        <x:v>channel/channel/channel/channel</x:v>
      </x:c>
      <x:c r="M51" s="48" t="str">
        <x:v>—/—/—/—</x:v>
      </x:c>
      <x:c r="N51" s="48" t="str">
        <x:v>—/—/—/—</x:v>
      </x:c>
      <x:c r="O51" s="48" t="str">
        <x:v>—/—/—/—</x:v>
      </x:c>
      <x:c r="P51" s="48" t="str">
        <x:v>—/—/—/—</x:v>
      </x:c>
      <x:c r="Q51" s="48" t="str">
        <x:v>—/—/—/—</x:v>
      </x:c>
      <x:c r="R51" s="48" t="str">
        <x:v>—/—/—/—</x:v>
      </x:c>
      <x:c r="S51" s="48" t="str">
        <x:v>30 / 1 / 25% / 2 / 35% / 3 / 45% / 4 / 55% / 16 / 300%</x:v>
      </x:c>
      <x:c r="T51" s="48" t="str">
        <x:v>“—”表示 6.48b 对象表该级字段为空；脚本型技能需结合证据说明与来源冲突表。</x:v>
      </x:c>
    </x:row>
    <x:row r="52" ht="34" customHeight="1">
      <x:c r="A52" s="18" t="str">
        <x:v>Eevi-3</x:v>
      </x:c>
      <x:c r="B52" s="18" t="str">
        <x:v>灵魂守卫</x:v>
      </x:c>
      <x:c r="C52" s="18" t="str">
        <x:v>Soul Keeper</x:v>
      </x:c>
      <x:c r="D52" s="18" t="str">
        <x:v>Metamorphosis</x:v>
      </x:c>
      <x:c r="E52" s="18" t="str">
        <x:v>A0MV</x:v>
      </x:c>
      <x:c r="F52" s="18" t="str">
        <x:v>AEme</x:v>
      </x:c>
      <x:c r="G52" s="48" t="str">
        <x:v>Eevi/Eevi/Eevi/Eevi</x:v>
      </x:c>
      <x:c r="H52" s="48" t="str">
        <x:v>7/7/7/1</x:v>
      </x:c>
      <x:c r="I52" s="48" t="str">
        <x:v>—/—/—/—</x:v>
      </x:c>
      <x:c r="J52" s="48" t="str">
        <x:v>—/—/—/—</x:v>
      </x:c>
      <x:c r="K52" s="48" t="str">
        <x:v>1/50/100/500</x:v>
      </x:c>
      <x:c r="L52" s="48" t="str">
        <x:v>—/—/—/—</x:v>
      </x:c>
      <x:c r="M52" s="48" t="str">
        <x:v>—/—/—/—</x:v>
      </x:c>
      <x:c r="N52" s="48" t="str">
        <x:v>—/—/—/—</x:v>
      </x:c>
      <x:c r="O52" s="48" t="str">
        <x:v>—/—/—/—</x:v>
      </x:c>
      <x:c r="P52" s="48" t="str">
        <x:v>Eevm/Eevm/Eevm/Eevm</x:v>
      </x:c>
      <x:c r="Q52" s="48" t="str">
        <x:v>BEme/BEme/BEme/BEme</x:v>
      </x:c>
      <x:c r="R52" s="48" t="str">
        <x:v>—/—/—/—</x:v>
      </x:c>
      <x:c r="S52" s="48" t="str">
        <x:v>1 / 30 / 2 / 40 / 50 / 3 / 100 / 4 / 60 / 150 / 180 / 165 / 135</x:v>
      </x:c>
      <x:c r="T52" s="48" t="str">
        <x:v>“—”表示 6.48b 对象表该级字段为空；脚本型技能需结合证据说明与来源冲突表。</x:v>
      </x:c>
    </x:row>
    <x:row r="53" ht="34" customHeight="1">
      <x:c r="A53" s="18" t="str">
        <x:v>Eevi-4</x:v>
      </x:c>
      <x:c r="B53" s="18" t="str">
        <x:v>灵魂守卫</x:v>
      </x:c>
      <x:c r="C53" s="18" t="str">
        <x:v>Soul Keeper</x:v>
      </x:c>
      <x:c r="D53" s="18" t="str">
        <x:v>Sunder</x:v>
      </x:c>
      <x:c r="E53" s="18" t="str">
        <x:v>A07Q</x:v>
      </x:c>
      <x:c r="F53" s="18" t="str">
        <x:v>Acri</x:v>
      </x:c>
      <x:c r="G53" s="48" t="str">
        <x:v>—/—/—</x:v>
      </x:c>
      <x:c r="H53" s="48" t="str">
        <x:v>—/—/—</x:v>
      </x:c>
      <x:c r="I53" s="48" t="str">
        <x:v>—/—/—</x:v>
      </x:c>
      <x:c r="J53" s="48" t="str">
        <x:v>—/—/—</x:v>
      </x:c>
      <x:c r="K53" s="48" t="str">
        <x:v>—/—/—</x:v>
      </x:c>
      <x:c r="L53" s="48" t="str">
        <x:v>—/—/—</x:v>
      </x:c>
      <x:c r="M53" s="48" t="str">
        <x:v>—/—/—</x:v>
      </x:c>
      <x:c r="N53" s="48" t="str">
        <x:v>—/—/—</x:v>
      </x:c>
      <x:c r="O53" s="48" t="str">
        <x:v>—/—/—</x:v>
      </x:c>
      <x:c r="P53" s="48" t="str">
        <x:v>—/—/—</x:v>
      </x:c>
      <x:c r="Q53" s="48" t="str">
        <x:v>—/—/—</x:v>
      </x:c>
      <x:c r="R53" s="48" t="str">
        <x:v>—/—/—</x:v>
      </x:c>
      <x:c r="S53" s="48" t="str">
        <x:v>1 / 250 / 33% / 2 / 28% / 3 / 23% / 200 / 120 / 60</x:v>
      </x:c>
      <x:c r="T53" s="48" t="str">
        <x:v>“—”表示 6.48b 对象表该级字段为空；脚本型技能需结合证据说明与来源冲突表。</x:v>
      </x:c>
    </x:row>
    <x:row r="54" ht="34" customHeight="1">
      <x:c r="A54" s="18" t="str">
        <x:v>Ekee-1</x:v>
      </x:c>
      <x:c r="B54" s="18" t="str">
        <x:v>受折磨的灵魂</x:v>
      </x:c>
      <x:c r="C54" s="18" t="str">
        <x:v>Tormented Soul</x:v>
      </x:c>
      <x:c r="D54" s="18" t="str">
        <x:v>Split Earth</x:v>
      </x:c>
      <x:c r="E54" s="18" t="str">
        <x:v>A06W</x:v>
      </x:c>
      <x:c r="F54" s="18" t="str">
        <x:v>AUin</x:v>
      </x:c>
      <x:c r="G54" s="48" t="str">
        <x:v>70/140/210/50</x:v>
      </x:c>
      <x:c r="H54" s="48" t="str">
        <x:v>2/2/2/180</x:v>
      </x:c>
      <x:c r="I54" s="48" t="str">
        <x:v>0.35/0.35/0.35/1</x:v>
      </x:c>
      <x:c r="J54" s="48" t="str">
        <x:v>—/—/—/—</x:v>
      </x:c>
      <x:c r="K54" s="48" t="str">
        <x:v>—/—/—/—</x:v>
      </x:c>
      <x:c r="L54" s="48" t="str">
        <x:v>—/—/—/—</x:v>
      </x:c>
      <x:c r="M54" s="48" t="str">
        <x:v>—/—/—/—</x:v>
      </x:c>
      <x:c r="N54" s="48" t="str">
        <x:v>—/—/—/—</x:v>
      </x:c>
      <x:c r="O54" s="48" t="str">
        <x:v>—/—/—/—</x:v>
      </x:c>
      <x:c r="P54" s="48" t="str">
        <x:v>e00T/e00T/e00T/ninf</x:v>
      </x:c>
      <x:c r="Q54" s="48" t="str">
        <x:v>BPSE/BPSE/BPSE/BNin</x:v>
      </x:c>
      <x:c r="R54" s="48" t="str">
        <x:v>—/—/—/—</x:v>
      </x:c>
      <x:c r="S54" s="48" t="str">
        <x:v>1 / 70 / 1.25 / 2 / 140 / 1.5 / 3 / 210 / 1.75 / 4 / 290 / 9</x:v>
      </x:c>
      <x:c r="T54" s="48" t="str">
        <x:v>“—”表示 6.48b 对象表该级字段为空；脚本型技能需结合证据说明与来源冲突表。</x:v>
      </x:c>
    </x:row>
    <x:row r="55" ht="34" customHeight="1">
      <x:c r="A55" s="18" t="str">
        <x:v>Ekee-2</x:v>
      </x:c>
      <x:c r="B55" s="18" t="str">
        <x:v>受折磨的灵魂</x:v>
      </x:c>
      <x:c r="C55" s="18" t="str">
        <x:v>Tormented Soul</x:v>
      </x:c>
      <x:c r="D55" s="18" t="str">
        <x:v>Diabolic Edict</x:v>
      </x:c>
      <x:c r="E55" s="18" t="str">
        <x:v>A035</x:v>
      </x:c>
      <x:c r="F55" s="18" t="str">
        <x:v>ANsg</x:v>
      </x:c>
      <x:c r="G55" s="48" t="str">
        <x:v>1/1/1/1</x:v>
      </x:c>
      <x:c r="H55" s="48" t="str">
        <x:v>—/—/—/—</x:v>
      </x:c>
      <x:c r="I55" s="48" t="str">
        <x:v>—/—/—/—</x:v>
      </x:c>
      <x:c r="J55" s="48" t="str">
        <x:v>—/—/—/—</x:v>
      </x:c>
      <x:c r="K55" s="48" t="str">
        <x:v>—/—/—/—</x:v>
      </x:c>
      <x:c r="L55" s="48" t="str">
        <x:v>—/—/—/—</x:v>
      </x:c>
      <x:c r="M55" s="48" t="str">
        <x:v>—/—/—/—</x:v>
      </x:c>
      <x:c r="N55" s="48" t="str">
        <x:v>—/—/—/—</x:v>
      </x:c>
      <x:c r="O55" s="48" t="str">
        <x:v>—/—/—/—</x:v>
      </x:c>
      <x:c r="P55" s="48" t="str">
        <x:v>e00F/e00F/e00F/e00F</x:v>
      </x:c>
      <x:c r="Q55" s="48" t="str">
        <x:v>BNsg/BNsg/BNsg/BNsg</x:v>
      </x:c>
      <x:c r="R55" s="48" t="str">
        <x:v>—/—/—/—</x:v>
      </x:c>
      <x:c r="S55" s="48" t="str">
        <x:v>8 / 1 / 2 / 3 / 4 / 30 / 28 / 26 / 24</x:v>
      </x:c>
      <x:c r="T55" s="48" t="str">
        <x:v>“—”表示 6.48b 对象表该级字段为空；脚本型技能需结合证据说明与来源冲突表。</x:v>
      </x:c>
    </x:row>
    <x:row r="56" ht="34" customHeight="1">
      <x:c r="A56" s="18" t="str">
        <x:v>Ekee-3</x:v>
      </x:c>
      <x:c r="B56" s="18" t="str">
        <x:v>受折磨的灵魂</x:v>
      </x:c>
      <x:c r="C56" s="18" t="str">
        <x:v>Tormented Soul</x:v>
      </x:c>
      <x:c r="D56" s="18" t="str">
        <x:v>Lightning Storm</x:v>
      </x:c>
      <x:c r="E56" s="18" t="str">
        <x:v>A06V</x:v>
      </x:c>
      <x:c r="F56" s="18" t="str">
        <x:v>AOcl</x:v>
      </x:c>
      <x:c r="G56" s="48" t="str">
        <x:v>80/145/205/265</x:v>
      </x:c>
      <x:c r="H56" s="48" t="str">
        <x:v>4/6/7/8</x:v>
      </x:c>
      <x:c r="I56" s="48" t="str">
        <x:v>—/—/—/—</x:v>
      </x:c>
      <x:c r="J56" s="48" t="str">
        <x:v>—/—/—/—</x:v>
      </x:c>
      <x:c r="K56" s="48" t="str">
        <x:v>—/—/—/—</x:v>
      </x:c>
      <x:c r="L56" s="48" t="str">
        <x:v>—/—/—/—</x:v>
      </x:c>
      <x:c r="M56" s="48" t="str">
        <x:v>—/—/—/—</x:v>
      </x:c>
      <x:c r="N56" s="48" t="str">
        <x:v>—/—/—/—</x:v>
      </x:c>
      <x:c r="O56" s="48" t="str">
        <x:v>—/—/—/—</x:v>
      </x:c>
      <x:c r="P56" s="48" t="str">
        <x:v>—/—/—/—</x:v>
      </x:c>
      <x:c r="Q56" s="48" t="str">
        <x:v>—/—/—/—</x:v>
      </x:c>
      <x:c r="R56" s="48" t="str">
        <x:v>—/—/—/—</x:v>
      </x:c>
      <x:c r="S56" s="48" t="str">
        <x:v>1 / 80 / 4 / 2 / 145 / 6 / 3 / 205 / 7 / 265 / 8 / 5</x:v>
      </x:c>
      <x:c r="T56" s="48" t="str">
        <x:v>“—”表示 6.48b 对象表该级字段为空；脚本型技能需结合证据说明与来源冲突表。</x:v>
      </x:c>
    </x:row>
    <x:row r="57" ht="34" customHeight="1">
      <x:c r="A57" s="18" t="str">
        <x:v>Ekee-4</x:v>
      </x:c>
      <x:c r="B57" s="18" t="str">
        <x:v>受折磨的灵魂</x:v>
      </x:c>
      <x:c r="C57" s="18" t="str">
        <x:v>Tormented Soul</x:v>
      </x:c>
      <x:c r="D57" s="18" t="str">
        <x:v>Pulse Nova</x:v>
      </x:c>
      <x:c r="E57" s="18" t="str">
        <x:v>A06X</x:v>
      </x:c>
      <x:c r="F57" s="18" t="str">
        <x:v>AEim</x:v>
      </x:c>
      <x:c r="G57" s="48" t="str">
        <x:v>66/100/144</x:v>
      </x:c>
      <x:c r="H57" s="48" t="str">
        <x:v>—/—/—</x:v>
      </x:c>
      <x:c r="I57" s="48" t="str">
        <x:v>—/—/—</x:v>
      </x:c>
      <x:c r="J57" s="48" t="str">
        <x:v>—/—/—</x:v>
      </x:c>
      <x:c r="K57" s="48" t="str">
        <x:v>—/—/—</x:v>
      </x:c>
      <x:c r="L57" s="48" t="str">
        <x:v>—/—/—</x:v>
      </x:c>
      <x:c r="M57" s="48" t="str">
        <x:v>—/—/—</x:v>
      </x:c>
      <x:c r="N57" s="48" t="str">
        <x:v>—/—/—</x:v>
      </x:c>
      <x:c r="O57" s="48" t="str">
        <x:v>—/—/—</x:v>
      </x:c>
      <x:c r="P57" s="48" t="str">
        <x:v>—/—/—</x:v>
      </x:c>
      <x:c r="Q57" s="48" t="str">
        <x:v>B024,BEia/B024,BEia/B024,BEia</x:v>
      </x:c>
      <x:c r="R57" s="48" t="str">
        <x:v>—/—/—</x:v>
      </x:c>
      <x:c r="S57" s="48" t="str">
        <x:v>1 / 66 / 2 / 100 / 3 / 144 / 20 / 40 / 60</x:v>
      </x:c>
      <x:c r="T57" s="48" t="str">
        <x:v>“—”表示 6.48b 对象表该级字段为空；脚本型技能需结合证据说明与来源冲突表。</x:v>
      </x:c>
    </x:row>
    <x:row r="58" ht="34" customHeight="1">
      <x:c r="A58" s="18" t="str">
        <x:v>Ulic-1</x:v>
      </x:c>
      <x:c r="B58" s="18" t="str">
        <x:v>巫妖</x:v>
      </x:c>
      <x:c r="C58" s="18" t="str">
        <x:v>Lich</x:v>
      </x:c>
      <x:c r="D58" s="18" t="str">
        <x:v>Frost Nova</x:v>
      </x:c>
      <x:c r="E58" s="18" t="str">
        <x:v>A07F</x:v>
      </x:c>
      <x:c r="F58" s="18" t="str">
        <x:v>AUfn</x:v>
      </x:c>
      <x:c r="G58" s="48" t="str">
        <x:v>75/100/125/150</x:v>
      </x:c>
      <x:c r="H58" s="48" t="str">
        <x:v>50/100/125/175</x:v>
      </x:c>
      <x:c r="I58" s="48" t="str">
        <x:v>—/—/—/—</x:v>
      </x:c>
      <x:c r="J58" s="48" t="str">
        <x:v>—/—/—/—</x:v>
      </x:c>
      <x:c r="K58" s="48" t="str">
        <x:v>—/—/—/—</x:v>
      </x:c>
      <x:c r="L58" s="48" t="str">
        <x:v>—/—/—/—</x:v>
      </x:c>
      <x:c r="M58" s="48" t="str">
        <x:v>—/—/—/—</x:v>
      </x:c>
      <x:c r="N58" s="48" t="str">
        <x:v>—/—/—/—</x:v>
      </x:c>
      <x:c r="O58" s="48" t="str">
        <x:v>—/—/—/—</x:v>
      </x:c>
      <x:c r="P58" s="48" t="str">
        <x:v>—/—/—/—</x:v>
      </x:c>
      <x:c r="Q58" s="48" t="str">
        <x:v>Bfro/Bfro/Bfro/Bfro</x:v>
      </x:c>
      <x:c r="R58" s="48" t="str">
        <x:v>—/—/—/—</x:v>
      </x:c>
      <x:c r="S58" s="48" t="str">
        <x:v>4 / 1 / 50 / 75 / 2 / 100 / 3 / 125 / 175 / 150 / 9.25</x:v>
      </x:c>
      <x:c r="T58" s="48" t="str">
        <x:v>“—”表示 6.48b 对象表该级字段为空；脚本型技能需结合证据说明与来源冲突表。</x:v>
      </x:c>
    </x:row>
    <x:row r="59" ht="34" customHeight="1">
      <x:c r="A59" s="18" t="str">
        <x:v>Ulic-2</x:v>
      </x:c>
      <x:c r="B59" s="18" t="str">
        <x:v>巫妖</x:v>
      </x:c>
      <x:c r="C59" s="18" t="str">
        <x:v>Lich</x:v>
      </x:c>
      <x:c r="D59" s="18" t="str">
        <x:v>Frost Armor</x:v>
      </x:c>
      <x:c r="E59" s="18" t="str">
        <x:v>A08R</x:v>
      </x:c>
      <x:c r="F59" s="18" t="str">
        <x:v>AUfu</x:v>
      </x:c>
      <x:c r="G59" s="48" t="str">
        <x:v>40/40/40/40</x:v>
      </x:c>
      <x:c r="H59" s="48" t="str">
        <x:v>3/6/9/12</x:v>
      </x:c>
      <x:c r="I59" s="48" t="str">
        <x:v>—/—/—/—</x:v>
      </x:c>
      <x:c r="J59" s="48" t="str">
        <x:v>—/—/—/—</x:v>
      </x:c>
      <x:c r="K59" s="48" t="str">
        <x:v>—/—/—/—</x:v>
      </x:c>
      <x:c r="L59" s="48" t="str">
        <x:v>—/—/—/—</x:v>
      </x:c>
      <x:c r="M59" s="48" t="str">
        <x:v>—/—/—/—</x:v>
      </x:c>
      <x:c r="N59" s="48" t="str">
        <x:v>—/—/—/—</x:v>
      </x:c>
      <x:c r="O59" s="48" t="str">
        <x:v>—/—/—/—</x:v>
      </x:c>
      <x:c r="P59" s="48" t="str">
        <x:v>—/—/—/—</x:v>
      </x:c>
      <x:c r="Q59" s="48" t="str">
        <x:v>BUfa/BUfa/BUfa/BUfa</x:v>
      </x:c>
      <x:c r="R59" s="48" t="str">
        <x:v>—/—/—/—</x:v>
      </x:c>
      <x:c r="S59" s="48" t="str">
        <x:v>2 / 40 / 1 / 3 / 6 / 9 / 4 / 12 / 5</x:v>
      </x:c>
      <x:c r="T59" s="48" t="str">
        <x:v>“—”表示 6.48b 对象表该级字段为空；脚本型技能需结合证据说明与来源冲突表。</x:v>
      </x:c>
    </x:row>
    <x:row r="60" ht="34" customHeight="1">
      <x:c r="A60" s="18" t="str">
        <x:v>Ulic-3</x:v>
      </x:c>
      <x:c r="B60" s="18" t="str">
        <x:v>巫妖</x:v>
      </x:c>
      <x:c r="C60" s="18" t="str">
        <x:v>Lich</x:v>
      </x:c>
      <x:c r="D60" s="18" t="str">
        <x:v>Dark Ritual</x:v>
      </x:c>
      <x:c r="E60" s="18" t="str">
        <x:v>A053</x:v>
      </x:c>
      <x:c r="F60" s="18" t="str">
        <x:v>Ainf</x:v>
      </x:c>
      <x:c r="G60" s="48" t="str">
        <x:v>—/—/—/—</x:v>
      </x:c>
      <x:c r="H60" s="48" t="str">
        <x:v>—/—/—/—</x:v>
      </x:c>
      <x:c r="I60" s="48" t="str">
        <x:v>50/50/50/—</x:v>
      </x:c>
      <x:c r="J60" s="48" t="str">
        <x:v>—/—/—/—</x:v>
      </x:c>
      <x:c r="K60" s="48" t="str">
        <x:v>—/—/—/—</x:v>
      </x:c>
      <x:c r="L60" s="48" t="str">
        <x:v>—/—/—/—</x:v>
      </x:c>
      <x:c r="M60" s="48" t="str">
        <x:v>—/—/—/—</x:v>
      </x:c>
      <x:c r="N60" s="48" t="str">
        <x:v>—/—/—/—</x:v>
      </x:c>
      <x:c r="O60" s="48" t="str">
        <x:v>—/—/—/—</x:v>
      </x:c>
      <x:c r="P60" s="48" t="str">
        <x:v>—/—/—/—</x:v>
      </x:c>
      <x:c r="Q60" s="48" t="str">
        <x:v>B00R/B00R/B00R/—</x:v>
      </x:c>
      <x:c r="R60" s="48" t="str">
        <x:v>—/—/—/—</x:v>
      </x:c>
      <x:c r="S60" s="48" t="str">
        <x:v>1 / 15% / 2 / 30% / 3 / 45% / 4 / 60% / 55 / 50 / 45 / 40</x:v>
      </x:c>
      <x:c r="T60" s="48" t="str">
        <x:v>“—”表示 6.48b 对象表该级字段为空；脚本型技能需结合证据说明与来源冲突表。</x:v>
      </x:c>
    </x:row>
    <x:row r="61" ht="34" customHeight="1">
      <x:c r="A61" s="18" t="str">
        <x:v>Ulic-4</x:v>
      </x:c>
      <x:c r="B61" s="18" t="str">
        <x:v>巫妖</x:v>
      </x:c>
      <x:c r="C61" s="18" t="str">
        <x:v>Lich</x:v>
      </x:c>
      <x:c r="D61" s="18" t="str">
        <x:v>Chain Frost</x:v>
      </x:c>
      <x:c r="E61" s="18" t="str">
        <x:v>A05T</x:v>
      </x:c>
      <x:c r="F61" s="18" t="str">
        <x:v>AUsl</x:v>
      </x:c>
      <x:c r="G61" s="48" t="str">
        <x:v>0.01/0.01/0.01</x:v>
      </x:c>
      <x:c r="H61" s="48" t="str">
        <x:v>—/—/—</x:v>
      </x:c>
      <x:c r="I61" s="48" t="str">
        <x:v>—/—/—</x:v>
      </x:c>
      <x:c r="J61" s="48" t="str">
        <x:v>—/—/—</x:v>
      </x:c>
      <x:c r="K61" s="48" t="str">
        <x:v>—/—/—</x:v>
      </x:c>
      <x:c r="L61" s="48" t="str">
        <x:v>—/—/—</x:v>
      </x:c>
      <x:c r="M61" s="48" t="str">
        <x:v>—/—/—</x:v>
      </x:c>
      <x:c r="N61" s="48" t="str">
        <x:v>—/—/—</x:v>
      </x:c>
      <x:c r="O61" s="48" t="str">
        <x:v>—/—/—</x:v>
      </x:c>
      <x:c r="P61" s="48" t="str">
        <x:v>—/—/—</x:v>
      </x:c>
      <x:c r="Q61" s="48" t="str">
        <x:v>—/—/—</x:v>
      </x:c>
      <x:c r="R61" s="48" t="str">
        <x:v>—/—/—</x:v>
      </x:c>
      <x:c r="S61" s="48" t="str">
        <x:v>6 / 1 / 280 / 2 / 370 / 3 / 460 / 145 / 115 / 60</x:v>
      </x:c>
      <x:c r="T61" s="48" t="str">
        <x:v>“—”表示 6.48b 对象表该级字段为空；脚本型技能需结合证据说明与来源冲突表。</x:v>
      </x:c>
    </x:row>
    <x:row r="62" ht="34" customHeight="1">
      <x:c r="A62" s="18" t="str">
        <x:v>UC76-1</x:v>
      </x:c>
      <x:c r="B62" s="18" t="str">
        <x:v>死亡先知</x:v>
      </x:c>
      <x:c r="C62" s="18" t="str">
        <x:v>Death Prophet</x:v>
      </x:c>
      <x:c r="D62" s="18" t="str">
        <x:v>Carrion Swarm</x:v>
      </x:c>
      <x:c r="E62" s="18" t="str">
        <x:v>A02M</x:v>
      </x:c>
      <x:c r="F62" s="18" t="str">
        <x:v>AUcs</x:v>
      </x:c>
      <x:c r="G62" s="48" t="str">
        <x:v>100/175/250/300</x:v>
      </x:c>
      <x:c r="H62" s="48" t="str">
        <x:v>99999/99999/99999/99999</x:v>
      </x:c>
      <x:c r="I62" s="48" t="str">
        <x:v>700/700/700/700</x:v>
      </x:c>
      <x:c r="J62" s="48" t="str">
        <x:v>300/300/300/300</x:v>
      </x:c>
      <x:c r="K62" s="48" t="str">
        <x:v>—/—/—/—</x:v>
      </x:c>
      <x:c r="L62" s="48" t="str">
        <x:v>—/—/—/—</x:v>
      </x:c>
      <x:c r="M62" s="48" t="str">
        <x:v>—/—/—/—</x:v>
      </x:c>
      <x:c r="N62" s="48" t="str">
        <x:v>—/—/—/—</x:v>
      </x:c>
      <x:c r="O62" s="48" t="str">
        <x:v>—/—/—/—</x:v>
      </x:c>
      <x:c r="P62" s="48" t="str">
        <x:v>—/—/—/—</x:v>
      </x:c>
      <x:c r="Q62" s="48" t="str">
        <x:v>BUcs/BUcs/BUcs/BUcs</x:v>
      </x:c>
      <x:c r="R62" s="48" t="str">
        <x:v>—/—/—/—</x:v>
      </x:c>
      <x:c r="S62" s="48" t="str">
        <x:v>1 / 100 / 2 / 175 / 3 / 250 / 4 / 300 / 9</x:v>
      </x:c>
      <x:c r="T62" s="48" t="str">
        <x:v>“—”表示 6.48b 对象表该级字段为空；脚本型技能需结合证据说明与来源冲突表。</x:v>
      </x:c>
    </x:row>
    <x:row r="63" ht="34" customHeight="1">
      <x:c r="A63" s="18" t="str">
        <x:v>UC76-2</x:v>
      </x:c>
      <x:c r="B63" s="18" t="str">
        <x:v>死亡先知</x:v>
      </x:c>
      <x:c r="C63" s="18" t="str">
        <x:v>Death Prophet</x:v>
      </x:c>
      <x:c r="D63" s="18" t="str">
        <x:v>Silence</x:v>
      </x:c>
      <x:c r="E63" s="18" t="str">
        <x:v>A0P6</x:v>
      </x:c>
      <x:c r="F63" s="18" t="str">
        <x:v>ANsi</x:v>
      </x:c>
      <x:c r="G63" s="48" t="str">
        <x:v>8/8/8/8</x:v>
      </x:c>
      <x:c r="H63" s="48" t="str">
        <x:v>—/—/—/—</x:v>
      </x:c>
      <x:c r="I63" s="48" t="str">
        <x:v>—/—/—/—</x:v>
      </x:c>
      <x:c r="J63" s="48" t="str">
        <x:v>—/—/—/—</x:v>
      </x:c>
      <x:c r="K63" s="48" t="str">
        <x:v>—/—/—/—</x:v>
      </x:c>
      <x:c r="L63" s="48" t="str">
        <x:v>—/—/—/—</x:v>
      </x:c>
      <x:c r="M63" s="48" t="str">
        <x:v>—/—/—/—</x:v>
      </x:c>
      <x:c r="N63" s="48" t="str">
        <x:v>—/—/—/—</x:v>
      </x:c>
      <x:c r="O63" s="48" t="str">
        <x:v>—/—/—/—</x:v>
      </x:c>
      <x:c r="P63" s="48" t="str">
        <x:v>—/—/—/—</x:v>
      </x:c>
      <x:c r="Q63" s="48" t="str">
        <x:v>BNsi/BNsi/BNsi/BNsi</x:v>
      </x:c>
      <x:c r="R63" s="48" t="str">
        <x:v>—/—/—/—</x:v>
      </x:c>
      <x:c r="S63" s="48" t="str">
        <x:v>1 / 3 / 2 / 4 / 5 / 6 / 14</x:v>
      </x:c>
      <x:c r="T63" s="48" t="str">
        <x:v>“—”表示 6.48b 对象表该级字段为空；脚本型技能需结合证据说明与来源冲突表。</x:v>
      </x:c>
    </x:row>
    <x:row r="64" ht="34" customHeight="1">
      <x:c r="A64" s="18" t="str">
        <x:v>UC76-3</x:v>
      </x:c>
      <x:c r="B64" s="18" t="str">
        <x:v>死亡先知</x:v>
      </x:c>
      <x:c r="C64" s="18" t="str">
        <x:v>Death Prophet</x:v>
      </x:c>
      <x:c r="D64" s="18" t="str">
        <x:v>Witchcraft</x:v>
      </x:c>
      <x:c r="E64" s="18" t="str">
        <x:v>A02C</x:v>
      </x:c>
      <x:c r="F64" s="18" t="str">
        <x:v>ANeg</x:v>
      </x:c>
      <x:c r="G64" s="48" t="str">
        <x:v>0.02/0.04/0.06/0.08</x:v>
      </x:c>
      <x:c r="H64" s="48" t="str">
        <x:v>—/—/—/—</x:v>
      </x:c>
      <x:c r="I64" s="48" t="str">
        <x:v>A0P6,A07H/A07H,A07I/A07I,A07J/A07J,A07M</x:v>
      </x:c>
      <x:c r="J64" s="48" t="str">
        <x:v>A073,A03J/A03J,A04J/A04J,A04M/A04M,A04N</x:v>
      </x:c>
      <x:c r="K64" s="48" t="str">
        <x:v>A02M,A06N/A06N,A072/A072,A074/A074,A078</x:v>
      </x:c>
      <x:c r="L64" s="48" t="str">
        <x:v>ANde,ANd1/ANde,ANd1/ANde,ANd1/ANde,ANd1</x:v>
      </x:c>
      <x:c r="M64" s="48" t="str">
        <x:v>—/—/—/—</x:v>
      </x:c>
      <x:c r="N64" s="48" t="str">
        <x:v>—/—/—/—</x:v>
      </x:c>
      <x:c r="O64" s="48" t="str">
        <x:v>—/—/—/—</x:v>
      </x:c>
      <x:c r="P64" s="48" t="str">
        <x:v>—/—/—/—</x:v>
      </x:c>
      <x:c r="Q64" s="48" t="str">
        <x:v>B00A/B00A/B00A/B00A</x:v>
      </x:c>
      <x:c r="R64" s="48" t="str">
        <x:v>—/—/—/—</x:v>
      </x:c>
      <x:c r="S64" s="48" t="str">
        <x:v>1 / 2 / 3 / 4</x:v>
      </x:c>
      <x:c r="T64" s="48" t="str">
        <x:v>“—”表示 6.48b 对象表该级字段为空；脚本型技能需结合证据说明与来源冲突表。</x:v>
      </x:c>
    </x:row>
    <x:row r="65" ht="34" customHeight="1">
      <x:c r="A65" s="18" t="str">
        <x:v>UC76-4</x:v>
      </x:c>
      <x:c r="B65" s="18" t="str">
        <x:v>死亡先知</x:v>
      </x:c>
      <x:c r="C65" s="18" t="str">
        <x:v>Death Prophet</x:v>
      </x:c>
      <x:c r="D65" s="18" t="str">
        <x:v>Exorcism</x:v>
      </x:c>
      <x:c r="E65" s="18" t="str">
        <x:v>A073</x:v>
      </x:c>
      <x:c r="F65" s="18" t="str">
        <x:v>AUls</x:v>
      </x:c>
      <x:c r="G65" s="48" t="str">
        <x:v>5/10/16</x:v>
      </x:c>
      <x:c r="H65" s="48" t="str">
        <x:v>0.1/0.1/0.1</x:v>
      </x:c>
      <x:c r="I65" s="48" t="str">
        <x:v>32/32/32</x:v>
      </x:c>
      <x:c r="J65" s="48" t="str">
        <x:v>0.25/0.25/0.25</x:v>
      </x:c>
      <x:c r="K65" s="48" t="str">
        <x:v>1000/1000/1000</x:v>
      </x:c>
      <x:c r="L65" s="48" t="str">
        <x:v>—/—/—</x:v>
      </x:c>
      <x:c r="M65" s="48" t="str">
        <x:v>—/—/—</x:v>
      </x:c>
      <x:c r="N65" s="48" t="str">
        <x:v>—/—/—</x:v>
      </x:c>
      <x:c r="O65" s="48" t="str">
        <x:v>—/—/—</x:v>
      </x:c>
      <x:c r="P65" s="48" t="str">
        <x:v>u00G/u00G/u00G</x:v>
      </x:c>
      <x:c r="Q65" s="48" t="str">
        <x:v>—/—/—</x:v>
      </x:c>
      <x:c r="R65" s="48" t="str">
        <x:v>—/—/—</x:v>
      </x:c>
      <x:c r="S65" s="48" t="str">
        <x:v>1 / 5 / 2 / 10 / 3 / 16 / 120 / 30</x:v>
      </x:c>
      <x:c r="T65" s="48" t="str">
        <x:v>“—”表示 6.48b 对象表该级字段为空；脚本型技能需结合证据说明与来源冲突表。</x:v>
      </x:c>
    </x:row>
    <x:row r="66" ht="34" customHeight="1">
      <x:c r="A66" s="18" t="str">
        <x:v>U006-1</x:v>
      </x:c>
      <x:c r="B66" s="18" t="str">
        <x:v>育母蜘蛛</x:v>
      </x:c>
      <x:c r="C66" s="18" t="str">
        <x:v>Broodmother</x:v>
      </x:c>
      <x:c r="D66" s="18" t="str">
        <x:v>Spin Web</x:v>
      </x:c>
      <x:c r="E66" s="18" t="str">
        <x:v>A0BG</x:v>
      </x:c>
      <x:c r="F66" s="18" t="str">
        <x:v>AUin</x:v>
      </x:c>
      <x:c r="G66" s="48" t="str">
        <x:v>—/—/—/50</x:v>
      </x:c>
      <x:c r="H66" s="48" t="str">
        <x:v>—/—/—/180</x:v>
      </x:c>
      <x:c r="I66" s="48" t="str">
        <x:v>0.001/0.001/0.001/1</x:v>
      </x:c>
      <x:c r="J66" s="48" t="str">
        <x:v>—/—/—/—</x:v>
      </x:c>
      <x:c r="K66" s="48" t="str">
        <x:v>—/—/—/—</x:v>
      </x:c>
      <x:c r="L66" s="48" t="str">
        <x:v>—/—/—/—</x:v>
      </x:c>
      <x:c r="M66" s="48" t="str">
        <x:v>—/—/—/—</x:v>
      </x:c>
      <x:c r="N66" s="48" t="str">
        <x:v>—/—/—/—</x:v>
      </x:c>
      <x:c r="O66" s="48" t="str">
        <x:v>—/—/—/—</x:v>
      </x:c>
      <x:c r="P66" s="48" t="str">
        <x:v>o003/o003/o003/ninf</x:v>
      </x:c>
      <x:c r="Q66" s="48" t="str">
        <x:v>BNin/BNin/BNin/BNin</x:v>
      </x:c>
      <x:c r="R66" s="48" t="str">
        <x:v>—/—/—/—</x:v>
      </x:c>
      <x:c r="S66" s="48" t="str">
        <x:v>1 / 2 / 4 / 3 / 6 / 8 / 90 / 75 / 60 / 45 / 20%</x:v>
      </x:c>
      <x:c r="T66" s="48" t="str">
        <x:v>“—”表示 6.48b 对象表该级字段为空；脚本型技能需结合证据说明与来源冲突表。</x:v>
      </x:c>
    </x:row>
    <x:row r="67" ht="34" customHeight="1">
      <x:c r="A67" s="18" t="str">
        <x:v>U006-2</x:v>
      </x:c>
      <x:c r="B67" s="18" t="str">
        <x:v>育母蜘蛛</x:v>
      </x:c>
      <x:c r="C67" s="18" t="str">
        <x:v>Broodmother</x:v>
      </x:c>
      <x:c r="D67" s="18" t="str">
        <x:v>Insatiable Hunger</x:v>
      </x:c>
      <x:c r="E67" s="18" t="str">
        <x:v>A0BP</x:v>
      </x:c>
      <x:c r="F67" s="18" t="str">
        <x:v>AIpv</x:v>
      </x:c>
      <x:c r="G67" s="48" t="str">
        <x:v>60/75/90</x:v>
      </x:c>
      <x:c r="H67" s="48" t="str">
        <x:v>0.4/0.5/0.6</x:v>
      </x:c>
      <x:c r="I67" s="48" t="str">
        <x:v>—/—/—</x:v>
      </x:c>
      <x:c r="J67" s="48" t="str">
        <x:v>—/—/—</x:v>
      </x:c>
      <x:c r="K67" s="48" t="str">
        <x:v>—/—/—</x:v>
      </x:c>
      <x:c r="L67" s="48" t="str">
        <x:v>—/—/—</x:v>
      </x:c>
      <x:c r="M67" s="48" t="str">
        <x:v>—/—/—</x:v>
      </x:c>
      <x:c r="N67" s="48" t="str">
        <x:v>—/—/—</x:v>
      </x:c>
      <x:c r="O67" s="48" t="str">
        <x:v>—/—/—</x:v>
      </x:c>
      <x:c r="P67" s="48" t="str">
        <x:v>—/—/—</x:v>
      </x:c>
      <x:c r="Q67" s="48" t="str">
        <x:v>B01E/B01E/B01E</x:v>
      </x:c>
      <x:c r="R67" s="48" t="str">
        <x:v>—/—/—</x:v>
      </x:c>
      <x:c r="S67" s="48" t="str">
        <x:v>60 / 75 / 90 / 40% / 50% / 60% / 20 / 1 / 2 / 3</x:v>
      </x:c>
      <x:c r="T67" s="48" t="str">
        <x:v>“—”表示 6.48b 对象表该级字段为空；脚本型技能需结合证据说明与来源冲突表。</x:v>
      </x:c>
    </x:row>
    <x:row r="68" ht="34" customHeight="1">
      <x:c r="A68" s="18" t="str">
        <x:v>U006-3</x:v>
      </x:c>
      <x:c r="B68" s="18" t="str">
        <x:v>育母蜘蛛</x:v>
      </x:c>
      <x:c r="C68" s="18" t="str">
        <x:v>Broodmother</x:v>
      </x:c>
      <x:c r="D68" s="18" t="str">
        <x:v>Incapacitating Bite</x:v>
      </x:c>
      <x:c r="E68" s="18" t="str">
        <x:v>A0BK</x:v>
      </x:c>
      <x:c r="F68" s="18" t="str">
        <x:v>AIsb</x:v>
      </x:c>
      <x:c r="G68" s="48" t="str">
        <x:v>2/4/6/—</x:v>
      </x:c>
      <x:c r="H68" s="48" t="str">
        <x:v>100/100/100/—</x:v>
      </x:c>
      <x:c r="I68" s="48" t="str">
        <x:v>100/100/100/—</x:v>
      </x:c>
      <x:c r="J68" s="48" t="str">
        <x:v>100/100/100/—</x:v>
      </x:c>
      <x:c r="K68" s="48" t="str">
        <x:v>—/—/—/—</x:v>
      </x:c>
      <x:c r="L68" s="48" t="str">
        <x:v>—/—/—/—</x:v>
      </x:c>
      <x:c r="M68" s="48" t="str">
        <x:v>—/—/—/—</x:v>
      </x:c>
      <x:c r="N68" s="48" t="str">
        <x:v>—/—/—/—</x:v>
      </x:c>
      <x:c r="O68" s="48" t="str">
        <x:v>—/—/—/—</x:v>
      </x:c>
      <x:c r="P68" s="48" t="str">
        <x:v>A0BM/A0BL/A0BN/—</x:v>
      </x:c>
      <x:c r="Q68" s="48" t="str">
        <x:v>—/—/—/—</x:v>
      </x:c>
      <x:c r="R68" s="48" t="str">
        <x:v>—/—/—/—</x:v>
      </x:c>
      <x:c r="S68" s="48" t="str">
        <x:v>2 / 4 / 6 / 8 / 10% / 20% / 30% / 40% / 15% / 25% / 1 / 3</x:v>
      </x:c>
      <x:c r="T68" s="48" t="str">
        <x:v>“—”表示 6.48b 对象表该级字段为空；脚本型技能需结合证据说明与来源冲突表。</x:v>
      </x:c>
    </x:row>
    <x:row r="69" ht="34" customHeight="1">
      <x:c r="A69" s="18" t="str">
        <x:v>U006-4</x:v>
      </x:c>
      <x:c r="B69" s="18" t="str">
        <x:v>育母蜘蛛</x:v>
      </x:c>
      <x:c r="C69" s="18" t="str">
        <x:v>Broodmother</x:v>
      </x:c>
      <x:c r="D69" s="18" t="str">
        <x:v>Spawn Spiderlings</x:v>
      </x:c>
      <x:c r="E69" s="18" t="str">
        <x:v>A0BH</x:v>
      </x:c>
      <x:c r="F69" s="18" t="str">
        <x:v>ANpa</x:v>
      </x:c>
      <x:c r="G69" s="48" t="str">
        <x:v>75/150/225/—</x:v>
      </x:c>
      <x:c r="H69" s="48" t="str">
        <x:v>—/—/—/—</x:v>
      </x:c>
      <x:c r="I69" s="48" t="str">
        <x:v>—/—/—/—</x:v>
      </x:c>
      <x:c r="J69" s="48" t="str">
        <x:v>8/8/8/—</x:v>
      </x:c>
      <x:c r="K69" s="48" t="str">
        <x:v>1/2/3/—</x:v>
      </x:c>
      <x:c r="L69" s="48" t="str">
        <x:v>—/—/—/—</x:v>
      </x:c>
      <x:c r="M69" s="48" t="str">
        <x:v>—/—/—/—</x:v>
      </x:c>
      <x:c r="N69" s="48" t="str">
        <x:v>—/—/—/—</x:v>
      </x:c>
      <x:c r="O69" s="48" t="str">
        <x:v>—/—/—/—</x:v>
      </x:c>
      <x:c r="P69" s="48" t="str">
        <x:v>n019/n019/n019/—</x:v>
      </x:c>
      <x:c r="Q69" s="48" t="str">
        <x:v>BNpa,BFig/BNpa,BFig/BNpa,BFig/—</x:v>
      </x:c>
      <x:c r="R69" s="48" t="str">
        <x:v>—/—/—/—</x:v>
      </x:c>
      <x:c r="S69" s="48" t="str">
        <x:v>1 / 75 / 2 / 150 / 3 / 225 / 4 / 300 / 10</x:v>
      </x:c>
      <x:c r="T69" s="48" t="str">
        <x:v>“—”表示 6.48b 对象表该级字段为空；脚本型技能需结合证据说明与来源冲突表。</x:v>
      </x:c>
    </x:row>
    <x:row r="70" ht="34" customHeight="1">
      <x:c r="A70" s="18" t="str">
        <x:v>UC18-1</x:v>
      </x:c>
      <x:c r="B70" s="18" t="str">
        <x:v>恶魔巫师</x:v>
      </x:c>
      <x:c r="C70" s="18" t="str">
        <x:v>Demon Witch</x:v>
      </x:c>
      <x:c r="D70" s="18" t="str">
        <x:v>Impale</x:v>
      </x:c>
      <x:c r="E70" s="18" t="str">
        <x:v>A02J</x:v>
      </x:c>
      <x:c r="F70" s="18" t="str">
        <x:v>AUim</x:v>
      </x:c>
      <x:c r="G70" s="48" t="str">
        <x:v>500/500/500/500</x:v>
      </x:c>
      <x:c r="H70" s="48" t="str">
        <x:v>0.2/0.2/0.2/0.2</x:v>
      </x:c>
      <x:c r="I70" s="48" t="str">
        <x:v>60/130/200/260</x:v>
      </x:c>
      <x:c r="J70" s="48" t="str">
        <x:v>1/1/1/1</x:v>
      </x:c>
      <x:c r="K70" s="48" t="str">
        <x:v>—/—/—/—</x:v>
      </x:c>
      <x:c r="L70" s="48" t="str">
        <x:v>—/—/—/—</x:v>
      </x:c>
      <x:c r="M70" s="48" t="str">
        <x:v>—/—/—/—</x:v>
      </x:c>
      <x:c r="N70" s="48" t="str">
        <x:v>—/—/—/—</x:v>
      </x:c>
      <x:c r="O70" s="48" t="str">
        <x:v>—/—/—/—</x:v>
      </x:c>
      <x:c r="P70" s="48" t="str">
        <x:v>—/—/—/—</x:v>
      </x:c>
      <x:c r="Q70" s="48" t="str">
        <x:v>BUim/BUim/BUim/BUim</x:v>
      </x:c>
      <x:c r="R70" s="48" t="str">
        <x:v>—/—/—/—</x:v>
      </x:c>
      <x:c r="S70" s="48" t="str">
        <x:v>1 / 60 / 5 / 2 / 130 / 3 / 200 / 1.5 / 4 / 260 / 12 / 0.5</x:v>
      </x:c>
      <x:c r="T70" s="48" t="str">
        <x:v>“—”表示 6.48b 对象表该级字段为空；脚本型技能需结合证据说明与来源冲突表。</x:v>
      </x:c>
    </x:row>
    <x:row r="71" ht="34" customHeight="1">
      <x:c r="A71" s="18" t="str">
        <x:v>UC18-2</x:v>
      </x:c>
      <x:c r="B71" s="18" t="str">
        <x:v>恶魔巫师</x:v>
      </x:c>
      <x:c r="C71" s="18" t="str">
        <x:v>Demon Witch</x:v>
      </x:c>
      <x:c r="D71" s="18" t="str">
        <x:v>Voodoo</x:v>
      </x:c>
      <x:c r="E71" s="18" t="str">
        <x:v>A0MN</x:v>
      </x:c>
      <x:c r="F71" s="18" t="str">
        <x:v>AOhx</x:v>
      </x:c>
      <x:c r="G71" s="48" t="str">
        <x:v>99/99/99/99</x:v>
      </x:c>
      <x:c r="H71" s="48" t="str">
        <x:v>nech,npig,nsea,ncrb,nhmc,nrat,nfro,necr,nrac/nech,npig,nsea,ncrb,nhmc,nrat,nfro,necr,nrac/nech,npig,nsea,ncrb,nhmc,nrat,nfro,necr,nrac/nech,npig,nsea,ncrb,nhmc,nrat,nfro,necr,nrac</x:v>
      </x:c>
      <x:c r="I71" s="48" t="str">
        <x:v>nalb,nvul,nsno/nalb,nvul,nsno/nalb,nvul,nsno/nalb,nvul,nsno</x:v>
      </x:c>
      <x:c r="J71" s="48" t="str">
        <x:v>nsha,npng/nsha,npng/nsha,npng/nsha,npng</x:v>
      </x:c>
      <x:c r="K71" s="48" t="str">
        <x:v>nshw,npnw/nshw,npnw/nshw,npnw/nshw,npnw</x:v>
      </x:c>
      <x:c r="L71" s="48" t="str">
        <x:v>—/—/—/—</x:v>
      </x:c>
      <x:c r="M71" s="48" t="str">
        <x:v>—/—/—/—</x:v>
      </x:c>
      <x:c r="N71" s="48" t="str">
        <x:v>—/—/—/—</x:v>
      </x:c>
      <x:c r="O71" s="48" t="str">
        <x:v>—/—/—/—</x:v>
      </x:c>
      <x:c r="P71" s="48" t="str">
        <x:v>—/—/—/—</x:v>
      </x:c>
      <x:c r="Q71" s="48" t="str">
        <x:v>B00H/B00H/B00H/B00H</x:v>
      </x:c>
      <x:c r="R71" s="48" t="str">
        <x:v>—/—/—/—</x:v>
      </x:c>
      <x:c r="S71" s="48" t="str">
        <x:v>1 / 2 / 3 / 4 / 13</x:v>
      </x:c>
      <x:c r="T71" s="48" t="str">
        <x:v>“—”表示 6.48b 对象表该级字段为空；脚本型技能需结合证据说明与来源冲突表。</x:v>
      </x:c>
    </x:row>
    <x:row r="72" ht="34" customHeight="1">
      <x:c r="A72" s="18" t="str">
        <x:v>UC18-3</x:v>
      </x:c>
      <x:c r="B72" s="18" t="str">
        <x:v>恶魔巫师</x:v>
      </x:c>
      <x:c r="C72" s="18" t="str">
        <x:v>Demon Witch</x:v>
      </x:c>
      <x:c r="D72" s="18" t="str">
        <x:v>Mana Drain</x:v>
      </x:c>
      <x:c r="E72" s="18" t="str">
        <x:v>A02N</x:v>
      </x:c>
      <x:c r="F72" s="18" t="str">
        <x:v>AHdr</x:v>
      </x:c>
      <x:c r="G72" s="48" t="str">
        <x:v>—/—/—/—</x:v>
      </x:c>
      <x:c r="H72" s="48" t="str">
        <x:v>15/30/50/80</x:v>
      </x:c>
      <x:c r="I72" s="48" t="str">
        <x:v>1/1/1/1</x:v>
      </x:c>
      <x:c r="J72" s="48" t="str">
        <x:v>—/—/—/—</x:v>
      </x:c>
      <x:c r="K72" s="48" t="str">
        <x:v>15/30/50/80</x:v>
      </x:c>
      <x:c r="L72" s="48" t="str">
        <x:v>—/—/—/—</x:v>
      </x:c>
      <x:c r="M72" s="48" t="str">
        <x:v>—/—/—/—</x:v>
      </x:c>
      <x:c r="N72" s="48" t="str">
        <x:v>1/1/1/1</x:v>
      </x:c>
      <x:c r="O72" s="48" t="str">
        <x:v>3/3/3/3</x:v>
      </x:c>
      <x:c r="P72" s="48" t="str">
        <x:v>—/—/—/—</x:v>
      </x:c>
      <x:c r="Q72" s="48" t="str">
        <x:v>Bdcb,Bdcl,Bdcm,Bdtb,Bdtl,Bdtm,Bdbb,Bdbl,Bdbm/Bdcb,Bdcl,Bdcm,Bdtb,Bdtl,Bdtm,Bdbb,Bdbl,Bdbm/Bdcb,Bdcl,Bdcm,Bdtb,Bdtl,Bdtm,Bdbb,Bdbl,Bdbm/Bdcb,Bdcl,Bdcm,Bdtb,Bdtl,Bdtm,Bdbb,Bdbl,Bdbm</x:v>
      </x:c>
      <x:c r="R72" s="48" t="str">
        <x:v>—/—/—/—</x:v>
      </x:c>
      <x:c r="S72" s="48" t="str">
        <x:v>5 / 1 / 15 / 2 / 30 / 3 / 50 / 4 / 80 / 25 / 20 / 10</x:v>
      </x:c>
      <x:c r="T72" s="48" t="str">
        <x:v>“—”表示 6.48b 对象表该级字段为空；脚本型技能需结合证据说明与来源冲突表。</x:v>
      </x:c>
    </x:row>
    <x:row r="73" ht="34" customHeight="1">
      <x:c r="A73" s="18" t="str">
        <x:v>UC18-4</x:v>
      </x:c>
      <x:c r="B73" s="18" t="str">
        <x:v>恶魔巫师</x:v>
      </x:c>
      <x:c r="C73" s="18" t="str">
        <x:v>Demon Witch</x:v>
      </x:c>
      <x:c r="D73" s="18" t="str">
        <x:v>Finger of Death</x:v>
      </x:c>
      <x:c r="E73" s="18" t="str">
        <x:v>A095</x:v>
      </x:c>
      <x:c r="F73" s="18" t="str">
        <x:v>AOcl</x:v>
      </x:c>
      <x:c r="G73" s="48" t="str">
        <x:v>500/650/850</x:v>
      </x:c>
      <x:c r="H73" s="48" t="str">
        <x:v>1/1/1</x:v>
      </x:c>
      <x:c r="I73" s="48" t="str">
        <x:v>0.15/0.15/0.15</x:v>
      </x:c>
      <x:c r="J73" s="48" t="str">
        <x:v>—/—/—</x:v>
      </x:c>
      <x:c r="K73" s="48" t="str">
        <x:v>—/—/—</x:v>
      </x:c>
      <x:c r="L73" s="48" t="str">
        <x:v>—/—/—</x:v>
      </x:c>
      <x:c r="M73" s="48" t="str">
        <x:v>—/—/—</x:v>
      </x:c>
      <x:c r="N73" s="48" t="str">
        <x:v>—/—/—</x:v>
      </x:c>
      <x:c r="O73" s="48" t="str">
        <x:v>—/—/—</x:v>
      </x:c>
      <x:c r="P73" s="48" t="str">
        <x:v>—/—/—</x:v>
      </x:c>
      <x:c r="Q73" s="48" t="str">
        <x:v>—/—/—</x:v>
      </x:c>
      <x:c r="R73" s="48" t="str">
        <x:v>—/—/—</x:v>
      </x:c>
      <x:c r="S73" s="48" t="str">
        <x:v>1 / 500 / 2 / 650 / 3 / 850 / 150 / 90 / 55</x:v>
      </x:c>
      <x:c r="T73" s="48" t="str">
        <x:v>“—”表示 6.48b 对象表该级字段为空；脚本型技能需结合证据说明与来源冲突表。</x:v>
      </x:c>
    </x:row>
    <x:row r="74" ht="34" customHeight="1">
      <x:c r="A74" s="18" t="str">
        <x:v>EC57-1</x:v>
      </x:c>
      <x:c r="B74" s="18" t="str">
        <x:v>剧毒术士</x:v>
      </x:c>
      <x:c r="C74" s="18" t="str">
        <x:v>Venomancer</x:v>
      </x:c>
      <x:c r="D74" s="18" t="str">
        <x:v>Shadow Strike</x:v>
      </x:c>
      <x:c r="E74" s="18" t="str">
        <x:v>AEsh</x:v>
      </x:c>
      <x:c r="F74" s="18" t="str">
        <x:v>AEsh</x:v>
      </x:c>
      <x:c r="G74" s="48" t="str">
        <x:v>10/20/40/50</x:v>
      </x:c>
      <x:c r="H74" s="48" t="str">
        <x:v>0.5/0.5/0.5/0.5</x:v>
      </x:c>
      <x:c r="I74" s="48" t="str">
        <x:v>—/—/—/—</x:v>
      </x:c>
      <x:c r="J74" s="48" t="str">
        <x:v>3/3/3/3</x:v>
      </x:c>
      <x:c r="K74" s="48" t="str">
        <x:v>50/70/70/100</x:v>
      </x:c>
      <x:c r="L74" s="48" t="str">
        <x:v>—/—/—/—</x:v>
      </x:c>
      <x:c r="M74" s="48" t="str">
        <x:v>—/—/—/—</x:v>
      </x:c>
      <x:c r="N74" s="48" t="str">
        <x:v>—/—/—/—</x:v>
      </x:c>
      <x:c r="O74" s="48" t="str">
        <x:v>—/—/—/—</x:v>
      </x:c>
      <x:c r="P74" s="48" t="str">
        <x:v>—/—/—/—</x:v>
      </x:c>
      <x:c r="Q74" s="48" t="str">
        <x:v>BEsh/BEsh/BEsh/BEsh</x:v>
      </x:c>
      <x:c r="R74" s="48" t="str">
        <x:v>—/—/—/—</x:v>
      </x:c>
      <x:c r="S74" s="48" t="str">
        <x:v>1 / 50 / 10 / 2 / 70 / 20 / 3 / 40 / 4 / 100 / 22 / 15</x:v>
      </x:c>
      <x:c r="T74" s="48" t="str">
        <x:v>“—”表示 6.48b 对象表该级字段为空；脚本型技能需结合证据说明与来源冲突表。</x:v>
      </x:c>
    </x:row>
    <x:row r="75" ht="34" customHeight="1">
      <x:c r="A75" s="18" t="str">
        <x:v>EC57-2</x:v>
      </x:c>
      <x:c r="B75" s="18" t="str">
        <x:v>剧毒术士</x:v>
      </x:c>
      <x:c r="C75" s="18" t="str">
        <x:v>Venomancer</x:v>
      </x:c>
      <x:c r="D75" s="18" t="str">
        <x:v>Poison Sting</x:v>
      </x:c>
      <x:c r="E75" s="18" t="str">
        <x:v>A0MY</x:v>
      </x:c>
      <x:c r="F75" s="18" t="str">
        <x:v>Aven</x:v>
      </x:c>
      <x:c r="G75" s="48" t="str">
        <x:v>5/10/15/—</x:v>
      </x:c>
      <x:c r="H75" s="48" t="str">
        <x:v>0.1/0.1/0.1/—</x:v>
      </x:c>
      <x:c r="I75" s="48" t="str">
        <x:v>—/—/—/—</x:v>
      </x:c>
      <x:c r="J75" s="48" t="str">
        <x:v>—/—/—/—</x:v>
      </x:c>
      <x:c r="K75" s="48" t="str">
        <x:v>—/—/—/—</x:v>
      </x:c>
      <x:c r="L75" s="48" t="str">
        <x:v>—/—/—/—</x:v>
      </x:c>
      <x:c r="M75" s="48" t="str">
        <x:v>—/—/—/—</x:v>
      </x:c>
      <x:c r="N75" s="48" t="str">
        <x:v>—/—/—/—</x:v>
      </x:c>
      <x:c r="O75" s="48" t="str">
        <x:v>—/—/—/—</x:v>
      </x:c>
      <x:c r="P75" s="48" t="str">
        <x:v>—/—/—/—</x:v>
      </x:c>
      <x:c r="Q75" s="48" t="str">
        <x:v>Bpoi,Bpsd/Bpoi,Bpsd/Bpoi,Bpsd/—</x:v>
      </x:c>
      <x:c r="R75" s="48" t="str">
        <x:v>—/—/—/—</x:v>
      </x:c>
      <x:c r="S75" s="48" t="str">
        <x:v>10% / 7 / 1 / 5 / 2 / 10 / 3 / 15 / 4 / 20</x:v>
      </x:c>
      <x:c r="T75" s="48" t="str">
        <x:v>“—”表示 6.48b 对象表该级字段为空；脚本型技能需结合证据说明与来源冲突表。</x:v>
      </x:c>
    </x:row>
    <x:row r="76" ht="34" customHeight="1">
      <x:c r="A76" s="18" t="str">
        <x:v>EC57-3</x:v>
      </x:c>
      <x:c r="B76" s="18" t="str">
        <x:v>剧毒术士</x:v>
      </x:c>
      <x:c r="C76" s="18" t="str">
        <x:v>Venomancer</x:v>
      </x:c>
      <x:c r="D76" s="18" t="str">
        <x:v>Plague Ward</x:v>
      </x:c>
      <x:c r="E76" s="18" t="str">
        <x:v>A0MS</x:v>
      </x:c>
      <x:c r="F76" s="18" t="str">
        <x:v>AOwd</x:v>
      </x:c>
      <x:c r="G76" s="48" t="str">
        <x:v>1/1/1/1</x:v>
      </x:c>
      <x:c r="H76" s="48" t="str">
        <x:v>—/—/—/—</x:v>
      </x:c>
      <x:c r="I76" s="48" t="str">
        <x:v>—/—/—/—</x:v>
      </x:c>
      <x:c r="J76" s="48" t="str">
        <x:v>—/—/—/—</x:v>
      </x:c>
      <x:c r="K76" s="48" t="str">
        <x:v>—/—/—/—</x:v>
      </x:c>
      <x:c r="L76" s="48" t="str">
        <x:v>—/—/—/—</x:v>
      </x:c>
      <x:c r="M76" s="48" t="str">
        <x:v>—/—/—/—</x:v>
      </x:c>
      <x:c r="N76" s="48" t="str">
        <x:v>—/—/—/—</x:v>
      </x:c>
      <x:c r="O76" s="48" t="str">
        <x:v>—/—/—/—</x:v>
      </x:c>
      <x:c r="P76" s="48" t="str">
        <x:v>o00T/o00U/o00V/o00W</x:v>
      </x:c>
      <x:c r="Q76" s="48" t="str">
        <x:v>BOwd/BOwd/BOwd/BOwd</x:v>
      </x:c>
      <x:c r="R76" s="48" t="str">
        <x:v>—/—/—/—</x:v>
      </x:c>
      <x:c r="S76" s="48" t="str">
        <x:v>40 / 1 / 75 / 11 / 2 / 200 / 21 / 3 / 325 / 32 / 4 / 450 / 42 / 5</x:v>
      </x:c>
      <x:c r="T76" s="48" t="str">
        <x:v>“—”表示 6.48b 对象表该级字段为空；脚本型技能需结合证据说明与来源冲突表。</x:v>
      </x:c>
    </x:row>
    <x:row r="77" ht="34" customHeight="1">
      <x:c r="A77" s="18" t="str">
        <x:v>EC57-4</x:v>
      </x:c>
      <x:c r="B77" s="18" t="str">
        <x:v>剧毒术士</x:v>
      </x:c>
      <x:c r="C77" s="18" t="str">
        <x:v>Venomancer</x:v>
      </x:c>
      <x:c r="D77" s="18" t="str">
        <x:v>Poison Nova</x:v>
      </x:c>
      <x:c r="E77" s="18" t="str">
        <x:v>A013</x:v>
      </x:c>
      <x:c r="F77" s="18" t="str">
        <x:v>ANsg</x:v>
      </x:c>
      <x:c r="G77" s="48" t="str">
        <x:v>1/1/1</x:v>
      </x:c>
      <x:c r="H77" s="48" t="str">
        <x:v>—/—/—</x:v>
      </x:c>
      <x:c r="I77" s="48" t="str">
        <x:v>—/—/—</x:v>
      </x:c>
      <x:c r="J77" s="48" t="str">
        <x:v>—/—/—</x:v>
      </x:c>
      <x:c r="K77" s="48" t="str">
        <x:v>—/—/—</x:v>
      </x:c>
      <x:c r="L77" s="48" t="str">
        <x:v>—/—/—</x:v>
      </x:c>
      <x:c r="M77" s="48" t="str">
        <x:v>—/—/—</x:v>
      </x:c>
      <x:c r="N77" s="48" t="str">
        <x:v>—/—/—</x:v>
      </x:c>
      <x:c r="O77" s="48" t="str">
        <x:v>—/—/—</x:v>
      </x:c>
      <x:c r="P77" s="48" t="str">
        <x:v>e00E/e00E/e00E</x:v>
      </x:c>
      <x:c r="Q77" s="48" t="str">
        <x:v>BNsg/BNsg/BNsg</x:v>
      </x:c>
      <x:c r="R77" s="48" t="str">
        <x:v>—/—/—</x:v>
      </x:c>
      <x:c r="S77" s="48" t="str">
        <x:v>12 / 1 / 36 / 2 / 58 / 3 / 81 / 140 / 120 / 100</x:v>
      </x:c>
      <x:c r="T77" s="48" t="str">
        <x:v>“—”表示 6.48b 对象表该级字段为空；脚本型技能需结合证据说明与来源冲突表。</x:v>
      </x:c>
    </x:row>
    <x:row r="78" ht="34" customHeight="1">
      <x:c r="A78" s="18" t="str">
        <x:v>UC11-1</x:v>
      </x:c>
      <x:c r="B78" s="18" t="str">
        <x:v>半人猛犸</x:v>
      </x:c>
      <x:c r="C78" s="18" t="str">
        <x:v>Magnataur</x:v>
      </x:c>
      <x:c r="D78" s="18" t="str">
        <x:v>Shockwave</x:v>
      </x:c>
      <x:c r="E78" s="18" t="str">
        <x:v>A02S</x:v>
      </x:c>
      <x:c r="F78" s="18" t="str">
        <x:v>AOsh</x:v>
      </x:c>
      <x:c r="G78" s="48" t="str">
        <x:v>75/150/225/300</x:v>
      </x:c>
      <x:c r="H78" s="48" t="str">
        <x:v>99999/99999/99999/99999</x:v>
      </x:c>
      <x:c r="I78" s="48" t="str">
        <x:v>700/700/700/700</x:v>
      </x:c>
      <x:c r="J78" s="48" t="str">
        <x:v>150/150/150/150</x:v>
      </x:c>
      <x:c r="K78" s="48" t="str">
        <x:v>—/—/—/—</x:v>
      </x:c>
      <x:c r="L78" s="48" t="str">
        <x:v>—/—/—/—</x:v>
      </x:c>
      <x:c r="M78" s="48" t="str">
        <x:v>—/—/—/—</x:v>
      </x:c>
      <x:c r="N78" s="48" t="str">
        <x:v>—/—/—/—</x:v>
      </x:c>
      <x:c r="O78" s="48" t="str">
        <x:v>—/—/—/—</x:v>
      </x:c>
      <x:c r="P78" s="48" t="str">
        <x:v>—/—/—/—</x:v>
      </x:c>
      <x:c r="Q78" s="48" t="str">
        <x:v>BOsh/BOsh/BOsh/BOsh</x:v>
      </x:c>
      <x:c r="R78" s="48" t="str">
        <x:v>—/—/—/—</x:v>
      </x:c>
      <x:c r="S78" s="48" t="str">
        <x:v>1 / 75 / 2 / 150 / 3 / 225 / 4 / 300 / 11 / 10 / 9 / 8</x:v>
      </x:c>
      <x:c r="T78" s="48" t="str">
        <x:v>“—”表示 6.48b 对象表该级字段为空；脚本型技能需结合证据说明与来源冲突表。</x:v>
      </x:c>
    </x:row>
    <x:row r="79" ht="34" customHeight="1">
      <x:c r="A79" s="18" t="str">
        <x:v>UC11-2</x:v>
      </x:c>
      <x:c r="B79" s="18" t="str">
        <x:v>半人猛犸</x:v>
      </x:c>
      <x:c r="C79" s="18" t="str">
        <x:v>Magnataur</x:v>
      </x:c>
      <x:c r="D79" s="18" t="str">
        <x:v>Empower</x:v>
      </x:c>
      <x:c r="E79" s="18" t="str">
        <x:v>A037</x:v>
      </x:c>
      <x:c r="F79" s="18" t="str">
        <x:v>Ainf</x:v>
      </x:c>
      <x:c r="G79" s="48" t="str">
        <x:v>0.15/0.3/0.45/—</x:v>
      </x:c>
      <x:c r="H79" s="48" t="str">
        <x:v>—/—/—/—</x:v>
      </x:c>
      <x:c r="I79" s="48" t="str">
        <x:v>—/—/—/—</x:v>
      </x:c>
      <x:c r="J79" s="48" t="str">
        <x:v>—/—/—/—</x:v>
      </x:c>
      <x:c r="K79" s="48" t="str">
        <x:v>—/—/—/—</x:v>
      </x:c>
      <x:c r="L79" s="48" t="str">
        <x:v>—/—/—/—</x:v>
      </x:c>
      <x:c r="M79" s="48" t="str">
        <x:v>—/—/—/—</x:v>
      </x:c>
      <x:c r="N79" s="48" t="str">
        <x:v>—/—/—/—</x:v>
      </x:c>
      <x:c r="O79" s="48" t="str">
        <x:v>—/—/—/—</x:v>
      </x:c>
      <x:c r="P79" s="48" t="str">
        <x:v>—/—/—/—</x:v>
      </x:c>
      <x:c r="Q79" s="48" t="str">
        <x:v>B00U/B00U/B00U/—</x:v>
      </x:c>
      <x:c r="R79" s="48" t="str">
        <x:v>—/—/—/—</x:v>
      </x:c>
      <x:c r="S79" s="48" t="str">
        <x:v>1 / 15% / 2 / 30% / 3 / 45% / 4 / 60% / 12</x:v>
      </x:c>
      <x:c r="T79" s="48" t="str">
        <x:v>“—”表示 6.48b 对象表该级字段为空；脚本型技能需结合证据说明与来源冲突表。</x:v>
      </x:c>
    </x:row>
    <x:row r="80" ht="34" customHeight="1">
      <x:c r="A80" s="18" t="str">
        <x:v>UC11-3</x:v>
      </x:c>
      <x:c r="B80" s="18" t="str">
        <x:v>半人猛犸</x:v>
      </x:c>
      <x:c r="C80" s="18" t="str">
        <x:v>Magnataur</x:v>
      </x:c>
      <x:c r="D80" s="18" t="str">
        <x:v>Mighty Swing</x:v>
      </x:c>
      <x:c r="E80" s="18" t="str">
        <x:v>A024</x:v>
      </x:c>
      <x:c r="F80" s="18" t="str">
        <x:v>ANca</x:v>
      </x:c>
      <x:c r="G80" s="48" t="str">
        <x:v>0.12/0.25/0.37/0.5</x:v>
      </x:c>
      <x:c r="H80" s="48" t="str">
        <x:v>—/—/—/—</x:v>
      </x:c>
      <x:c r="I80" s="48" t="str">
        <x:v>—/—/—/—</x:v>
      </x:c>
      <x:c r="J80" s="48" t="str">
        <x:v>—/—/—/—</x:v>
      </x:c>
      <x:c r="K80" s="48" t="str">
        <x:v>—/—/—/—</x:v>
      </x:c>
      <x:c r="L80" s="48" t="str">
        <x:v>—/—/—/—</x:v>
      </x:c>
      <x:c r="M80" s="48" t="str">
        <x:v>—/—/—/—</x:v>
      </x:c>
      <x:c r="N80" s="48" t="str">
        <x:v>—/—/—/—</x:v>
      </x:c>
      <x:c r="O80" s="48" t="str">
        <x:v>—/—/—/—</x:v>
      </x:c>
      <x:c r="P80" s="48" t="str">
        <x:v>—/—/—/—</x:v>
      </x:c>
      <x:c r="Q80" s="48" t="str">
        <x:v>—/—/—/—</x:v>
      </x:c>
      <x:c r="R80" s="48" t="str">
        <x:v>—/—/—/—</x:v>
      </x:c>
      <x:c r="S80" s="48" t="str">
        <x:v>1 / 12% / 2 / 25% / 3 / 37% / 4 / 50%</x:v>
      </x:c>
      <x:c r="T80" s="48" t="str">
        <x:v>“—”表示 6.48b 对象表该级字段为空；脚本型技能需结合证据说明与来源冲突表。</x:v>
      </x:c>
    </x:row>
    <x:row r="81" ht="34" customHeight="1">
      <x:c r="A81" s="18" t="str">
        <x:v>UC11-4</x:v>
      </x:c>
      <x:c r="B81" s="18" t="str">
        <x:v>半人猛犸</x:v>
      </x:c>
      <x:c r="C81" s="18" t="str">
        <x:v>Magnataur</x:v>
      </x:c>
      <x:c r="D81" s="18" t="str">
        <x:v>Reverse Polarity</x:v>
      </x:c>
      <x:c r="E81" s="18" t="str">
        <x:v>A06F</x:v>
      </x:c>
      <x:c r="F81" s="18" t="str">
        <x:v>AOws</x:v>
      </x:c>
      <x:c r="G81" s="48" t="str">
        <x:v>150/225/300</x:v>
      </x:c>
      <x:c r="H81" s="48" t="str">
        <x:v>—/—/—</x:v>
      </x:c>
      <x:c r="I81" s="48" t="str">
        <x:v>—/—/—</x:v>
      </x:c>
      <x:c r="J81" s="48" t="str">
        <x:v>—/—/—</x:v>
      </x:c>
      <x:c r="K81" s="48" t="str">
        <x:v>—/—/—</x:v>
      </x:c>
      <x:c r="L81" s="48" t="str">
        <x:v>—/—/—</x:v>
      </x:c>
      <x:c r="M81" s="48" t="str">
        <x:v>—/—/—</x:v>
      </x:c>
      <x:c r="N81" s="48" t="str">
        <x:v>—/—/—</x:v>
      </x:c>
      <x:c r="O81" s="48" t="str">
        <x:v>—/—/—</x:v>
      </x:c>
      <x:c r="P81" s="48" t="str">
        <x:v>—/—/—</x:v>
      </x:c>
      <x:c r="Q81" s="48" t="str">
        <x:v>BPSE/BPSE/BPSE</x:v>
      </x:c>
      <x:c r="R81" s="48" t="str">
        <x:v>—/—/—</x:v>
      </x:c>
      <x:c r="S81" s="48" t="str">
        <x:v>1 / 2 / 150 / 3 / 225 / 4 / 300 / 120 / 110 / 100</x:v>
      </x:c>
      <x:c r="T81" s="48" t="str">
        <x:v>“—”表示 6.48b 对象表该级字段为空；脚本型技能需结合证据说明与来源冲突表。</x:v>
      </x:c>
    </x:row>
    <x:row r="82" ht="34" customHeight="1">
      <x:c r="A82" s="18" t="str">
        <x:v>UC60-1</x:v>
      </x:c>
      <x:c r="B82" s="18" t="str">
        <x:v>死灵飞龙</x:v>
      </x:c>
      <x:c r="C82" s="18" t="str">
        <x:v>Necro'lic</x:v>
      </x:c>
      <x:c r="D82" s="18" t="str">
        <x:v>Soul Assumption</x:v>
      </x:c>
      <x:c r="E82" s="18" t="str">
        <x:v>A0C4</x:v>
      </x:c>
      <x:c r="F82" s="18" t="str">
        <x:v>ANba</x:v>
      </x:c>
      <x:c r="G82" s="48" t="str">
        <x:v>10/20/30/40</x:v>
      </x:c>
      <x:c r="H82" s="48" t="str">
        <x:v>1/1/1/1</x:v>
      </x:c>
      <x:c r="I82" s="48" t="str">
        <x:v>0.01/0.01/0.01/0.01</x:v>
      </x:c>
      <x:c r="J82" s="48" t="str">
        <x:v>—/—/—/—</x:v>
      </x:c>
      <x:c r="K82" s="48" t="str">
        <x:v>—/—/—/—</x:v>
      </x:c>
      <x:c r="L82" s="48" t="str">
        <x:v>—/—/—/—</x:v>
      </x:c>
      <x:c r="M82" s="48" t="str">
        <x:v>—/—/—/—</x:v>
      </x:c>
      <x:c r="N82" s="48" t="str">
        <x:v>—/—/—/—</x:v>
      </x:c>
      <x:c r="O82" s="48" t="str">
        <x:v>—/—/—/—</x:v>
      </x:c>
      <x:c r="P82" s="48" t="str">
        <x:v>e00Z/e00Z/e00Z/e00Z</x:v>
      </x:c>
      <x:c r="Q82" s="48" t="str">
        <x:v>BNba,BNdm/BNba,BNdm/BNba,BNdm/BNba,BNdm</x:v>
      </x:c>
      <x:c r="R82" s="48" t="str">
        <x:v>—/—/—/—</x:v>
      </x:c>
      <x:c r="S82" s="48" t="str">
        <x:v>1 / 10 / 2 / 20 / 3 / 30 / 4 / 40 / 0</x:v>
      </x:c>
      <x:c r="T82" s="48" t="str">
        <x:v>“—”表示 6.48b 对象表该级字段为空；脚本型技能需结合证据说明与来源冲突表。</x:v>
      </x:c>
    </x:row>
    <x:row r="83" ht="34" customHeight="1">
      <x:c r="A83" s="18" t="str">
        <x:v>UC60-2</x:v>
      </x:c>
      <x:c r="B83" s="18" t="str">
        <x:v>死灵飞龙</x:v>
      </x:c>
      <x:c r="C83" s="18" t="str">
        <x:v>Necro'lic</x:v>
      </x:c>
      <x:c r="D83" s="18" t="str">
        <x:v>Gravekeeper's Cloak</x:v>
      </x:c>
      <x:c r="E83" s="18" t="str">
        <x:v>A0MD</x:v>
      </x:c>
      <x:c r="F83" s="18" t="str">
        <x:v>—</x:v>
      </x:c>
      <x:c r="G83" s="48" t="str">
        <x:v>—/—/—/—</x:v>
      </x:c>
      <x:c r="H83" s="48" t="str">
        <x:v>—/—/—/—</x:v>
      </x:c>
      <x:c r="I83" s="48" t="str">
        <x:v>—/—/—/—</x:v>
      </x:c>
      <x:c r="J83" s="48" t="str">
        <x:v>—/—/—/—</x:v>
      </x:c>
      <x:c r="K83" s="48" t="str">
        <x:v>—/—/—/—</x:v>
      </x:c>
      <x:c r="L83" s="48" t="str">
        <x:v>—/—/—/—</x:v>
      </x:c>
      <x:c r="M83" s="48" t="str">
        <x:v>—/—/—/—</x:v>
      </x:c>
      <x:c r="N83" s="48" t="str">
        <x:v>—/—/—/—</x:v>
      </x:c>
      <x:c r="O83" s="48" t="str">
        <x:v>—/—/—/—</x:v>
      </x:c>
      <x:c r="P83" s="48" t="str">
        <x:v>—/—/—/—</x:v>
      </x:c>
      <x:c r="Q83" s="48" t="str">
        <x:v>—/—/—/—</x:v>
      </x:c>
      <x:c r="R83" s="48" t="str">
        <x:v>—/—/—/—</x:v>
      </x:c>
      <x:c r="S83" s="48" t="str">
        <x:v>600 / 1 / 5% / 2 / 10% / 3 / 15% / 4 / 20%</x:v>
      </x:c>
      <x:c r="T83" s="48" t="str">
        <x:v>“—”表示 6.48b 对象表该级字段为空；脚本型技能需结合证据说明与来源冲突表。</x:v>
      </x:c>
    </x:row>
    <x:row r="84" ht="34" customHeight="1">
      <x:c r="A84" s="18" t="str">
        <x:v>UC60-3</x:v>
      </x:c>
      <x:c r="B84" s="18" t="str">
        <x:v>死灵飞龙</x:v>
      </x:c>
      <x:c r="C84" s="18" t="str">
        <x:v>Necro'lic</x:v>
      </x:c>
      <x:c r="D84" s="18" t="str">
        <x:v>Raise Revenants</x:v>
      </x:c>
      <x:c r="E84" s="18" t="str">
        <x:v>A07K</x:v>
      </x:c>
      <x:c r="F84" s="18" t="str">
        <x:v>AUcb</x:v>
      </x:c>
      <x:c r="G84" s="48" t="str">
        <x:v>1/1/1</x:v>
      </x:c>
      <x:c r="H84" s="48" t="str">
        <x:v>—/—/—</x:v>
      </x:c>
      <x:c r="I84" s="48" t="str">
        <x:v>u003/u005/u009</x:v>
      </x:c>
      <x:c r="J84" s="48" t="str">
        <x:v>—/—/—</x:v>
      </x:c>
      <x:c r="K84" s="48" t="str">
        <x:v>5/6/7</x:v>
      </x:c>
      <x:c r="L84" s="48" t="str">
        <x:v>—/—/—</x:v>
      </x:c>
      <x:c r="M84" s="48" t="str">
        <x:v>—/—/—</x:v>
      </x:c>
      <x:c r="N84" s="48" t="str">
        <x:v>—/—/—</x:v>
      </x:c>
      <x:c r="O84" s="48" t="str">
        <x:v>—/—/—</x:v>
      </x:c>
      <x:c r="P84" s="48" t="str">
        <x:v>—/—/—</x:v>
      </x:c>
      <x:c r="Q84" s="48" t="str">
        <x:v>BUcb/BUcb/BUcb</x:v>
      </x:c>
      <x:c r="R84" s="48" t="str">
        <x:v>—/—/—</x:v>
      </x:c>
      <x:c r="S84" s="48" t="str">
        <x:v>33% / 1 / 350 / 29 / 5 / 2 / 550 / 39 / 6 / 3 / 800 / 49 / 7</x:v>
      </x:c>
      <x:c r="T84" s="48" t="str">
        <x:v>“—”表示 6.48b 对象表该级字段为空；脚本型技能需结合证据说明与来源冲突表。</x:v>
      </x:c>
    </x:row>
    <x:row r="85" ht="34" customHeight="1">
      <x:c r="A85" s="18" t="str">
        <x:v>UC60-4</x:v>
      </x:c>
      <x:c r="B85" s="18" t="str">
        <x:v>死灵飞龙</x:v>
      </x:c>
      <x:c r="C85" s="18" t="str">
        <x:v>Necro'lic</x:v>
      </x:c>
      <x:c r="D85" s="18" t="str">
        <x:v>Grave Chill</x:v>
      </x:c>
      <x:c r="E85" s="18" t="str">
        <x:v>A08X</x:v>
      </x:c>
      <x:c r="F85" s="18" t="str">
        <x:v>Acri</x:v>
      </x:c>
      <x:c r="G85" s="48" t="str">
        <x:v>0.08/0.16/0.24/—</x:v>
      </x:c>
      <x:c r="H85" s="48" t="str">
        <x:v>0.08/0.16/0.24/—</x:v>
      </x:c>
      <x:c r="I85" s="48" t="str">
        <x:v>—/—/—/—</x:v>
      </x:c>
      <x:c r="J85" s="48" t="str">
        <x:v>—/—/—/—</x:v>
      </x:c>
      <x:c r="K85" s="48" t="str">
        <x:v>—/—/—/—</x:v>
      </x:c>
      <x:c r="L85" s="48" t="str">
        <x:v>—/—/—/—</x:v>
      </x:c>
      <x:c r="M85" s="48" t="str">
        <x:v>—/—/—/—</x:v>
      </x:c>
      <x:c r="N85" s="48" t="str">
        <x:v>—/—/—/—</x:v>
      </x:c>
      <x:c r="O85" s="48" t="str">
        <x:v>—/—/—/—</x:v>
      </x:c>
      <x:c r="P85" s="48" t="str">
        <x:v>—/—/—/—</x:v>
      </x:c>
      <x:c r="Q85" s="48" t="str">
        <x:v>Bcri/Bcri/Bcri/—</x:v>
      </x:c>
      <x:c r="R85" s="48" t="str">
        <x:v>—/—/—/—</x:v>
      </x:c>
      <x:c r="S85" s="48" t="str">
        <x:v>10 / 1 / 8% / 2 / 16% / 3 / 24% / 4 / 32% / 25</x:v>
      </x:c>
      <x:c r="T85" s="48" t="str">
        <x:v>“—”表示 6.48b 对象表该级字段为空；脚本型技能需结合证据说明与来源冲突表。</x:v>
      </x:c>
    </x:row>
    <x:row r="86" ht="34" customHeight="1">
      <x:c r="A86" s="18" t="str">
        <x:v>U008-1</x:v>
      </x:c>
      <x:c r="B86" s="18" t="str">
        <x:v>狼人</x:v>
      </x:c>
      <x:c r="C86" s="18" t="str">
        <x:v>Lycanthrope</x:v>
      </x:c>
      <x:c r="D86" s="18" t="str">
        <x:v>Summon Wolves</x:v>
      </x:c>
      <x:c r="E86" s="18" t="str">
        <x:v>A03D</x:v>
      </x:c>
      <x:c r="F86" s="18" t="str">
        <x:v>AOsf</x:v>
      </x:c>
      <x:c r="G86" s="48" t="str">
        <x:v>—/—/—/—</x:v>
      </x:c>
      <x:c r="H86" s="48" t="str">
        <x:v>2/2/2/2</x:v>
      </x:c>
      <x:c r="I86" s="48" t="str">
        <x:v>—/—/—/—</x:v>
      </x:c>
      <x:c r="J86" s="48" t="str">
        <x:v>—/—/—/—</x:v>
      </x:c>
      <x:c r="K86" s="48" t="str">
        <x:v>—/—/—/—</x:v>
      </x:c>
      <x:c r="L86" s="48" t="str">
        <x:v>—/—/—/—</x:v>
      </x:c>
      <x:c r="M86" s="48" t="str">
        <x:v>—/—/—/—</x:v>
      </x:c>
      <x:c r="N86" s="48" t="str">
        <x:v>—/—/—/—</x:v>
      </x:c>
      <x:c r="O86" s="48" t="str">
        <x:v>—/—/—/—</x:v>
      </x:c>
      <x:c r="P86" s="48" t="str">
        <x:v>o005/o006/o007/o00F</x:v>
      </x:c>
      <x:c r="Q86" s="48" t="str">
        <x:v>BOsf/BOsf/BOsf/BOsf</x:v>
      </x:c>
      <x:c r="R86" s="48" t="str">
        <x:v>—/—/—/—</x:v>
      </x:c>
      <x:c r="S86" s="48" t="str">
        <x:v>2 / 45 / 1 / 3 / 4 / 30 / 400 / 500 / 600 / 700</x:v>
      </x:c>
      <x:c r="T86" s="48" t="str">
        <x:v>“—”表示 6.48b 对象表该级字段为空；脚本型技能需结合证据说明与来源冲突表。</x:v>
      </x:c>
    </x:row>
    <x:row r="87" ht="34" customHeight="1">
      <x:c r="A87" s="18" t="str">
        <x:v>U008-2</x:v>
      </x:c>
      <x:c r="B87" s="18" t="str">
        <x:v>狼人</x:v>
      </x:c>
      <x:c r="C87" s="18" t="str">
        <x:v>Lycanthrope</x:v>
      </x:c>
      <x:c r="D87" s="18" t="str">
        <x:v>Howl</x:v>
      </x:c>
      <x:c r="E87" s="18" t="str">
        <x:v>A02G</x:v>
      </x:c>
      <x:c r="F87" s="18" t="str">
        <x:v>Aroa</x:v>
      </x:c>
      <x:c r="G87" s="48" t="str">
        <x:v>0.08/0.16/0.24/—</x:v>
      </x:c>
      <x:c r="H87" s="48" t="str">
        <x:v>—/—/—/—</x:v>
      </x:c>
      <x:c r="I87" s="48" t="str">
        <x:v>—/—/—/—</x:v>
      </x:c>
      <x:c r="J87" s="48" t="str">
        <x:v>—/—/—/—</x:v>
      </x:c>
      <x:c r="K87" s="48" t="str">
        <x:v>—/—/—/—</x:v>
      </x:c>
      <x:c r="L87" s="48" t="str">
        <x:v>—/—/—/—</x:v>
      </x:c>
      <x:c r="M87" s="48" t="str">
        <x:v>—/—/—/—</x:v>
      </x:c>
      <x:c r="N87" s="48" t="str">
        <x:v>—/—/—/—</x:v>
      </x:c>
      <x:c r="O87" s="48" t="str">
        <x:v>—/—/—/—</x:v>
      </x:c>
      <x:c r="P87" s="48" t="str">
        <x:v>—/—/—/—</x:v>
      </x:c>
      <x:c r="Q87" s="48" t="str">
        <x:v>B00O/B00O/B00O/—</x:v>
      </x:c>
      <x:c r="R87" s="48" t="str">
        <x:v>—/—/—/—</x:v>
      </x:c>
      <x:c r="S87" s="48" t="str">
        <x:v>20 / 1 / 8% / 2 / 16% / 3 / 24% / 4 / 32% / 10</x:v>
      </x:c>
      <x:c r="T87" s="48" t="str">
        <x:v>“—”表示 6.48b 对象表该级字段为空；脚本型技能需结合证据说明与来源冲突表。</x:v>
      </x:c>
    </x:row>
    <x:row r="88" ht="34" customHeight="1">
      <x:c r="A88" s="18" t="str">
        <x:v>U008-3</x:v>
      </x:c>
      <x:c r="B88" s="18" t="str">
        <x:v>狼人</x:v>
      </x:c>
      <x:c r="C88" s="18" t="str">
        <x:v>Lycanthrope</x:v>
      </x:c>
      <x:c r="D88" s="18" t="str">
        <x:v>Feral Heart</x:v>
      </x:c>
      <x:c r="E88" s="18" t="str">
        <x:v>A03E</x:v>
      </x:c>
      <x:c r="F88" s="18" t="str">
        <x:v>AOae</x:v>
      </x:c>
      <x:c r="G88" s="48" t="str">
        <x:v>0.03/0.06/0.09/0.12</x:v>
      </x:c>
      <x:c r="H88" s="48" t="str">
        <x:v>0.15/0.19/0.23/0.27</x:v>
      </x:c>
      <x:c r="I88" s="48" t="str">
        <x:v>—/—/—/—</x:v>
      </x:c>
      <x:c r="J88" s="48" t="str">
        <x:v>—/—/—/—</x:v>
      </x:c>
      <x:c r="K88" s="48" t="str">
        <x:v>—/—/—/—</x:v>
      </x:c>
      <x:c r="L88" s="48" t="str">
        <x:v>—/—/—/—</x:v>
      </x:c>
      <x:c r="M88" s="48" t="str">
        <x:v>—/—/—/—</x:v>
      </x:c>
      <x:c r="N88" s="48" t="str">
        <x:v>—/—/—/—</x:v>
      </x:c>
      <x:c r="O88" s="48" t="str">
        <x:v>—/—/—/—</x:v>
      </x:c>
      <x:c r="P88" s="48" t="str">
        <x:v>—/—/—/—</x:v>
      </x:c>
      <x:c r="Q88" s="48" t="str">
        <x:v>B00V/B00V/B00V/B00V</x:v>
      </x:c>
      <x:c r="R88" s="48" t="str">
        <x:v>—/—/—/—</x:v>
      </x:c>
      <x:c r="S88" s="48" t="str">
        <x:v>1 / 3% / 15% / 2 / 6% / 19% / 3 / 9% / 23% / 4 / 12% / 27%</x:v>
      </x:c>
      <x:c r="T88" s="48" t="str">
        <x:v>“—”表示 6.48b 对象表该级字段为空；脚本型技能需结合证据说明与来源冲突表。</x:v>
      </x:c>
    </x:row>
    <x:row r="89" ht="34" customHeight="1">
      <x:c r="A89" s="18" t="str">
        <x:v>U008-4</x:v>
      </x:c>
      <x:c r="B89" s="18" t="str">
        <x:v>狼人</x:v>
      </x:c>
      <x:c r="C89" s="18" t="str">
        <x:v>Lycanthrope</x:v>
      </x:c>
      <x:c r="D89" s="18" t="str">
        <x:v>Shapeshift</x:v>
      </x:c>
      <x:c r="E89" s="18" t="str">
        <x:v>A093</x:v>
      </x:c>
      <x:c r="F89" s="18" t="str">
        <x:v>AEme</x:v>
      </x:c>
      <x:c r="G89" s="48" t="str">
        <x:v>U008/U008/U008</x:v>
      </x:c>
      <x:c r="H89" s="48" t="str">
        <x:v>7/7/7</x:v>
      </x:c>
      <x:c r="I89" s="48" t="str">
        <x:v>—/—/—</x:v>
      </x:c>
      <x:c r="J89" s="48" t="str">
        <x:v>—/—/—</x:v>
      </x:c>
      <x:c r="K89" s="48" t="str">
        <x:v>100/200/300</x:v>
      </x:c>
      <x:c r="L89" s="48" t="str">
        <x:v>—/—/—</x:v>
      </x:c>
      <x:c r="M89" s="48" t="str">
        <x:v>—/—/—</x:v>
      </x:c>
      <x:c r="N89" s="48" t="str">
        <x:v>—/—/—</x:v>
      </x:c>
      <x:c r="O89" s="48" t="str">
        <x:v>—/—/—</x:v>
      </x:c>
      <x:c r="P89" s="48" t="str">
        <x:v>E015/E015/E015</x:v>
      </x:c>
      <x:c r="Q89" s="48" t="str">
        <x:v>B000/B000/B000</x:v>
      </x:c>
      <x:c r="R89" s="48" t="str">
        <x:v>—/—/—</x:v>
      </x:c>
      <x:c r="S89" s="48" t="str">
        <x:v>1 / 100 / 40 / 2 / 200 / 50 / 3 / 300 / 60 / 160 / 150 / 140</x:v>
      </x:c>
      <x:c r="T89" s="48" t="str">
        <x:v>“—”表示 6.48b 对象表该级字段为空；脚本型技能需结合证据说明与来源冲突表。</x:v>
      </x:c>
    </x:row>
    <x:row r="90" ht="34" customHeight="1">
      <x:c r="A90" s="18" t="str">
        <x:v>U00A-1</x:v>
      </x:c>
      <x:c r="B90" s="18" t="str">
        <x:v>混沌骑士</x:v>
      </x:c>
      <x:c r="C90" s="18" t="str">
        <x:v>Chaos Knight</x:v>
      </x:c>
      <x:c r="D90" s="18" t="str">
        <x:v>Blink Strike</x:v>
      </x:c>
      <x:c r="E90" s="18" t="str">
        <x:v>A0RW</x:v>
      </x:c>
      <x:c r="F90" s="18" t="str">
        <x:v>ANcl</x:v>
      </x:c>
      <x:c r="G90" s="48" t="str">
        <x:v>—/—/—/—</x:v>
      </x:c>
      <x:c r="H90" s="48" t="str">
        <x:v>1/1/1/1</x:v>
      </x:c>
      <x:c r="I90" s="48" t="str">
        <x:v>1/1/1/1</x:v>
      </x:c>
      <x:c r="J90" s="48" t="str">
        <x:v>0.01/0.01/0.01/0.01</x:v>
      </x:c>
      <x:c r="K90" s="48" t="str">
        <x:v>—/—/—/—</x:v>
      </x:c>
      <x:c r="L90" s="48" t="str">
        <x:v>channel/channel/channel/channel</x:v>
      </x:c>
      <x:c r="M90" s="48" t="str">
        <x:v>—/—/—/—</x:v>
      </x:c>
      <x:c r="N90" s="48" t="str">
        <x:v>—/—/—/—</x:v>
      </x:c>
      <x:c r="O90" s="48" t="str">
        <x:v>—/—/—/—</x:v>
      </x:c>
      <x:c r="P90" s="48" t="str">
        <x:v>—/—/—/—</x:v>
      </x:c>
      <x:c r="Q90" s="48" t="str">
        <x:v>—/—/—/—</x:v>
      </x:c>
      <x:c r="R90" s="48" t="str">
        <x:v>—/—/—/—</x:v>
      </x:c>
      <x:c r="S90" s="48" t="str">
        <x:v>50 / 1 / 30 / 2 / 60 / 3 / 90 / 4 / 120 / 20 / 10 / 5</x:v>
      </x:c>
      <x:c r="T90" s="48" t="str">
        <x:v>“—”表示 6.48b 对象表该级字段为空；脚本型技能需结合证据说明与来源冲突表。</x:v>
      </x:c>
    </x:row>
    <x:row r="91" ht="34" customHeight="1">
      <x:c r="A91" s="18" t="str">
        <x:v>U00A-2</x:v>
      </x:c>
      <x:c r="B91" s="18" t="str">
        <x:v>混沌骑士</x:v>
      </x:c>
      <x:c r="C91" s="18" t="str">
        <x:v>Chaos Knight</x:v>
      </x:c>
      <x:c r="D91" s="18" t="str">
        <x:v>Critical Strike</x:v>
      </x:c>
      <x:c r="E91" s="18" t="str">
        <x:v>A03N</x:v>
      </x:c>
      <x:c r="F91" s="18" t="str">
        <x:v>AOcr</x:v>
      </x:c>
      <x:c r="G91" s="48" t="str">
        <x:v>11/11/11/11</x:v>
      </x:c>
      <x:c r="H91" s="48" t="str">
        <x:v>1.5/2/2.5/3</x:v>
      </x:c>
      <x:c r="I91" s="48" t="str">
        <x:v>—/—/—/—</x:v>
      </x:c>
      <x:c r="J91" s="48" t="str">
        <x:v>—/—/—/—</x:v>
      </x:c>
      <x:c r="K91" s="48" t="str">
        <x:v>—/—/—/—</x:v>
      </x:c>
      <x:c r="L91" s="48" t="str">
        <x:v>—/—/—/—</x:v>
      </x:c>
      <x:c r="M91" s="48" t="str">
        <x:v>—/—/—/—</x:v>
      </x:c>
      <x:c r="N91" s="48" t="str">
        <x:v>—/—/—/—</x:v>
      </x:c>
      <x:c r="O91" s="48" t="str">
        <x:v>—/—/—/—</x:v>
      </x:c>
      <x:c r="P91" s="48" t="str">
        <x:v>—/—/—/—</x:v>
      </x:c>
      <x:c r="Q91" s="48" t="str">
        <x:v>—/—/—/—</x:v>
      </x:c>
      <x:c r="R91" s="48" t="str">
        <x:v>—/—/—/—</x:v>
      </x:c>
      <x:c r="S91" s="48" t="str">
        <x:v>1 / 11% / 1.5 / 2 / 3 / 2.5 / 4</x:v>
      </x:c>
      <x:c r="T91" s="48" t="str">
        <x:v>“—”表示 6.48b 对象表该级字段为空；脚本型技能需结合证据说明与来源冲突表。</x:v>
      </x:c>
    </x:row>
    <x:row r="92" ht="34" customHeight="1">
      <x:c r="A92" s="18" t="str">
        <x:v>U00A-3</x:v>
      </x:c>
      <x:c r="B92" s="18" t="str">
        <x:v>混沌骑士</x:v>
      </x:c>
      <x:c r="C92" s="18" t="str">
        <x:v>Chaos Knight</x:v>
      </x:c>
      <x:c r="D92" s="18" t="str">
        <x:v>Phantasm</x:v>
      </x:c>
      <x:c r="E92" s="18" t="str">
        <x:v>A03O</x:v>
      </x:c>
      <x:c r="F92" s="18" t="str">
        <x:v>AOmi</x:v>
      </x:c>
      <x:c r="G92" s="48" t="str">
        <x:v>1/2/3</x:v>
      </x:c>
      <x:c r="H92" s="48" t="str">
        <x:v>1/1/1</x:v>
      </x:c>
      <x:c r="I92" s="48" t="str">
        <x:v>2/2/2</x:v>
      </x:c>
      <x:c r="J92" s="48" t="str">
        <x:v>0.5/0.5/0.5</x:v>
      </x:c>
      <x:c r="K92" s="48" t="str">
        <x:v>—/—/—</x:v>
      </x:c>
      <x:c r="L92" s="48" t="str">
        <x:v>—/—/—</x:v>
      </x:c>
      <x:c r="M92" s="48" t="str">
        <x:v>—/—/—</x:v>
      </x:c>
      <x:c r="N92" s="48" t="str">
        <x:v>—/—/—</x:v>
      </x:c>
      <x:c r="O92" s="48" t="str">
        <x:v>—/—/—</x:v>
      </x:c>
      <x:c r="P92" s="48" t="str">
        <x:v>—/—/—</x:v>
      </x:c>
      <x:c r="Q92" s="48" t="str">
        <x:v>B012/B012/B012</x:v>
      </x:c>
      <x:c r="R92" s="48" t="str">
        <x:v>—/—/—</x:v>
      </x:c>
      <x:c r="S92" s="48" t="str">
        <x:v>20 / 1 / 200% / 2 / 3 / 180</x:v>
      </x:c>
      <x:c r="T92" s="48" t="str">
        <x:v>“—”表示 6.48b 对象表该级字段为空；脚本型技能需结合证据说明与来源冲突表。</x:v>
      </x:c>
    </x:row>
    <x:row r="93" ht="34" customHeight="1">
      <x:c r="A93" s="18" t="str">
        <x:v>U00A-4</x:v>
      </x:c>
      <x:c r="B93" s="18" t="str">
        <x:v>混沌骑士</x:v>
      </x:c>
      <x:c r="C93" s="18" t="str">
        <x:v>Chaos Knight</x:v>
      </x:c>
      <x:c r="D93" s="18" t="str">
        <x:v>Chaos Bolt</x:v>
      </x:c>
      <x:c r="E93" s="18" t="str">
        <x:v>A055</x:v>
      </x:c>
      <x:c r="F93" s="18" t="str">
        <x:v>ANfb</x:v>
      </x:c>
      <x:c r="G93" s="48" t="str">
        <x:v>—/—/—/—</x:v>
      </x:c>
      <x:c r="H93" s="48" t="str">
        <x:v>—/—/—/—</x:v>
      </x:c>
      <x:c r="I93" s="48" t="str">
        <x:v>—/—/—/—</x:v>
      </x:c>
      <x:c r="J93" s="48" t="str">
        <x:v>—/—/—/—</x:v>
      </x:c>
      <x:c r="K93" s="48" t="str">
        <x:v>—/—/—/—</x:v>
      </x:c>
      <x:c r="L93" s="48" t="str">
        <x:v>—/—/—/—</x:v>
      </x:c>
      <x:c r="M93" s="48" t="str">
        <x:v>—/—/—/—</x:v>
      </x:c>
      <x:c r="N93" s="48" t="str">
        <x:v>—/—/—/—</x:v>
      </x:c>
      <x:c r="O93" s="48" t="str">
        <x:v>—/—/—/—</x:v>
      </x:c>
      <x:c r="P93" s="48" t="str">
        <x:v>—/—/—/—</x:v>
      </x:c>
      <x:c r="Q93" s="48" t="str">
        <x:v>—/—/—/—</x:v>
      </x:c>
      <x:c r="R93" s="48" t="str">
        <x:v>—/—/—/—</x:v>
      </x:c>
      <x:c r="S93" s="48" t="str">
        <x:v>1 / -200 / -2 / 2 / -3 / 3 / -4 / 4 / 10 / 200</x:v>
      </x:c>
      <x:c r="T93" s="48" t="str">
        <x:v>“—”表示 6.48b 对象表该级字段为空；脚本型技能需结合证据说明与来源冲突表。</x:v>
      </x:c>
    </x:row>
    <x:row r="94" ht="34" customHeight="1">
      <x:c r="A94" s="18" t="str">
        <x:v>Ewar-1</x:v>
      </x:c>
      <x:c r="B94" s="18" t="str">
        <x:v>幻影刺客</x:v>
      </x:c>
      <x:c r="C94" s="18" t="str">
        <x:v>Phantom Assassin</x:v>
      </x:c>
      <x:c r="D94" s="18" t="str">
        <x:v>Shadow Strike</x:v>
      </x:c>
      <x:c r="E94" s="18" t="str">
        <x:v>AEsh</x:v>
      </x:c>
      <x:c r="F94" s="18" t="str">
        <x:v>AEsh</x:v>
      </x:c>
      <x:c r="G94" s="48" t="str">
        <x:v>10/20/40/50</x:v>
      </x:c>
      <x:c r="H94" s="48" t="str">
        <x:v>0.5/0.5/0.5/0.5</x:v>
      </x:c>
      <x:c r="I94" s="48" t="str">
        <x:v>—/—/—/—</x:v>
      </x:c>
      <x:c r="J94" s="48" t="str">
        <x:v>3/3/3/3</x:v>
      </x:c>
      <x:c r="K94" s="48" t="str">
        <x:v>50/70/70/100</x:v>
      </x:c>
      <x:c r="L94" s="48" t="str">
        <x:v>—/—/—/—</x:v>
      </x:c>
      <x:c r="M94" s="48" t="str">
        <x:v>—/—/—/—</x:v>
      </x:c>
      <x:c r="N94" s="48" t="str">
        <x:v>—/—/—/—</x:v>
      </x:c>
      <x:c r="O94" s="48" t="str">
        <x:v>—/—/—/—</x:v>
      </x:c>
      <x:c r="P94" s="48" t="str">
        <x:v>—/—/—/—</x:v>
      </x:c>
      <x:c r="Q94" s="48" t="str">
        <x:v>BEsh/BEsh/BEsh/BEsh</x:v>
      </x:c>
      <x:c r="R94" s="48" t="str">
        <x:v>—/—/—/—</x:v>
      </x:c>
      <x:c r="S94" s="48" t="str">
        <x:v>1 / 50 / 10 / 2 / 70 / 20 / 3 / 40 / 4 / 100 / 22 / 15</x:v>
      </x:c>
      <x:c r="T94" s="48" t="str">
        <x:v>“—”表示 6.48b 对象表该级字段为空；脚本型技能需结合证据说明与来源冲突表。</x:v>
      </x:c>
    </x:row>
    <x:row r="95" ht="34" customHeight="1">
      <x:c r="A95" s="18" t="str">
        <x:v>Ewar-2</x:v>
      </x:c>
      <x:c r="B95" s="18" t="str">
        <x:v>幻影刺客</x:v>
      </x:c>
      <x:c r="C95" s="18" t="str">
        <x:v>Phantom Assassin</x:v>
      </x:c>
      <x:c r="D95" s="18" t="str">
        <x:v>Blink Strike</x:v>
      </x:c>
      <x:c r="E95" s="18" t="str">
        <x:v>A0PL</x:v>
      </x:c>
      <x:c r="F95" s="18" t="str">
        <x:v>ANcl</x:v>
      </x:c>
      <x:c r="G95" s="48" t="str">
        <x:v>—/—/—/—</x:v>
      </x:c>
      <x:c r="H95" s="48" t="str">
        <x:v>1/1/1/1</x:v>
      </x:c>
      <x:c r="I95" s="48" t="str">
        <x:v>1/1/1/1</x:v>
      </x:c>
      <x:c r="J95" s="48" t="str">
        <x:v>0.01/0.01/0.01/0.01</x:v>
      </x:c>
      <x:c r="K95" s="48" t="str">
        <x:v>—/—/—/—</x:v>
      </x:c>
      <x:c r="L95" s="48" t="str">
        <x:v>channel/channel/channel/channel</x:v>
      </x:c>
      <x:c r="M95" s="48" t="str">
        <x:v>—/—/—/—</x:v>
      </x:c>
      <x:c r="N95" s="48" t="str">
        <x:v>—/—/—/—</x:v>
      </x:c>
      <x:c r="O95" s="48" t="str">
        <x:v>—/—/—/—</x:v>
      </x:c>
      <x:c r="P95" s="48" t="str">
        <x:v>—/—/—/—</x:v>
      </x:c>
      <x:c r="Q95" s="48" t="str">
        <x:v>—/—/—/—</x:v>
      </x:c>
      <x:c r="R95" s="48" t="str">
        <x:v>—/—/—/—</x:v>
      </x:c>
      <x:c r="S95" s="48" t="str">
        <x:v>50 / 1 / 30 / 2 / 60 / 3 / 90 / 4 / 120 / 20 / 10 / 5</x:v>
      </x:c>
      <x:c r="T95" s="48" t="str">
        <x:v>“—”表示 6.48b 对象表该级字段为空；脚本型技能需结合证据说明与来源冲突表。</x:v>
      </x:c>
    </x:row>
    <x:row r="96" ht="34" customHeight="1">
      <x:c r="A96" s="18" t="str">
        <x:v>Ewar-3</x:v>
      </x:c>
      <x:c r="B96" s="18" t="str">
        <x:v>幻影刺客</x:v>
      </x:c>
      <x:c r="C96" s="18" t="str">
        <x:v>Phantom Assassin</x:v>
      </x:c>
      <x:c r="D96" s="18" t="str">
        <x:v>Blur</x:v>
      </x:c>
      <x:c r="E96" s="18" t="str">
        <x:v>A03P</x:v>
      </x:c>
      <x:c r="F96" s="18" t="str">
        <x:v>AEev</x:v>
      </x:c>
      <x:c r="G96" s="48" t="str">
        <x:v>0.07/0.14/0.21/0.28</x:v>
      </x:c>
      <x:c r="H96" s="48" t="str">
        <x:v>—/—/—/—</x:v>
      </x:c>
      <x:c r="I96" s="48" t="str">
        <x:v>—/—/—/—</x:v>
      </x:c>
      <x:c r="J96" s="48" t="str">
        <x:v>—/—/—/—</x:v>
      </x:c>
      <x:c r="K96" s="48" t="str">
        <x:v>—/—/—/—</x:v>
      </x:c>
      <x:c r="L96" s="48" t="str">
        <x:v>—/—/—/—</x:v>
      </x:c>
      <x:c r="M96" s="48" t="str">
        <x:v>—/—/—/—</x:v>
      </x:c>
      <x:c r="N96" s="48" t="str">
        <x:v>—/—/—/—</x:v>
      </x:c>
      <x:c r="O96" s="48" t="str">
        <x:v>—/—/—/—</x:v>
      </x:c>
      <x:c r="P96" s="48" t="str">
        <x:v>—/—/—/—</x:v>
      </x:c>
      <x:c r="Q96" s="48" t="str">
        <x:v>—/—/—/—</x:v>
      </x:c>
      <x:c r="R96" s="48" t="str">
        <x:v>—/—/—/—</x:v>
      </x:c>
      <x:c r="S96" s="48" t="str">
        <x:v>1 / 7% / 2 / 14% / 3 / 21% / 4 / 28%</x:v>
      </x:c>
      <x:c r="T96" s="48" t="str">
        <x:v>“—”表示 6.48b 对象表该级字段为空；脚本型技能需结合证据说明与来源冲突表。</x:v>
      </x:c>
    </x:row>
    <x:row r="97" ht="34" customHeight="1">
      <x:c r="A97" s="18" t="str">
        <x:v>Ewar-4</x:v>
      </x:c>
      <x:c r="B97" s="18" t="str">
        <x:v>幻影刺客</x:v>
      </x:c>
      <x:c r="C97" s="18" t="str">
        <x:v>Phantom Assassin</x:v>
      </x:c>
      <x:c r="D97" s="18" t="str">
        <x:v>Coup de grâce</x:v>
      </x:c>
      <x:c r="E97" s="18" t="str">
        <x:v>A03Q</x:v>
      </x:c>
      <x:c r="F97" s="18" t="str">
        <x:v>AOcr</x:v>
      </x:c>
      <x:c r="G97" s="48" t="str">
        <x:v>15/15/15</x:v>
      </x:c>
      <x:c r="H97" s="48" t="str">
        <x:v>2/3/4</x:v>
      </x:c>
      <x:c r="I97" s="48" t="str">
        <x:v>—/—/—</x:v>
      </x:c>
      <x:c r="J97" s="48" t="str">
        <x:v>—/—/—</x:v>
      </x:c>
      <x:c r="K97" s="48" t="str">
        <x:v>—/—/—</x:v>
      </x:c>
      <x:c r="L97" s="48" t="str">
        <x:v>—/—/—</x:v>
      </x:c>
      <x:c r="M97" s="48" t="str">
        <x:v>—/—/—</x:v>
      </x:c>
      <x:c r="N97" s="48" t="str">
        <x:v>—/—/—</x:v>
      </x:c>
      <x:c r="O97" s="48" t="str">
        <x:v>—/—/—</x:v>
      </x:c>
      <x:c r="P97" s="48" t="str">
        <x:v>—/—/—</x:v>
      </x:c>
      <x:c r="Q97" s="48" t="str">
        <x:v>—/—/—</x:v>
      </x:c>
      <x:c r="R97" s="48" t="str">
        <x:v>—/—/—</x:v>
      </x:c>
      <x:c r="S97" s="48" t="str">
        <x:v>1 / 15% / 2.0 / 2 / 3.0 / 3 / 4.0 / 4</x:v>
      </x:c>
      <x:c r="T97" s="48" t="str">
        <x:v>“—”表示 6.48b 对象表该级字段为空；脚本型技能需结合证据说明与来源冲突表。</x:v>
      </x:c>
    </x:row>
    <x:row r="98" ht="34" customHeight="1">
      <x:c r="A98" s="18" t="str">
        <x:v>Hvwd-1</x:v>
      </x:c>
      <x:c r="B98" s="18" t="str">
        <x:v>复仇之魂</x:v>
      </x:c>
      <x:c r="C98" s="18" t="str">
        <x:v>Vengeful Spirit</x:v>
      </x:c>
      <x:c r="D98" s="18" t="str">
        <x:v>Magic Missile</x:v>
      </x:c>
      <x:c r="E98" s="18" t="str">
        <x:v>A02A</x:v>
      </x:c>
      <x:c r="F98" s="18" t="str">
        <x:v>AHtb</x:v>
      </x:c>
      <x:c r="G98" s="48" t="str">
        <x:v>100/175/250/325</x:v>
      </x:c>
      <x:c r="H98" s="48" t="str">
        <x:v>—/—/—/—</x:v>
      </x:c>
      <x:c r="I98" s="48" t="str">
        <x:v>—/—/—/—</x:v>
      </x:c>
      <x:c r="J98" s="48" t="str">
        <x:v>—/—/—/—</x:v>
      </x:c>
      <x:c r="K98" s="48" t="str">
        <x:v>—/—/—/—</x:v>
      </x:c>
      <x:c r="L98" s="48" t="str">
        <x:v>—/—/—/—</x:v>
      </x:c>
      <x:c r="M98" s="48" t="str">
        <x:v>—/—/—/—</x:v>
      </x:c>
      <x:c r="N98" s="48" t="str">
        <x:v>—/—/—/—</x:v>
      </x:c>
      <x:c r="O98" s="48" t="str">
        <x:v>—/—/—/—</x:v>
      </x:c>
      <x:c r="P98" s="48" t="str">
        <x:v>—/—/—/—</x:v>
      </x:c>
      <x:c r="Q98" s="48" t="str">
        <x:v>BPSE/BPSE/BPSE/BPSE</x:v>
      </x:c>
      <x:c r="R98" s="48" t="str">
        <x:v>—/—/—/—</x:v>
      </x:c>
      <x:c r="S98" s="48" t="str">
        <x:v>1.75 / 1 / 100 / 2 / 175 / 3 / 250 / 4 / 325 / 10</x:v>
      </x:c>
      <x:c r="T98" s="48" t="str">
        <x:v>“—”表示 6.48b 对象表该级字段为空；脚本型技能需结合证据说明与来源冲突表。</x:v>
      </x:c>
    </x:row>
    <x:row r="99" ht="34" customHeight="1">
      <x:c r="A99" s="18" t="str">
        <x:v>Hvwd-2</x:v>
      </x:c>
      <x:c r="B99" s="18" t="str">
        <x:v>复仇之魂</x:v>
      </x:c>
      <x:c r="C99" s="18" t="str">
        <x:v>Vengeful Spirit</x:v>
      </x:c>
      <x:c r="D99" s="18" t="str">
        <x:v>Terror</x:v>
      </x:c>
      <x:c r="E99" s="18" t="str">
        <x:v>A0AP</x:v>
      </x:c>
      <x:c r="F99" s="18" t="str">
        <x:v>ANht</x:v>
      </x:c>
      <x:c r="G99" s="48" t="str">
        <x:v>0.05/0.1/0.15/0.2</x:v>
      </x:c>
      <x:c r="H99" s="48" t="str">
        <x:v>2/3/4/5</x:v>
      </x:c>
      <x:c r="I99" s="48" t="str">
        <x:v>—/—/—/—</x:v>
      </x:c>
      <x:c r="J99" s="48" t="str">
        <x:v>—/—/—/—</x:v>
      </x:c>
      <x:c r="K99" s="48" t="str">
        <x:v>—/—/—/—</x:v>
      </x:c>
      <x:c r="L99" s="48" t="str">
        <x:v>—/—/—/—</x:v>
      </x:c>
      <x:c r="M99" s="48" t="str">
        <x:v>—/—/—/—</x:v>
      </x:c>
      <x:c r="N99" s="48" t="str">
        <x:v>—/—/—/—</x:v>
      </x:c>
      <x:c r="O99" s="48" t="str">
        <x:v>—/—/—/—</x:v>
      </x:c>
      <x:c r="P99" s="48" t="str">
        <x:v>—/—/—/—</x:v>
      </x:c>
      <x:c r="Q99" s="48" t="str">
        <x:v>B02W/B02W/B02W/B02W</x:v>
      </x:c>
      <x:c r="R99" s="48" t="str">
        <x:v>—/—/—/—</x:v>
      </x:c>
      <x:c r="S99" s="48" t="str">
        <x:v>1 / 2 / 5% / 3 / 10% / 4 / 15% / 5 / 20% / 15 / 20</x:v>
      </x:c>
      <x:c r="T99" s="48" t="str">
        <x:v>“—”表示 6.48b 对象表该级字段为空；脚本型技能需结合证据说明与来源冲突表。</x:v>
      </x:c>
    </x:row>
    <x:row r="100" ht="34" customHeight="1">
      <x:c r="A100" s="18" t="str">
        <x:v>Hvwd-3</x:v>
      </x:c>
      <x:c r="B100" s="18" t="str">
        <x:v>复仇之魂</x:v>
      </x:c>
      <x:c r="C100" s="18" t="str">
        <x:v>Vengeful Spirit</x:v>
      </x:c>
      <x:c r="D100" s="18" t="str">
        <x:v>Command Aura</x:v>
      </x:c>
      <x:c r="E100" s="18" t="str">
        <x:v>A045</x:v>
      </x:c>
      <x:c r="F100" s="18" t="str">
        <x:v>—</x:v>
      </x:c>
      <x:c r="G100" s="48" t="str">
        <x:v>—/—/—/—</x:v>
      </x:c>
      <x:c r="H100" s="48" t="str">
        <x:v>—/—/—/—</x:v>
      </x:c>
      <x:c r="I100" s="48" t="str">
        <x:v>—/—/—/—</x:v>
      </x:c>
      <x:c r="J100" s="48" t="str">
        <x:v>—/—/—/—</x:v>
      </x:c>
      <x:c r="K100" s="48" t="str">
        <x:v>—/—/—/—</x:v>
      </x:c>
      <x:c r="L100" s="48" t="str">
        <x:v>—/—/—/—</x:v>
      </x:c>
      <x:c r="M100" s="48" t="str">
        <x:v>—/—/—/—</x:v>
      </x:c>
      <x:c r="N100" s="48" t="str">
        <x:v>—/—/—/—</x:v>
      </x:c>
      <x:c r="O100" s="48" t="str">
        <x:v>—/—/—/—</x:v>
      </x:c>
      <x:c r="P100" s="48" t="str">
        <x:v>—/—/—/—</x:v>
      </x:c>
      <x:c r="Q100" s="48" t="str">
        <x:v>—/—/—/—</x:v>
      </x:c>
      <x:c r="R100" s="48" t="str">
        <x:v>—/—/—/—</x:v>
      </x:c>
      <x:c r="S100" s="48" t="str">
        <x:v>12% / 20% / 28% / 36% / 1 / 2 / 3 / 4</x:v>
      </x:c>
      <x:c r="T100" s="48" t="str">
        <x:v>“—”表示 6.48b 对象表该级字段为空；脚本型技能需结合证据说明与来源冲突表。</x:v>
      </x:c>
    </x:row>
    <x:row r="101" ht="34" customHeight="1">
      <x:c r="A101" s="18" t="str">
        <x:v>Hvwd-4</x:v>
      </x:c>
      <x:c r="B101" s="18" t="str">
        <x:v>复仇之魂</x:v>
      </x:c>
      <x:c r="C101" s="18" t="str">
        <x:v>Vengeful Spirit</x:v>
      </x:c>
      <x:c r="D101" s="18" t="str">
        <x:v>Nether Swap</x:v>
      </x:c>
      <x:c r="E101" s="18" t="str">
        <x:v>A00G</x:v>
      </x:c>
      <x:c r="F101" s="18" t="str">
        <x:v>Acri</x:v>
      </x:c>
      <x:c r="G101" s="48" t="str">
        <x:v>—/—/—</x:v>
      </x:c>
      <x:c r="H101" s="48" t="str">
        <x:v>—/—/—</x:v>
      </x:c>
      <x:c r="I101" s="48" t="str">
        <x:v>—/—/—</x:v>
      </x:c>
      <x:c r="J101" s="48" t="str">
        <x:v>—/—/—</x:v>
      </x:c>
      <x:c r="K101" s="48" t="str">
        <x:v>—/—/—</x:v>
      </x:c>
      <x:c r="L101" s="48" t="str">
        <x:v>—/—/—</x:v>
      </x:c>
      <x:c r="M101" s="48" t="str">
        <x:v>—/—/—</x:v>
      </x:c>
      <x:c r="N101" s="48" t="str">
        <x:v>—/—/—</x:v>
      </x:c>
      <x:c r="O101" s="48" t="str">
        <x:v>—/—/—</x:v>
      </x:c>
      <x:c r="P101" s="48" t="str">
        <x:v>—/—/—</x:v>
      </x:c>
      <x:c r="Q101" s="48" t="str">
        <x:v>Bcri/Bcri/Bcri</x:v>
      </x:c>
      <x:c r="R101" s="48" t="str">
        <x:v>—/—/—</x:v>
      </x:c>
      <x:c r="S101" s="48" t="str">
        <x:v>1 / 600 / 2 / 900 / 3 / 1200 / 45</x:v>
      </x:c>
      <x:c r="T101" s="48" t="str">
        <x:v>“—”表示 6.48b 对象表该级字段为空；脚本型技能需结合证据说明与来源冲突表。</x:v>
      </x:c>
    </x:row>
    <x:row r="102" ht="34" customHeight="1">
      <x:c r="A102" s="18" t="str">
        <x:v>Hmbr-1</x:v>
      </x:c>
      <x:c r="B102" s="18" t="str">
        <x:v>众神之王</x:v>
      </x:c>
      <x:c r="C102" s="18" t="str">
        <x:v>Lord of Olympia</x:v>
      </x:c>
      <x:c r="D102" s="18" t="str">
        <x:v>Arc Lightning</x:v>
      </x:c>
      <x:c r="E102" s="18" t="str">
        <x:v>A020</x:v>
      </x:c>
      <x:c r="F102" s="18" t="str">
        <x:v>AOcl</x:v>
      </x:c>
      <x:c r="G102" s="48" t="str">
        <x:v>85/100/115/130</x:v>
      </x:c>
      <x:c r="H102" s="48" t="str">
        <x:v>5/7/9/15</x:v>
      </x:c>
      <x:c r="I102" s="48" t="str">
        <x:v>—/—/—/—</x:v>
      </x:c>
      <x:c r="J102" s="48" t="str">
        <x:v>—/—/—/—</x:v>
      </x:c>
      <x:c r="K102" s="48" t="str">
        <x:v>—/—/—/—</x:v>
      </x:c>
      <x:c r="L102" s="48" t="str">
        <x:v>—/—/—/—</x:v>
      </x:c>
      <x:c r="M102" s="48" t="str">
        <x:v>—/—/—/—</x:v>
      </x:c>
      <x:c r="N102" s="48" t="str">
        <x:v>—/—/—/—</x:v>
      </x:c>
      <x:c r="O102" s="48" t="str">
        <x:v>—/—/—/—</x:v>
      </x:c>
      <x:c r="P102" s="48" t="str">
        <x:v>—/—/—/—</x:v>
      </x:c>
      <x:c r="Q102" s="48" t="str">
        <x:v>—/—/—/—</x:v>
      </x:c>
      <x:c r="R102" s="48" t="str">
        <x:v>—/—/—/—</x:v>
      </x:c>
      <x:c r="S102" s="48" t="str">
        <x:v>1 / 5 / 85 / 2 / 7 / 100 / 3 / 9 / 115 / 4 / 15 / 130</x:v>
      </x:c>
      <x:c r="T102" s="48" t="str">
        <x:v>“—”表示 6.48b 对象表该级字段为空；脚本型技能需结合证据说明与来源冲突表。</x:v>
      </x:c>
    </x:row>
    <x:row r="103" ht="34" customHeight="1">
      <x:c r="A103" s="18" t="str">
        <x:v>Hmbr-2</x:v>
      </x:c>
      <x:c r="B103" s="18" t="str">
        <x:v>众神之王</x:v>
      </x:c>
      <x:c r="C103" s="18" t="str">
        <x:v>Lord of Olympia</x:v>
      </x:c>
      <x:c r="D103" s="18" t="str">
        <x:v>Lightning Bolt</x:v>
      </x:c>
      <x:c r="E103" s="18" t="str">
        <x:v>A0JC</x:v>
      </x:c>
      <x:c r="F103" s="18" t="str">
        <x:v>AHtb</x:v>
      </x:c>
      <x:c r="G103" s="48" t="str">
        <x:v>—/—/—/—</x:v>
      </x:c>
      <x:c r="H103" s="48" t="str">
        <x:v>—/—/—/—</x:v>
      </x:c>
      <x:c r="I103" s="48" t="str">
        <x:v>—/—/—/—</x:v>
      </x:c>
      <x:c r="J103" s="48" t="str">
        <x:v>—/—/—/—</x:v>
      </x:c>
      <x:c r="K103" s="48" t="str">
        <x:v>—/—/—/—</x:v>
      </x:c>
      <x:c r="L103" s="48" t="str">
        <x:v>—/—/—/—</x:v>
      </x:c>
      <x:c r="M103" s="48" t="str">
        <x:v>—/—/—/—</x:v>
      </x:c>
      <x:c r="N103" s="48" t="str">
        <x:v>—/—/—/—</x:v>
      </x:c>
      <x:c r="O103" s="48" t="str">
        <x:v>—/—/—/—</x:v>
      </x:c>
      <x:c r="P103" s="48" t="str">
        <x:v>—/—/—/—</x:v>
      </x:c>
      <x:c r="Q103" s="48" t="str">
        <x:v>BPSE/BPSE/BPSE/BPSE</x:v>
      </x:c>
      <x:c r="R103" s="48" t="str">
        <x:v>—/—/—/—</x:v>
      </x:c>
      <x:c r="S103" s="48" t="str">
        <x:v>1 / 100 / 2 / 175 / 3 / 275 / 4 / 350 / 7</x:v>
      </x:c>
      <x:c r="T103" s="48" t="str">
        <x:v>“—”表示 6.48b 对象表该级字段为空；脚本型技能需结合证据说明与来源冲突表。</x:v>
      </x:c>
    </x:row>
    <x:row r="104" ht="34" customHeight="1">
      <x:c r="A104" s="18" t="str">
        <x:v>Hmbr-3</x:v>
      </x:c>
      <x:c r="B104" s="18" t="str">
        <x:v>众神之王</x:v>
      </x:c>
      <x:c r="C104" s="18" t="str">
        <x:v>Lord of Olympia</x:v>
      </x:c>
      <x:c r="D104" s="18" t="str">
        <x:v>Thundergod's Wrath</x:v>
      </x:c>
      <x:c r="E104" s="18" t="str">
        <x:v>A07C</x:v>
      </x:c>
      <x:c r="F104" s="18" t="str">
        <x:v>AHtc</x:v>
      </x:c>
      <x:c r="G104" s="48" t="str">
        <x:v>—/—/—</x:v>
      </x:c>
      <x:c r="H104" s="48" t="str">
        <x:v>—/—/—</x:v>
      </x:c>
      <x:c r="I104" s="48" t="str">
        <x:v>—/—/—</x:v>
      </x:c>
      <x:c r="J104" s="48" t="str">
        <x:v>—/—/—</x:v>
      </x:c>
      <x:c r="K104" s="48" t="str">
        <x:v>—/—/—</x:v>
      </x:c>
      <x:c r="L104" s="48" t="str">
        <x:v>—/—/—</x:v>
      </x:c>
      <x:c r="M104" s="48" t="str">
        <x:v>—/—/—</x:v>
      </x:c>
      <x:c r="N104" s="48" t="str">
        <x:v>—/—/—</x:v>
      </x:c>
      <x:c r="O104" s="48" t="str">
        <x:v>—/—/—</x:v>
      </x:c>
      <x:c r="P104" s="48" t="str">
        <x:v>—/—/—</x:v>
      </x:c>
      <x:c r="Q104" s="48" t="str">
        <x:v>—/—/—</x:v>
      </x:c>
      <x:c r="R104" s="48" t="str">
        <x:v>—/—/—</x:v>
      </x:c>
      <x:c r="S104" s="48" t="str">
        <x:v>1 / 210 / 2 / 335 / 3 / 460 / 120</x:v>
      </x:c>
      <x:c r="T104" s="48" t="str">
        <x:v>“—”表示 6.48b 对象表该级字段为空；脚本型技能需结合证据说明与来源冲突表。</x:v>
      </x:c>
    </x:row>
    <x:row r="105" ht="34" customHeight="1">
      <x:c r="A105" s="18" t="str">
        <x:v>Hmbr-4</x:v>
      </x:c>
      <x:c r="B105" s="18" t="str">
        <x:v>众神之王</x:v>
      </x:c>
      <x:c r="C105" s="18" t="str">
        <x:v>Lord of Olympia</x:v>
      </x:c>
      <x:c r="D105" s="18" t="str">
        <x:v>Static Field</x:v>
      </x:c>
      <x:c r="E105" s="18" t="str">
        <x:v>A0N5</x:v>
      </x:c>
      <x:c r="F105" s="18" t="str">
        <x:v>AEev</x:v>
      </x:c>
      <x:c r="G105" s="48" t="str">
        <x:v>—/—/—/—</x:v>
      </x:c>
      <x:c r="H105" s="48" t="str">
        <x:v>—/—/—/—</x:v>
      </x:c>
      <x:c r="I105" s="48" t="str">
        <x:v>—/—/—/—</x:v>
      </x:c>
      <x:c r="J105" s="48" t="str">
        <x:v>—/—/—/—</x:v>
      </x:c>
      <x:c r="K105" s="48" t="str">
        <x:v>—/—/—/—</x:v>
      </x:c>
      <x:c r="L105" s="48" t="str">
        <x:v>—/—/—/—</x:v>
      </x:c>
      <x:c r="M105" s="48" t="str">
        <x:v>—/—/—/—</x:v>
      </x:c>
      <x:c r="N105" s="48" t="str">
        <x:v>—/—/—/—</x:v>
      </x:c>
      <x:c r="O105" s="48" t="str">
        <x:v>—/—/—/—</x:v>
      </x:c>
      <x:c r="P105" s="48" t="str">
        <x:v>—/—/—/—</x:v>
      </x:c>
      <x:c r="Q105" s="48" t="str">
        <x:v>—/—/—/—</x:v>
      </x:c>
      <x:c r="R105" s="48" t="str">
        <x:v>—/—/—/—</x:v>
      </x:c>
      <x:c r="S105" s="48" t="str">
        <x:v>800 / 6% / 8% / 10% / 12% / -4 / 11% / 1 / 2 / 3 / 4</x:v>
      </x:c>
      <x:c r="T105" s="48" t="str">
        <x:v>“—”表示 6.48b 对象表该级字段为空；脚本型技能需结合证据说明与来源冲突表。</x:v>
      </x:c>
    </x:row>
    <x:row r="106" ht="34" customHeight="1">
      <x:c r="A106" s="18" t="str">
        <x:v>Emoo-1</x:v>
      </x:c>
      <x:c r="B106" s="18" t="str">
        <x:v>魅惑魔女</x:v>
      </x:c>
      <x:c r="C106" s="18" t="str">
        <x:v>Enchantress</x:v>
      </x:c>
      <x:c r="D106" s="18" t="str">
        <x:v>Impetus</x:v>
      </x:c>
      <x:c r="E106" s="18" t="str">
        <x:v>A0DY</x:v>
      </x:c>
      <x:c r="F106" s="18" t="str">
        <x:v>AEpa</x:v>
      </x:c>
      <x:c r="G106" s="48" t="str">
        <x:v>—/—/—/—</x:v>
      </x:c>
      <x:c r="H106" s="48" t="str">
        <x:v>—/—/—/—</x:v>
      </x:c>
      <x:c r="I106" s="48" t="str">
        <x:v>—/—/—/—</x:v>
      </x:c>
      <x:c r="J106" s="48" t="str">
        <x:v>—/—/—/—</x:v>
      </x:c>
      <x:c r="K106" s="48" t="str">
        <x:v>1/1/1/1</x:v>
      </x:c>
      <x:c r="L106" s="48" t="str">
        <x:v>—/—/—/—</x:v>
      </x:c>
      <x:c r="M106" s="48" t="str">
        <x:v>—/—/—/—</x:v>
      </x:c>
      <x:c r="N106" s="48" t="str">
        <x:v>—/—/—/—</x:v>
      </x:c>
      <x:c r="O106" s="48" t="str">
        <x:v>—/—/—/—</x:v>
      </x:c>
      <x:c r="P106" s="48" t="str">
        <x:v>—/—/—/—</x:v>
      </x:c>
      <x:c r="Q106" s="48" t="str">
        <x:v>B03U,B03U,B03U/B03U,B03U,B03U/B03U,B03U,B03U/B03U,B03U,B03U</x:v>
      </x:c>
      <x:c r="R106" s="48" t="str">
        <x:v>—/—/—/—</x:v>
      </x:c>
      <x:c r="S106" s="48" t="str">
        <x:v>1 / 4% / 2 / 8% / 3 / 12% / 4 / 16% / 6 / 5 / 0</x:v>
      </x:c>
      <x:c r="T106" s="48" t="str">
        <x:v>“—”表示 6.48b 对象表该级字段为空；脚本型技能需结合证据说明与来源冲突表。</x:v>
      </x:c>
    </x:row>
    <x:row r="107" ht="34" customHeight="1">
      <x:c r="A107" s="18" t="str">
        <x:v>Emoo-2</x:v>
      </x:c>
      <x:c r="B107" s="18" t="str">
        <x:v>魅惑魔女</x:v>
      </x:c>
      <x:c r="C107" s="18" t="str">
        <x:v>Enchantress</x:v>
      </x:c>
      <x:c r="D107" s="18" t="str">
        <x:v>Enchant</x:v>
      </x:c>
      <x:c r="E107" s="18" t="str">
        <x:v>A0DX</x:v>
      </x:c>
      <x:c r="F107" s="18" t="str">
        <x:v>Aslo</x:v>
      </x:c>
      <x:c r="G107" s="48" t="str">
        <x:v>0.1/0.2/0.3/—</x:v>
      </x:c>
      <x:c r="H107" s="48" t="str">
        <x:v>—/—/—/—</x:v>
      </x:c>
      <x:c r="I107" s="48" t="str">
        <x:v>—/—/—/—</x:v>
      </x:c>
      <x:c r="J107" s="48" t="str">
        <x:v>—/—/—/—</x:v>
      </x:c>
      <x:c r="K107" s="48" t="str">
        <x:v>—/—/—/—</x:v>
      </x:c>
      <x:c r="L107" s="48" t="str">
        <x:v>—/—/—/—</x:v>
      </x:c>
      <x:c r="M107" s="48" t="str">
        <x:v>—/—/—/—</x:v>
      </x:c>
      <x:c r="N107" s="48" t="str">
        <x:v>—/—/—/—</x:v>
      </x:c>
      <x:c r="O107" s="48" t="str">
        <x:v>—/—/—/—</x:v>
      </x:c>
      <x:c r="P107" s="48" t="str">
        <x:v>—/—/—/—</x:v>
      </x:c>
      <x:c r="Q107" s="48" t="str">
        <x:v>Bslo/Bslo/Bslo/—</x:v>
      </x:c>
      <x:c r="R107" s="48" t="str">
        <x:v>—/—/—/—</x:v>
      </x:c>
      <x:c r="S107" s="48" t="str">
        <x:v>1 / 10% / 2 / 20% / 3 / 30% / 4 / 40% / 30 / 25 / 20 / 15 / 7</x:v>
      </x:c>
      <x:c r="T107" s="48" t="str">
        <x:v>“—”表示 6.48b 对象表该级字段为空；脚本型技能需结合证据说明与来源冲突表。</x:v>
      </x:c>
    </x:row>
    <x:row r="108" ht="34" customHeight="1">
      <x:c r="A108" s="18" t="str">
        <x:v>Emoo-3</x:v>
      </x:c>
      <x:c r="B108" s="18" t="str">
        <x:v>魅惑魔女</x:v>
      </x:c>
      <x:c r="C108" s="18" t="str">
        <x:v>Enchantress</x:v>
      </x:c>
      <x:c r="D108" s="18" t="str">
        <x:v>Nature's Attendants</x:v>
      </x:c>
      <x:c r="E108" s="18" t="str">
        <x:v>A01B</x:v>
      </x:c>
      <x:c r="F108" s="18" t="str">
        <x:v>AUls</x:v>
      </x:c>
      <x:c r="G108" s="48" t="str">
        <x:v>3/5/7/20</x:v>
      </x:c>
      <x:c r="H108" s="48" t="str">
        <x:v>0.1/0.1/0.1/0.2</x:v>
      </x:c>
      <x:c r="I108" s="48" t="str">
        <x:v>—/—/—/7</x:v>
      </x:c>
      <x:c r="J108" s="48" t="str">
        <x:v>0.01/0.01/0.01/1</x:v>
      </x:c>
      <x:c r="K108" s="48" t="str">
        <x:v>0.01/0.01/0.01/20</x:v>
      </x:c>
      <x:c r="L108" s="48" t="str">
        <x:v>—/—/—/—</x:v>
      </x:c>
      <x:c r="M108" s="48" t="str">
        <x:v>—/—/—/—</x:v>
      </x:c>
      <x:c r="N108" s="48" t="str">
        <x:v>—/—/—/—</x:v>
      </x:c>
      <x:c r="O108" s="48" t="str">
        <x:v>—/—/—/—</x:v>
      </x:c>
      <x:c r="P108" s="48" t="str">
        <x:v>u00I/u00I/u00I/uloc</x:v>
      </x:c>
      <x:c r="Q108" s="48" t="str">
        <x:v>—/—/—/—</x:v>
      </x:c>
      <x:c r="R108" s="48" t="str">
        <x:v>—/—/—/—</x:v>
      </x:c>
      <x:c r="S108" s="48" t="str">
        <x:v>300 / 10 / 1 / 3 / 2 / 5 / 7 / 4 / 9 / 45</x:v>
      </x:c>
      <x:c r="T108" s="48" t="str">
        <x:v>“—”表示 6.48b 对象表该级字段为空；脚本型技能需结合证据说明与来源冲突表。</x:v>
      </x:c>
    </x:row>
    <x:row r="109" ht="34" customHeight="1">
      <x:c r="A109" s="18" t="str">
        <x:v>Emoo-4</x:v>
      </x:c>
      <x:c r="B109" s="18" t="str">
        <x:v>魅惑魔女</x:v>
      </x:c>
      <x:c r="C109" s="18" t="str">
        <x:v>Enchantress</x:v>
      </x:c>
      <x:c r="D109" s="18" t="str">
        <x:v>Untouchable</x:v>
      </x:c>
      <x:c r="E109" s="18" t="str">
        <x:v>A0DW</x:v>
      </x:c>
      <x:c r="F109" s="18" t="str">
        <x:v>AEev</x:v>
      </x:c>
      <x:c r="G109" s="48" t="str">
        <x:v>—/—/—</x:v>
      </x:c>
      <x:c r="H109" s="48" t="str">
        <x:v>—/—/—</x:v>
      </x:c>
      <x:c r="I109" s="48" t="str">
        <x:v>—/—/—</x:v>
      </x:c>
      <x:c r="J109" s="48" t="str">
        <x:v>—/—/—</x:v>
      </x:c>
      <x:c r="K109" s="48" t="str">
        <x:v>—/—/—</x:v>
      </x:c>
      <x:c r="L109" s="48" t="str">
        <x:v>—/—/—</x:v>
      </x:c>
      <x:c r="M109" s="48" t="str">
        <x:v>—/—/—</x:v>
      </x:c>
      <x:c r="N109" s="48" t="str">
        <x:v>—/—/—</x:v>
      </x:c>
      <x:c r="O109" s="48" t="str">
        <x:v>—/—/—</x:v>
      </x:c>
      <x:c r="P109" s="48" t="str">
        <x:v>—/—/—</x:v>
      </x:c>
      <x:c r="Q109" s="48" t="str">
        <x:v>—/—/—</x:v>
      </x:c>
      <x:c r="R109" s="48" t="str">
        <x:v>—/—/—</x:v>
      </x:c>
      <x:c r="S109" s="48" t="str">
        <x:v>1 / 50% / 2 / 70% / 3 / 90%</x:v>
      </x:c>
      <x:c r="T109" s="48" t="str">
        <x:v>“—”表示 6.48b 对象表该级字段为空；脚本型技能需结合证据说明与来源冲突表。</x:v>
      </x:c>
    </x:row>
    <x:row r="110" ht="34" customHeight="1">
      <x:c r="A110" s="18" t="str">
        <x:v>O00P-1</x:v>
      </x:c>
      <x:c r="B110" s="18" t="str">
        <x:v>变体精灵</x:v>
      </x:c>
      <x:c r="C110" s="18" t="str">
        <x:v>Morphling</x:v>
      </x:c>
      <x:c r="D110" s="18" t="str">
        <x:v>Waveform</x:v>
      </x:c>
      <x:c r="E110" s="18" t="str">
        <x:v>A0FN</x:v>
      </x:c>
      <x:c r="F110" s="18" t="str">
        <x:v>AUcs</x:v>
      </x:c>
      <x:c r="G110" s="48" t="str">
        <x:v>—/—/—/—</x:v>
      </x:c>
      <x:c r="H110" s="48" t="str">
        <x:v>—/—/—/—</x:v>
      </x:c>
      <x:c r="I110" s="48" t="str">
        <x:v>1000/1000/1000/—</x:v>
      </x:c>
      <x:c r="J110" s="48" t="str">
        <x:v>—/—/—/—</x:v>
      </x:c>
      <x:c r="K110" s="48" t="str">
        <x:v>—/—/—/—</x:v>
      </x:c>
      <x:c r="L110" s="48" t="str">
        <x:v>—/—/—/—</x:v>
      </x:c>
      <x:c r="M110" s="48" t="str">
        <x:v>—/—/—/—</x:v>
      </x:c>
      <x:c r="N110" s="48" t="str">
        <x:v>—/—/—/—</x:v>
      </x:c>
      <x:c r="O110" s="48" t="str">
        <x:v>—/—/—/—</x:v>
      </x:c>
      <x:c r="P110" s="48" t="str">
        <x:v>—/—/—/—</x:v>
      </x:c>
      <x:c r="Q110" s="48" t="str">
        <x:v>—/—/—/—</x:v>
      </x:c>
      <x:c r="R110" s="48" t="str">
        <x:v>—/—/—/—</x:v>
      </x:c>
      <x:c r="S110" s="48" t="str">
        <x:v>1 / 100 / 2 / 175 / 3 / 250 / 4 / 325 / 11</x:v>
      </x:c>
      <x:c r="T110" s="48" t="str">
        <x:v>“—”表示 6.48b 对象表该级字段为空；脚本型技能需结合证据说明与来源冲突表。</x:v>
      </x:c>
    </x:row>
    <x:row r="111" ht="34" customHeight="1">
      <x:c r="A111" s="18" t="str">
        <x:v>O00P-2</x:v>
      </x:c>
      <x:c r="B111" s="18" t="str">
        <x:v>变体精灵</x:v>
      </x:c>
      <x:c r="C111" s="18" t="str">
        <x:v>Morphling</x:v>
      </x:c>
      <x:c r="D111" s="18" t="str">
        <x:v>Adaptive Strike</x:v>
      </x:c>
      <x:c r="E111" s="18" t="str">
        <x:v>A0G6</x:v>
      </x:c>
      <x:c r="F111" s="18" t="str">
        <x:v>ANab</x:v>
      </x:c>
      <x:c r="G111" s="48" t="str">
        <x:v>—/—/—/—</x:v>
      </x:c>
      <x:c r="H111" s="48" t="str">
        <x:v>—/—/—/—</x:v>
      </x:c>
      <x:c r="I111" s="48" t="str">
        <x:v>—/—/—/—</x:v>
      </x:c>
      <x:c r="J111" s="48" t="str">
        <x:v>—/—/—/—</x:v>
      </x:c>
      <x:c r="K111" s="48" t="str">
        <x:v>—/—/—/—</x:v>
      </x:c>
      <x:c r="L111" s="48" t="str">
        <x:v>1/1/1/1</x:v>
      </x:c>
      <x:c r="M111" s="48" t="str">
        <x:v>—/—/—/—</x:v>
      </x:c>
      <x:c r="N111" s="48" t="str">
        <x:v>—/—/—/—</x:v>
      </x:c>
      <x:c r="O111" s="48" t="str">
        <x:v>—/—/—/—</x:v>
      </x:c>
      <x:c r="P111" s="48" t="str">
        <x:v>—/—/—/—</x:v>
      </x:c>
      <x:c r="Q111" s="48" t="str">
        <x:v>—/—/—/—</x:v>
      </x:c>
      <x:c r="R111" s="48" t="str">
        <x:v>—/—/—/—</x:v>
      </x:c>
      <x:c r="S111" s="48" t="str">
        <x:v>1 / 30 / 1.4 / 2 / 60 / 1.8 / 3 / 90 / 2.2 / 4 / 120 / 2.6 / 20</x:v>
      </x:c>
      <x:c r="T111" s="48" t="str">
        <x:v>“—”表示 6.48b 对象表该级字段为空；脚本型技能需结合证据说明与来源冲突表。</x:v>
      </x:c>
    </x:row>
    <x:row r="112" ht="34" customHeight="1">
      <x:c r="A112" s="18" t="str">
        <x:v>O00P-3</x:v>
      </x:c>
      <x:c r="B112" s="18" t="str">
        <x:v>变体精灵</x:v>
      </x:c>
      <x:c r="C112" s="18" t="str">
        <x:v>Morphling</x:v>
      </x:c>
      <x:c r="D112" s="18" t="str">
        <x:v>Morph</x:v>
      </x:c>
      <x:c r="E112" s="18" t="str">
        <x:v>A0KX</x:v>
      </x:c>
      <x:c r="F112" s="18" t="str">
        <x:v>Arpm</x:v>
      </x:c>
      <x:c r="G112" s="48" t="str">
        <x:v>—/—/—/—</x:v>
      </x:c>
      <x:c r="H112" s="48" t="str">
        <x:v>—/—/—/—</x:v>
      </x:c>
      <x:c r="I112" s="48" t="str">
        <x:v>—/—/—/—</x:v>
      </x:c>
      <x:c r="J112" s="48" t="str">
        <x:v>—/—/—/—</x:v>
      </x:c>
      <x:c r="K112" s="48" t="str">
        <x:v>—/—/—/—</x:v>
      </x:c>
      <x:c r="L112" s="48" t="str">
        <x:v>—/—/—/—</x:v>
      </x:c>
      <x:c r="M112" s="48" t="str">
        <x:v>—/—/—/—</x:v>
      </x:c>
      <x:c r="N112" s="48" t="str">
        <x:v>—/—/—/—</x:v>
      </x:c>
      <x:c r="O112" s="48" t="str">
        <x:v>—/—/—/—</x:v>
      </x:c>
      <x:c r="P112" s="48" t="str">
        <x:v>—/—/—/—</x:v>
      </x:c>
      <x:c r="Q112" s="48" t="str">
        <x:v>—/—/—/—</x:v>
      </x:c>
      <x:c r="R112" s="48" t="str">
        <x:v>—/—/—/—</x:v>
      </x:c>
      <x:c r="S112" s="48" t="str">
        <x:v>1 / 2 / 4 / 3 / 6 / 8 / 20</x:v>
      </x:c>
      <x:c r="T112" s="48" t="str">
        <x:v>“—”表示 6.48b 对象表该级字段为空；脚本型技能需结合证据说明与来源冲突表。</x:v>
      </x:c>
    </x:row>
    <x:row r="113" ht="34" customHeight="1">
      <x:c r="A113" s="18" t="str">
        <x:v>O00P-4</x:v>
      </x:c>
      <x:c r="B113" s="18" t="str">
        <x:v>变体精灵</x:v>
      </x:c>
      <x:c r="C113" s="18" t="str">
        <x:v>Morphling</x:v>
      </x:c>
      <x:c r="D113" s="18" t="str">
        <x:v>Replicate</x:v>
      </x:c>
      <x:c r="E113" s="18" t="str">
        <x:v>A0G8</x:v>
      </x:c>
      <x:c r="F113" s="18" t="str">
        <x:v>AIil</x:v>
      </x:c>
      <x:c r="G113" s="48" t="str">
        <x:v>0.5/0.5/0.5</x:v>
      </x:c>
      <x:c r="H113" s="48" t="str">
        <x:v>1/1/1</x:v>
      </x:c>
      <x:c r="I113" s="48" t="str">
        <x:v>—/—/—</x:v>
      </x:c>
      <x:c r="J113" s="48" t="str">
        <x:v>—/—/—</x:v>
      </x:c>
      <x:c r="K113" s="48" t="str">
        <x:v>—/—/—</x:v>
      </x:c>
      <x:c r="L113" s="48" t="str">
        <x:v>—/—/—</x:v>
      </x:c>
      <x:c r="M113" s="48" t="str">
        <x:v>—/—/—</x:v>
      </x:c>
      <x:c r="N113" s="48" t="str">
        <x:v>—/—/—</x:v>
      </x:c>
      <x:c r="O113" s="48" t="str">
        <x:v>—/—/—</x:v>
      </x:c>
      <x:c r="P113" s="48" t="str">
        <x:v>—/—/—</x:v>
      </x:c>
      <x:c r="Q113" s="48" t="str">
        <x:v>B030/B030/B030</x:v>
      </x:c>
      <x:c r="R113" s="48" t="str">
        <x:v>—/—/—</x:v>
      </x:c>
      <x:c r="S113" s="48" t="str">
        <x:v>30 / 45 / 60 / 50% / 100% / 1 / 2 / 3</x:v>
      </x:c>
      <x:c r="T113" s="48" t="str">
        <x:v>“—”表示 6.48b 对象表该级字段为空；脚本型技能需结合证据说明与来源冲突表。</x:v>
      </x:c>
    </x:row>
    <x:row r="114" ht="34" customHeight="1">
      <x:c r="A114" s="18" t="str">
        <x:v>Hjai-1</x:v>
      </x:c>
      <x:c r="B114" s="18" t="str">
        <x:v>水晶室女</x:v>
      </x:c>
      <x:c r="C114" s="18" t="str">
        <x:v>Crystal Maiden</x:v>
      </x:c>
      <x:c r="D114" s="18" t="str">
        <x:v>Frost Nova</x:v>
      </x:c>
      <x:c r="E114" s="18" t="str">
        <x:v>A01D</x:v>
      </x:c>
      <x:c r="F114" s="18" t="str">
        <x:v>AUfn</x:v>
      </x:c>
      <x:c r="G114" s="48" t="str">
        <x:v>75/100/125/125</x:v>
      </x:c>
      <x:c r="H114" s="48" t="str">
        <x:v>50/100/125/175</x:v>
      </x:c>
      <x:c r="I114" s="48" t="str">
        <x:v>—/—/—/—</x:v>
      </x:c>
      <x:c r="J114" s="48" t="str">
        <x:v>—/—/—/—</x:v>
      </x:c>
      <x:c r="K114" s="48" t="str">
        <x:v>—/—/—/—</x:v>
      </x:c>
      <x:c r="L114" s="48" t="str">
        <x:v>—/—/—/—</x:v>
      </x:c>
      <x:c r="M114" s="48" t="str">
        <x:v>—/—/—/—</x:v>
      </x:c>
      <x:c r="N114" s="48" t="str">
        <x:v>—/—/—/—</x:v>
      </x:c>
      <x:c r="O114" s="48" t="str">
        <x:v>—/—/—/—</x:v>
      </x:c>
      <x:c r="P114" s="48" t="str">
        <x:v>—/—/—/—</x:v>
      </x:c>
      <x:c r="Q114" s="48" t="str">
        <x:v>Bfro/Bfro/Bfro/Bfro</x:v>
      </x:c>
      <x:c r="R114" s="48" t="str">
        <x:v>—/—/—/—</x:v>
      </x:c>
      <x:c r="S114" s="48" t="str">
        <x:v>4 / 1 / 50 / 75 / 2 / 100 / 3 / 125 / 175 / 11</x:v>
      </x:c>
      <x:c r="T114" s="48" t="str">
        <x:v>“—”表示 6.48b 对象表该级字段为空；脚本型技能需结合证据说明与来源冲突表。</x:v>
      </x:c>
    </x:row>
    <x:row r="115" ht="34" customHeight="1">
      <x:c r="A115" s="18" t="str">
        <x:v>Hjai-2</x:v>
      </x:c>
      <x:c r="B115" s="18" t="str">
        <x:v>水晶室女</x:v>
      </x:c>
      <x:c r="C115" s="18" t="str">
        <x:v>Crystal Maiden</x:v>
      </x:c>
      <x:c r="D115" s="18" t="str">
        <x:v>Frostbite</x:v>
      </x:c>
      <x:c r="E115" s="18" t="str">
        <x:v>A04C</x:v>
      </x:c>
      <x:c r="F115" s="18" t="str">
        <x:v>AEer</x:v>
      </x:c>
      <x:c r="G115" s="48" t="str">
        <x:v>70/70/70/70</x:v>
      </x:c>
      <x:c r="H115" s="48" t="str">
        <x:v>—/—/—/—</x:v>
      </x:c>
      <x:c r="I115" s="48" t="str">
        <x:v>—/—/—/—</x:v>
      </x:c>
      <x:c r="J115" s="48" t="str">
        <x:v>—/—/—/—</x:v>
      </x:c>
      <x:c r="K115" s="48" t="str">
        <x:v>—/—/—/—</x:v>
      </x:c>
      <x:c r="L115" s="48" t="str">
        <x:v>—/—/—/—</x:v>
      </x:c>
      <x:c r="M115" s="48" t="str">
        <x:v>—/—/—/—</x:v>
      </x:c>
      <x:c r="N115" s="48" t="str">
        <x:v>—/—/—/—</x:v>
      </x:c>
      <x:c r="O115" s="48" t="str">
        <x:v>—/—/—/—</x:v>
      </x:c>
      <x:c r="P115" s="48" t="str">
        <x:v>—/—/—/—</x:v>
      </x:c>
      <x:c r="Q115" s="48" t="str">
        <x:v>B017/B017/B017/B017</x:v>
      </x:c>
      <x:c r="R115" s="48" t="str">
        <x:v>—/—/—/—</x:v>
      </x:c>
      <x:c r="S115" s="48" t="str">
        <x:v>70 / 1 / 1.5 / 2 / 3 / 2.5 / 4 / 10</x:v>
      </x:c>
      <x:c r="T115" s="48" t="str">
        <x:v>“—”表示 6.48b 对象表该级字段为空；脚本型技能需结合证据说明与来源冲突表。</x:v>
      </x:c>
    </x:row>
    <x:row r="116" ht="34" customHeight="1">
      <x:c r="A116" s="18" t="str">
        <x:v>Hjai-3</x:v>
      </x:c>
      <x:c r="B116" s="18" t="str">
        <x:v>水晶室女</x:v>
      </x:c>
      <x:c r="C116" s="18" t="str">
        <x:v>Crystal Maiden</x:v>
      </x:c>
      <x:c r="D116" s="18" t="str">
        <x:v>Brilliance Aura</x:v>
      </x:c>
      <x:c r="E116" s="18" t="str">
        <x:v>AHab</x:v>
      </x:c>
      <x:c r="F116" s="18" t="str">
        <x:v>AHab</x:v>
      </x:c>
      <x:c r="G116" s="48" t="str">
        <x:v>0.6/1.2/1.8/2.4</x:v>
      </x:c>
      <x:c r="H116" s="48" t="str">
        <x:v>—/—/—/—</x:v>
      </x:c>
      <x:c r="I116" s="48" t="str">
        <x:v>—/—/—/—</x:v>
      </x:c>
      <x:c r="J116" s="48" t="str">
        <x:v>—/—/—/—</x:v>
      </x:c>
      <x:c r="K116" s="48" t="str">
        <x:v>—/—/—/—</x:v>
      </x:c>
      <x:c r="L116" s="48" t="str">
        <x:v>—/—/—/—</x:v>
      </x:c>
      <x:c r="M116" s="48" t="str">
        <x:v>—/—/—/—</x:v>
      </x:c>
      <x:c r="N116" s="48" t="str">
        <x:v>—/—/—/—</x:v>
      </x:c>
      <x:c r="O116" s="48" t="str">
        <x:v>—/—/—/—</x:v>
      </x:c>
      <x:c r="P116" s="48" t="str">
        <x:v>—/—/—/—</x:v>
      </x:c>
      <x:c r="Q116" s="48" t="str">
        <x:v>B07M/B07M/B07M/B07M</x:v>
      </x:c>
      <x:c r="R116" s="48" t="str">
        <x:v>—/—/—/—</x:v>
      </x:c>
      <x:c r="S116" s="48" t="str">
        <x:v>1 / 0.6 / 2 / 1.2 / 3 / 1.8 / 4 / 2.4 / 0.60</x:v>
      </x:c>
      <x:c r="T116" s="48" t="str">
        <x:v>“—”表示 6.48b 对象表该级字段为空；脚本型技能需结合证据说明与来源冲突表。</x:v>
      </x:c>
    </x:row>
    <x:row r="117" ht="34" customHeight="1">
      <x:c r="A117" s="18" t="str">
        <x:v>Hjai-4</x:v>
      </x:c>
      <x:c r="B117" s="18" t="str">
        <x:v>水晶室女</x:v>
      </x:c>
      <x:c r="C117" s="18" t="str">
        <x:v>Crystal Maiden</x:v>
      </x:c>
      <x:c r="D117" s="18" t="str">
        <x:v>Freezing Field</x:v>
      </x:c>
      <x:c r="E117" s="18" t="str">
        <x:v>A03R</x:v>
      </x:c>
      <x:c r="F117" s="18" t="str">
        <x:v>ANcl</x:v>
      </x:c>
      <x:c r="G117" s="48" t="str">
        <x:v>4/4/4</x:v>
      </x:c>
      <x:c r="H117" s="48" t="str">
        <x:v>—/—/—</x:v>
      </x:c>
      <x:c r="I117" s="48" t="str">
        <x:v>1/1/1</x:v>
      </x:c>
      <x:c r="J117" s="48" t="str">
        <x:v>0.98/0.98/0.98</x:v>
      </x:c>
      <x:c r="K117" s="48" t="str">
        <x:v>—/—/—</x:v>
      </x:c>
      <x:c r="L117" s="48" t="str">
        <x:v>channel/channel/channel</x:v>
      </x:c>
      <x:c r="M117" s="48" t="str">
        <x:v>—/—/—</x:v>
      </x:c>
      <x:c r="N117" s="48" t="str">
        <x:v>—/—/—</x:v>
      </x:c>
      <x:c r="O117" s="48" t="str">
        <x:v>—/—/—</x:v>
      </x:c>
      <x:c r="P117" s="48" t="str">
        <x:v>—/—/—</x:v>
      </x:c>
      <x:c r="Q117" s="48" t="str">
        <x:v>—/—/—</x:v>
      </x:c>
      <x:c r="R117" s="48" t="str">
        <x:v>—/—/—</x:v>
      </x:c>
      <x:c r="S117" s="48" t="str">
        <x:v>4 / 1 / 105 / 2 / 170 / 3 / 250 / 150 / 120 / 90</x:v>
      </x:c>
      <x:c r="T117" s="48" t="str">
        <x:v>“—”表示 6.48b 对象表该级字段为空；脚本型技能需结合证据说明与来源冲突表。</x:v>
      </x:c>
    </x:row>
    <x:row r="118" ht="34" customHeight="1">
      <x:c r="A118" s="18" t="str">
        <x:v>H001-1</x:v>
      </x:c>
      <x:c r="B118" s="18" t="str">
        <x:v>流浪剑客</x:v>
      </x:c>
      <x:c r="C118" s="18" t="str">
        <x:v>Rogue Knight</x:v>
      </x:c>
      <x:c r="D118" s="18" t="str">
        <x:v>Storm Bolt</x:v>
      </x:c>
      <x:c r="E118" s="18" t="str">
        <x:v>A0RZ</x:v>
      </x:c>
      <x:c r="F118" s="18" t="str">
        <x:v>AHtb</x:v>
      </x:c>
      <x:c r="G118" s="48" t="str">
        <x:v>100/150/200/250</x:v>
      </x:c>
      <x:c r="H118" s="48" t="str">
        <x:v>—/—/—/—</x:v>
      </x:c>
      <x:c r="I118" s="48" t="str">
        <x:v>—/—/—/—</x:v>
      </x:c>
      <x:c r="J118" s="48" t="str">
        <x:v>—/—/—/—</x:v>
      </x:c>
      <x:c r="K118" s="48" t="str">
        <x:v>—/—/—/—</x:v>
      </x:c>
      <x:c r="L118" s="48" t="str">
        <x:v>—/—/—/—</x:v>
      </x:c>
      <x:c r="M118" s="48" t="str">
        <x:v>—/—/—/—</x:v>
      </x:c>
      <x:c r="N118" s="48" t="str">
        <x:v>—/—/—/—</x:v>
      </x:c>
      <x:c r="O118" s="48" t="str">
        <x:v>—/—/—/—</x:v>
      </x:c>
      <x:c r="P118" s="48" t="str">
        <x:v>—/—/—/—</x:v>
      </x:c>
      <x:c r="Q118" s="48" t="str">
        <x:v>BPSE/BPSE/BPSE/BPSE</x:v>
      </x:c>
      <x:c r="R118" s="48" t="str">
        <x:v>—/—/—/—</x:v>
      </x:c>
      <x:c r="S118" s="48" t="str">
        <x:v>2 / 1 / 100 / 150 / 3 / 200 / 4 / 250 / 8</x:v>
      </x:c>
      <x:c r="T118" s="48" t="str">
        <x:v>“—”表示 6.48b 对象表该级字段为空；脚本型技能需结合证据说明与来源冲突表。</x:v>
      </x:c>
    </x:row>
    <x:row r="119" ht="34" customHeight="1">
      <x:c r="A119" s="18" t="str">
        <x:v>H001-2</x:v>
      </x:c>
      <x:c r="B119" s="18" t="str">
        <x:v>流浪剑客</x:v>
      </x:c>
      <x:c r="C119" s="18" t="str">
        <x:v>Rogue Knight</x:v>
      </x:c>
      <x:c r="D119" s="18" t="str">
        <x:v>Great Cleave</x:v>
      </x:c>
      <x:c r="E119" s="18" t="str">
        <x:v>A01K</x:v>
      </x:c>
      <x:c r="F119" s="18" t="str">
        <x:v>ANca</x:v>
      </x:c>
      <x:c r="G119" s="48" t="str">
        <x:v>0.1/0.2/0.3/0.4</x:v>
      </x:c>
      <x:c r="H119" s="48" t="str">
        <x:v>—/—/—/—</x:v>
      </x:c>
      <x:c r="I119" s="48" t="str">
        <x:v>—/—/—/—</x:v>
      </x:c>
      <x:c r="J119" s="48" t="str">
        <x:v>—/—/—/—</x:v>
      </x:c>
      <x:c r="K119" s="48" t="str">
        <x:v>—/—/—/—</x:v>
      </x:c>
      <x:c r="L119" s="48" t="str">
        <x:v>—/—/—/—</x:v>
      </x:c>
      <x:c r="M119" s="48" t="str">
        <x:v>—/—/—/—</x:v>
      </x:c>
      <x:c r="N119" s="48" t="str">
        <x:v>—/—/—/—</x:v>
      </x:c>
      <x:c r="O119" s="48" t="str">
        <x:v>—/—/—/—</x:v>
      </x:c>
      <x:c r="P119" s="48" t="str">
        <x:v>—/—/—/—</x:v>
      </x:c>
      <x:c r="Q119" s="48" t="str">
        <x:v>—/—/—/—</x:v>
      </x:c>
      <x:c r="R119" s="48" t="str">
        <x:v>—/—/—/—</x:v>
      </x:c>
      <x:c r="S119" s="48" t="str">
        <x:v>1 / 10% / 2 / 20% / 3 / 30% / 4 / 40%</x:v>
      </x:c>
      <x:c r="T119" s="48" t="str">
        <x:v>“—”表示 6.48b 对象表该级字段为空；脚本型技能需结合证据说明与来源冲突表。</x:v>
      </x:c>
    </x:row>
    <x:row r="120" ht="34" customHeight="1">
      <x:c r="A120" s="18" t="str">
        <x:v>H001-3</x:v>
      </x:c>
      <x:c r="B120" s="18" t="str">
        <x:v>流浪剑客</x:v>
      </x:c>
      <x:c r="C120" s="18" t="str">
        <x:v>Rogue Knight</x:v>
      </x:c>
      <x:c r="D120" s="18" t="str">
        <x:v>Toughness Aura</x:v>
      </x:c>
      <x:c r="E120" s="18" t="str">
        <x:v>A01M</x:v>
      </x:c>
      <x:c r="F120" s="18" t="str">
        <x:v>AHad</x:v>
      </x:c>
      <x:c r="G120" s="48" t="str">
        <x:v>2/3/4/5</x:v>
      </x:c>
      <x:c r="H120" s="48" t="str">
        <x:v>—/—/—/—</x:v>
      </x:c>
      <x:c r="I120" s="48" t="str">
        <x:v>—/—/—/—</x:v>
      </x:c>
      <x:c r="J120" s="48" t="str">
        <x:v>—/—/—/—</x:v>
      </x:c>
      <x:c r="K120" s="48" t="str">
        <x:v>—/—/—/—</x:v>
      </x:c>
      <x:c r="L120" s="48" t="str">
        <x:v>—/—/—/—</x:v>
      </x:c>
      <x:c r="M120" s="48" t="str">
        <x:v>—/—/—/—</x:v>
      </x:c>
      <x:c r="N120" s="48" t="str">
        <x:v>—/—/—/—</x:v>
      </x:c>
      <x:c r="O120" s="48" t="str">
        <x:v>—/—/—/—</x:v>
      </x:c>
      <x:c r="P120" s="48" t="str">
        <x:v>—/—/—/—</x:v>
      </x:c>
      <x:c r="Q120" s="48" t="str">
        <x:v>B00D/B00D/B00D/B00D</x:v>
      </x:c>
      <x:c r="R120" s="48" t="str">
        <x:v>—/—/—/—</x:v>
      </x:c>
      <x:c r="S120" s="48" t="str">
        <x:v>1 / 2 / 3 / 4 / 5</x:v>
      </x:c>
      <x:c r="T120" s="48" t="str">
        <x:v>“—”表示 6.48b 对象表该级字段为空；脚本型技能需结合证据说明与来源冲突表。</x:v>
      </x:c>
    </x:row>
    <x:row r="121" ht="34" customHeight="1">
      <x:c r="A121" s="18" t="str">
        <x:v>H001-4</x:v>
      </x:c>
      <x:c r="B121" s="18" t="str">
        <x:v>流浪剑客</x:v>
      </x:c>
      <x:c r="C121" s="18" t="str">
        <x:v>Rogue Knight</x:v>
      </x:c>
      <x:c r="D121" s="18" t="str">
        <x:v>God's Strength</x:v>
      </x:c>
      <x:c r="E121" s="18" t="str">
        <x:v>A01H</x:v>
      </x:c>
      <x:c r="F121" s="18" t="str">
        <x:v>Aroa</x:v>
      </x:c>
      <x:c r="G121" s="48" t="str">
        <x:v>1/1.25/1.5</x:v>
      </x:c>
      <x:c r="H121" s="48" t="str">
        <x:v>—/—/—</x:v>
      </x:c>
      <x:c r="I121" s="48" t="str">
        <x:v>—/—/—</x:v>
      </x:c>
      <x:c r="J121" s="48" t="str">
        <x:v>—/—/—</x:v>
      </x:c>
      <x:c r="K121" s="48" t="str">
        <x:v>—/—/—</x:v>
      </x:c>
      <x:c r="L121" s="48" t="str">
        <x:v>—/—/—</x:v>
      </x:c>
      <x:c r="M121" s="48" t="str">
        <x:v>—/—/—</x:v>
      </x:c>
      <x:c r="N121" s="48" t="str">
        <x:v>—/—/—</x:v>
      </x:c>
      <x:c r="O121" s="48" t="str">
        <x:v>—/—/—</x:v>
      </x:c>
      <x:c r="P121" s="48" t="str">
        <x:v>—/—/—</x:v>
      </x:c>
      <x:c r="Q121" s="48" t="str">
        <x:v>B009/B009/B009</x:v>
      </x:c>
      <x:c r="R121" s="48" t="str">
        <x:v>—/—/—</x:v>
      </x:c>
      <x:c r="S121" s="48" t="str">
        <x:v>25 / 1 / 100% / 2 / 125% / 3 / 150% / 120</x:v>
      </x:c>
      <x:c r="T121" s="48" t="str">
        <x:v>“—”表示 6.48b 对象表该级字段为空；脚本型技能需结合证据说明与来源冲突表。</x:v>
      </x:c>
    </x:row>
    <x:row r="122" ht="34" customHeight="1">
      <x:c r="A122" s="18" t="str">
        <x:v>HC49-1</x:v>
      </x:c>
      <x:c r="B122" s="18" t="str">
        <x:v>娜迦海妖</x:v>
      </x:c>
      <x:c r="C122" s="18" t="str">
        <x:v>Naga Siren</x:v>
      </x:c>
      <x:c r="D122" s="18" t="str">
        <x:v>Mirror Image</x:v>
      </x:c>
      <x:c r="E122" s="18" t="str">
        <x:v>A063</x:v>
      </x:c>
      <x:c r="F122" s="18" t="str">
        <x:v>AOmi</x:v>
      </x:c>
      <x:c r="G122" s="48" t="str">
        <x:v>1/2/3/3</x:v>
      </x:c>
      <x:c r="H122" s="48" t="str">
        <x:v>0.15/0.3/0.3/0.45</x:v>
      </x:c>
      <x:c r="I122" s="48" t="str">
        <x:v>3/3/3/3.5</x:v>
      </x:c>
      <x:c r="J122" s="48" t="str">
        <x:v>0.5/0.5/0.5/0.5</x:v>
      </x:c>
      <x:c r="K122" s="48" t="str">
        <x:v>—/—/—/—</x:v>
      </x:c>
      <x:c r="L122" s="48" t="str">
        <x:v>—/—/—/—</x:v>
      </x:c>
      <x:c r="M122" s="48" t="str">
        <x:v>—/—/—/—</x:v>
      </x:c>
      <x:c r="N122" s="48" t="str">
        <x:v>—/—/—/—</x:v>
      </x:c>
      <x:c r="O122" s="48" t="str">
        <x:v>—/—/—/—</x:v>
      </x:c>
      <x:c r="P122" s="48" t="str">
        <x:v>—/—/—/—</x:v>
      </x:c>
      <x:c r="Q122" s="48" t="str">
        <x:v>BOmi/BOmi/BOmi/BOmi</x:v>
      </x:c>
      <x:c r="R122" s="48" t="str">
        <x:v>—/—/—/—</x:v>
      </x:c>
      <x:c r="S122" s="48" t="str">
        <x:v>30 / 1 / 15% / 2 / 30% / 3 / 4 / 45% / 60</x:v>
      </x:c>
      <x:c r="T122" s="48" t="str">
        <x:v>“—”表示 6.48b 对象表该级字段为空；脚本型技能需结合证据说明与来源冲突表。</x:v>
      </x:c>
    </x:row>
    <x:row r="123" ht="34" customHeight="1">
      <x:c r="A123" s="18" t="str">
        <x:v>HC49-2</x:v>
      </x:c>
      <x:c r="B123" s="18" t="str">
        <x:v>娜迦海妖</x:v>
      </x:c>
      <x:c r="C123" s="18" t="str">
        <x:v>Naga Siren</x:v>
      </x:c>
      <x:c r="D123" s="18" t="str">
        <x:v>Ensnare</x:v>
      </x:c>
      <x:c r="E123" s="18" t="str">
        <x:v>A0BA</x:v>
      </x:c>
      <x:c r="F123" s="18" t="str">
        <x:v>Aens</x:v>
      </x:c>
      <x:c r="G123" s="48" t="str">
        <x:v>0.6/0.6/0.6/—</x:v>
      </x:c>
      <x:c r="H123" s="48" t="str">
        <x:v>200/200/200/—</x:v>
      </x:c>
      <x:c r="I123" s="48" t="str">
        <x:v>128/128/128/—</x:v>
      </x:c>
      <x:c r="J123" s="48" t="str">
        <x:v>—/—/—/—</x:v>
      </x:c>
      <x:c r="K123" s="48" t="str">
        <x:v>—/—/—/—</x:v>
      </x:c>
      <x:c r="L123" s="48" t="str">
        <x:v>—/—/—/—</x:v>
      </x:c>
      <x:c r="M123" s="48" t="str">
        <x:v>—/—/—/—</x:v>
      </x:c>
      <x:c r="N123" s="48" t="str">
        <x:v>—/—/—/—</x:v>
      </x:c>
      <x:c r="O123" s="48" t="str">
        <x:v>—/—/—/—</x:v>
      </x:c>
      <x:c r="P123" s="48" t="str">
        <x:v>—/—/—/—</x:v>
      </x:c>
      <x:c r="Q123" s="48" t="str">
        <x:v>Bena,Beng/Bena,Beng/Bena,Beng/—</x:v>
      </x:c>
      <x:c r="R123" s="48" t="str">
        <x:v>—/—/—/—</x:v>
      </x:c>
      <x:c r="S123" s="48" t="str">
        <x:v>1 / 2 / 3 / 4 / 5 / 14</x:v>
      </x:c>
      <x:c r="T123" s="48" t="str">
        <x:v>“—”表示 6.48b 对象表该级字段为空；脚本型技能需结合证据说明与来源冲突表。</x:v>
      </x:c>
    </x:row>
    <x:row r="124" ht="34" customHeight="1">
      <x:c r="A124" s="18" t="str">
        <x:v>HC49-3</x:v>
      </x:c>
      <x:c r="B124" s="18" t="str">
        <x:v>娜迦海妖</x:v>
      </x:c>
      <x:c r="C124" s="18" t="str">
        <x:v>Naga Siren</x:v>
      </x:c>
      <x:c r="D124" s="18" t="str">
        <x:v>Critical Strike</x:v>
      </x:c>
      <x:c r="E124" s="18" t="str">
        <x:v>A00E</x:v>
      </x:c>
      <x:c r="F124" s="18" t="str">
        <x:v>AOcr</x:v>
      </x:c>
      <x:c r="G124" s="48" t="str">
        <x:v>15/25/35/45</x:v>
      </x:c>
      <x:c r="H124" s="48" t="str">
        <x:v>1.5/1.5/1.5/1.5</x:v>
      </x:c>
      <x:c r="I124" s="48" t="str">
        <x:v>—/—/—/—</x:v>
      </x:c>
      <x:c r="J124" s="48" t="str">
        <x:v>—/—/—/—</x:v>
      </x:c>
      <x:c r="K124" s="48" t="str">
        <x:v>—/—/—/—</x:v>
      </x:c>
      <x:c r="L124" s="48" t="str">
        <x:v>—/—/—/—</x:v>
      </x:c>
      <x:c r="M124" s="48" t="str">
        <x:v>—/—/—/—</x:v>
      </x:c>
      <x:c r="N124" s="48" t="str">
        <x:v>—/—/—/—</x:v>
      </x:c>
      <x:c r="O124" s="48" t="str">
        <x:v>—/—/—/—</x:v>
      </x:c>
      <x:c r="P124" s="48" t="str">
        <x:v>—/—/—/—</x:v>
      </x:c>
      <x:c r="Q124" s="48" t="str">
        <x:v>—/—/—/—</x:v>
      </x:c>
      <x:c r="R124" s="48" t="str">
        <x:v>—/—/—/—</x:v>
      </x:c>
      <x:c r="S124" s="48" t="str">
        <x:v>1.5 / 1 / 15% / 2 / 25% / 3 / 35% / 4 / 45%</x:v>
      </x:c>
      <x:c r="T124" s="48" t="str">
        <x:v>“—”表示 6.48b 对象表该级字段为空；脚本型技能需结合证据说明与来源冲突表。</x:v>
      </x:c>
    </x:row>
    <x:row r="125" ht="34" customHeight="1">
      <x:c r="A125" s="18" t="str">
        <x:v>HC49-4</x:v>
      </x:c>
      <x:c r="B125" s="18" t="str">
        <x:v>娜迦海妖</x:v>
      </x:c>
      <x:c r="C125" s="18" t="str">
        <x:v>Naga Siren</x:v>
      </x:c>
      <x:c r="D125" s="18" t="str">
        <x:v>Song of the Siren</x:v>
      </x:c>
      <x:c r="E125" s="18" t="str">
        <x:v>A07U</x:v>
      </x:c>
      <x:c r="F125" s="18" t="str">
        <x:v>ANcl</x:v>
      </x:c>
      <x:c r="G125" s="48" t="str">
        <x:v>1/1/1</x:v>
      </x:c>
      <x:c r="H125" s="48" t="str">
        <x:v>—/—/—</x:v>
      </x:c>
      <x:c r="I125" s="48" t="str">
        <x:v>1/1/1</x:v>
      </x:c>
      <x:c r="J125" s="48" t="str">
        <x:v>0.98/0.98/0.98</x:v>
      </x:c>
      <x:c r="K125" s="48" t="str">
        <x:v>—/—/—</x:v>
      </x:c>
      <x:c r="L125" s="48" t="str">
        <x:v>channel/channel/channel</x:v>
      </x:c>
      <x:c r="M125" s="48" t="str">
        <x:v>—/—/—</x:v>
      </x:c>
      <x:c r="N125" s="48" t="str">
        <x:v>—/—/—</x:v>
      </x:c>
      <x:c r="O125" s="48" t="str">
        <x:v>—/—/—</x:v>
      </x:c>
      <x:c r="P125" s="48" t="str">
        <x:v>—/—/—</x:v>
      </x:c>
      <x:c r="Q125" s="48" t="str">
        <x:v>—/—/—</x:v>
      </x:c>
      <x:c r="R125" s="48" t="str">
        <x:v>—/—/—</x:v>
      </x:c>
      <x:c r="S125" s="48" t="str">
        <x:v>1 / 6 / 2 / 7 / 3 / 8 / 120</x:v>
      </x:c>
      <x:c r="T125" s="48" t="str">
        <x:v>“—”表示 6.48b 对象表该级字段为空；脚本型技能需结合证据说明与来源冲突表。</x:v>
      </x:c>
    </x:row>
    <x:row r="126" ht="34" customHeight="1">
      <x:c r="A126" s="18" t="str">
        <x:v>N01O-1</x:v>
      </x:c>
      <x:c r="B126" s="18" t="str">
        <x:v>德鲁伊</x:v>
      </x:c>
      <x:c r="C126" s="18" t="str">
        <x:v>Lone Druid</x:v>
      </x:c>
      <x:c r="D126" s="18" t="str">
        <x:v>Summon Spirit Bear</x:v>
      </x:c>
      <x:c r="E126" s="18" t="str">
        <x:v>A0A5</x:v>
      </x:c>
      <x:c r="F126" s="18" t="str">
        <x:v>ANsg</x:v>
      </x:c>
      <x:c r="G126" s="48" t="str">
        <x:v>1/1/1/1</x:v>
      </x:c>
      <x:c r="H126" s="48" t="str">
        <x:v>—/—/—/—</x:v>
      </x:c>
      <x:c r="I126" s="48" t="str">
        <x:v>—/—/—/—</x:v>
      </x:c>
      <x:c r="J126" s="48" t="str">
        <x:v>—/—/—/—</x:v>
      </x:c>
      <x:c r="K126" s="48" t="str">
        <x:v>—/—/—/—</x:v>
      </x:c>
      <x:c r="L126" s="48" t="str">
        <x:v>—/—/—/—</x:v>
      </x:c>
      <x:c r="M126" s="48" t="str">
        <x:v>—/—/—/—</x:v>
      </x:c>
      <x:c r="N126" s="48" t="str">
        <x:v>—/—/—/—</x:v>
      </x:c>
      <x:c r="O126" s="48" t="str">
        <x:v>—/—/—/—</x:v>
      </x:c>
      <x:c r="P126" s="48" t="str">
        <x:v>e00E/e00E/e00E/e00E</x:v>
      </x:c>
      <x:c r="Q126" s="48" t="str">
        <x:v>BNsg/BNsg/BNsg/BNsg</x:v>
      </x:c>
      <x:c r="R126" s="48" t="str">
        <x:v>—/—/—/—</x:v>
      </x:c>
      <x:c r="S126" s="48" t="str">
        <x:v>1 / 1400 / 2 / 1800 / 3 / 2300 / 16% / 4 / 2700 / 33% / 180 / 100 / 200 / 300 / 40 / 1.33 / 400</x:v>
      </x:c>
      <x:c r="T126" s="48" t="str">
        <x:v>“—”表示 6.48b 对象表该级字段为空；脚本型技能需结合证据说明与来源冲突表。</x:v>
      </x:c>
    </x:row>
    <x:row r="127" ht="34" customHeight="1">
      <x:c r="A127" s="18" t="str">
        <x:v>N01O-2</x:v>
      </x:c>
      <x:c r="B127" s="18" t="str">
        <x:v>德鲁伊</x:v>
      </x:c>
      <x:c r="C127" s="18" t="str">
        <x:v>Lone Druid</x:v>
      </x:c>
      <x:c r="D127" s="18" t="str">
        <x:v>Rabid</x:v>
      </x:c>
      <x:c r="E127" s="18" t="str">
        <x:v>A0AA</x:v>
      </x:c>
      <x:c r="F127" s="18" t="str">
        <x:v>Ablo</x:v>
      </x:c>
      <x:c r="G127" s="48" t="str">
        <x:v>0.1/0.2/0.3/—</x:v>
      </x:c>
      <x:c r="H127" s="48" t="str">
        <x:v>0.05/0.1/0.15/—</x:v>
      </x:c>
      <x:c r="I127" s="48" t="str">
        <x:v>0.3/0.4/0.5/—</x:v>
      </x:c>
      <x:c r="J127" s="48" t="str">
        <x:v>—/—/—/—</x:v>
      </x:c>
      <x:c r="K127" s="48" t="str">
        <x:v>—/—/—/—</x:v>
      </x:c>
      <x:c r="L127" s="48" t="str">
        <x:v>—/—/—/—</x:v>
      </x:c>
      <x:c r="M127" s="48" t="str">
        <x:v>—/—/—/—</x:v>
      </x:c>
      <x:c r="N127" s="48" t="str">
        <x:v>—/—/—/—</x:v>
      </x:c>
      <x:c r="O127" s="48" t="str">
        <x:v>—/—/—/—</x:v>
      </x:c>
      <x:c r="P127" s="48" t="str">
        <x:v>—/—/—/—</x:v>
      </x:c>
      <x:c r="Q127" s="48" t="str">
        <x:v>B016/B016/B016/—</x:v>
      </x:c>
      <x:c r="R127" s="48" t="str">
        <x:v>—/—/—/—</x:v>
      </x:c>
      <x:c r="S127" s="48" t="str">
        <x:v>10 / 1 / 10% / 5% / 2 / 20% / 3 / 30% / 15% / 4 / 40% / 30</x:v>
      </x:c>
      <x:c r="T127" s="48" t="str">
        <x:v>“—”表示 6.48b 对象表该级字段为空；脚本型技能需结合证据说明与来源冲突表。</x:v>
      </x:c>
    </x:row>
    <x:row r="128" ht="34" customHeight="1">
      <x:c r="A128" s="18" t="str">
        <x:v>N01O-3</x:v>
      </x:c>
      <x:c r="B128" s="18" t="str">
        <x:v>德鲁伊</x:v>
      </x:c>
      <x:c r="C128" s="18" t="str">
        <x:v>Lone Druid</x:v>
      </x:c>
      <x:c r="D128" s="18" t="str">
        <x:v>Synergy</x:v>
      </x:c>
      <x:c r="E128" s="18" t="str">
        <x:v>A0A8</x:v>
      </x:c>
      <x:c r="F128" s="18" t="str">
        <x:v>ANeg</x:v>
      </x:c>
      <x:c r="G128" s="48" t="str">
        <x:v>—/—/—/—</x:v>
      </x:c>
      <x:c r="H128" s="48" t="str">
        <x:v>—/—/—/—</x:v>
      </x:c>
      <x:c r="I128" s="48" t="str">
        <x:v>A0AA,A0AB/A0AB,A0AC/A0AC,A0AD/A0AD,A0AE</x:v>
      </x:c>
      <x:c r="J128" s="48" t="str">
        <x:v>ANcs,ANc1/ANc1,ANc2/ANc2,ANc3/ANc2,ANc3</x:v>
      </x:c>
      <x:c r="K128" s="48" t="str">
        <x:v>ANrg,ANg1/ANg1,ANg2/ANg2,ANg3/ANg2,ANg3</x:v>
      </x:c>
      <x:c r="L128" s="48" t="str">
        <x:v>ANde,ANd1/ANd1,ANd2/ANd2,ANd3/ANd2,ANd3</x:v>
      </x:c>
      <x:c r="M128" s="48" t="str">
        <x:v>—/—/—/—</x:v>
      </x:c>
      <x:c r="N128" s="48" t="str">
        <x:v>—/—/—/—</x:v>
      </x:c>
      <x:c r="O128" s="48" t="str">
        <x:v>—/—/—/—</x:v>
      </x:c>
      <x:c r="P128" s="48" t="str">
        <x:v>—/—/—/—</x:v>
      </x:c>
      <x:c r="Q128" s="48" t="str">
        <x:v>B00A/B00A/B00A/B00A</x:v>
      </x:c>
      <x:c r="R128" s="48" t="str">
        <x:v>—/—/—/—</x:v>
      </x:c>
      <x:c r="S128" s="48" t="str">
        <x:v>10 / 1 / 100 / 2 / 20 / 200 / 3 / 30 / 300 / 4 / 40 / 400</x:v>
      </x:c>
      <x:c r="T128" s="48" t="str">
        <x:v>“—”表示 6.48b 对象表该级字段为空；脚本型技能需结合证据说明与来源冲突表。</x:v>
      </x:c>
    </x:row>
    <x:row r="129" ht="34" customHeight="1">
      <x:c r="A129" s="18" t="str">
        <x:v>N01O-4</x:v>
      </x:c>
      <x:c r="B129" s="18" t="str">
        <x:v>德鲁伊</x:v>
      </x:c>
      <x:c r="C129" s="18" t="str">
        <x:v>Lone Druid</x:v>
      </x:c>
      <x:c r="D129" s="18" t="str">
        <x:v>True Form</x:v>
      </x:c>
      <x:c r="E129" s="18" t="str">
        <x:v>A0AG</x:v>
      </x:c>
      <x:c r="F129" s="18" t="str">
        <x:v>Abrf</x:v>
      </x:c>
      <x:c r="G129" s="48" t="str">
        <x:v>N01O/N01O/N01O</x:v>
      </x:c>
      <x:c r="H129" s="48" t="str">
        <x:v>1/1/1</x:v>
      </x:c>
      <x:c r="I129" s="48" t="str">
        <x:v>—/—/—</x:v>
      </x:c>
      <x:c r="J129" s="48" t="str">
        <x:v>—/—/—</x:v>
      </x:c>
      <x:c r="K129" s="48" t="str">
        <x:v>—/—/—</x:v>
      </x:c>
      <x:c r="L129" s="48" t="str">
        <x:v>—/—/—</x:v>
      </x:c>
      <x:c r="M129" s="48" t="str">
        <x:v>—/—/—</x:v>
      </x:c>
      <x:c r="N129" s="48" t="str">
        <x:v>—/—/—</x:v>
      </x:c>
      <x:c r="O129" s="48" t="str">
        <x:v>—/—/—</x:v>
      </x:c>
      <x:c r="P129" s="48" t="str">
        <x:v>N013/N014/N015</x:v>
      </x:c>
      <x:c r="Q129" s="48" t="str">
        <x:v>—/—/—</x:v>
      </x:c>
      <x:c r="R129" s="48" t="str">
        <x:v>—/—/—</x:v>
      </x:c>
      <x:c r="S129" s="48" t="str">
        <x:v>1 / 250 / 2 / 400 / 3 / 600</x:v>
      </x:c>
      <x:c r="T129" s="48" t="str">
        <x:v>“—”表示 6.48b 对象表该级字段为空；脚本型技能需结合证据说明与来源冲突表。</x:v>
      </x:c>
    </x:row>
    <x:row r="130" ht="34" customHeight="1">
      <x:c r="A130" s="18" t="str">
        <x:v>Otch-1</x:v>
      </x:c>
      <x:c r="B130" s="18" t="str">
        <x:v>撼地神牛</x:v>
      </x:c>
      <x:c r="C130" s="18" t="str">
        <x:v>Earthshaker</x:v>
      </x:c>
      <x:c r="D130" s="18" t="str">
        <x:v>Fissure</x:v>
      </x:c>
      <x:c r="E130" s="18" t="str">
        <x:v>A0M0</x:v>
      </x:c>
      <x:c r="F130" s="18" t="str">
        <x:v>AUim</x:v>
      </x:c>
      <x:c r="G130" s="48" t="str">
        <x:v>1200/1200/1200/1200</x:v>
      </x:c>
      <x:c r="H130" s="48" t="str">
        <x:v>—/—/—/—</x:v>
      </x:c>
      <x:c r="I130" s="48" t="str">
        <x:v>125/175/225/275</x:v>
      </x:c>
      <x:c r="J130" s="48" t="str">
        <x:v>—/—/—/—</x:v>
      </x:c>
      <x:c r="K130" s="48" t="str">
        <x:v>—/—/—/—</x:v>
      </x:c>
      <x:c r="L130" s="48" t="str">
        <x:v>—/—/—/—</x:v>
      </x:c>
      <x:c r="M130" s="48" t="str">
        <x:v>—/—/—/—</x:v>
      </x:c>
      <x:c r="N130" s="48" t="str">
        <x:v>—/—/—/—</x:v>
      </x:c>
      <x:c r="O130" s="48" t="str">
        <x:v>—/—/—/—</x:v>
      </x:c>
      <x:c r="P130" s="48" t="str">
        <x:v>—/—/—/—</x:v>
      </x:c>
      <x:c r="Q130" s="48" t="str">
        <x:v>BPSE/BPSE/BPSE/BPSE</x:v>
      </x:c>
      <x:c r="R130" s="48" t="str">
        <x:v>—/—/—/—</x:v>
      </x:c>
      <x:c r="S130" s="48" t="str">
        <x:v>1 / 125 / 2 / 175 / 1.25 / 3 / 225 / 1.5 / 4 / 275 / 1.75 / 15 / 8</x:v>
      </x:c>
      <x:c r="T130" s="48" t="str">
        <x:v>“—”表示 6.48b 对象表该级字段为空；脚本型技能需结合证据说明与来源冲突表。</x:v>
      </x:c>
    </x:row>
    <x:row r="131" ht="34" customHeight="1">
      <x:c r="A131" s="18" t="str">
        <x:v>Otch-2</x:v>
      </x:c>
      <x:c r="B131" s="18" t="str">
        <x:v>撼地神牛</x:v>
      </x:c>
      <x:c r="C131" s="18" t="str">
        <x:v>Earthshaker</x:v>
      </x:c>
      <x:c r="D131" s="18" t="str">
        <x:v>Enchant Totem</x:v>
      </x:c>
      <x:c r="E131" s="18" t="str">
        <x:v>A0DL</x:v>
      </x:c>
      <x:c r="F131" s="18" t="str">
        <x:v>Aroa</x:v>
      </x:c>
      <x:c r="G131" s="48" t="str">
        <x:v>0.5/1/1.5/—</x:v>
      </x:c>
      <x:c r="H131" s="48" t="str">
        <x:v>—/—/—/—</x:v>
      </x:c>
      <x:c r="I131" s="48" t="str">
        <x:v>—/—/—/—</x:v>
      </x:c>
      <x:c r="J131" s="48" t="str">
        <x:v>—/—/—/—</x:v>
      </x:c>
      <x:c r="K131" s="48" t="str">
        <x:v>—/—/—/—</x:v>
      </x:c>
      <x:c r="L131" s="48" t="str">
        <x:v>—/—/—/—</x:v>
      </x:c>
      <x:c r="M131" s="48" t="str">
        <x:v>—/—/—/—</x:v>
      </x:c>
      <x:c r="N131" s="48" t="str">
        <x:v>—/—/—/—</x:v>
      </x:c>
      <x:c r="O131" s="48" t="str">
        <x:v>—/—/—/—</x:v>
      </x:c>
      <x:c r="P131" s="48" t="str">
        <x:v>—/—/—/—</x:v>
      </x:c>
      <x:c r="Q131" s="48" t="str">
        <x:v>Broa/Broa/Broa/—</x:v>
      </x:c>
      <x:c r="R131" s="48" t="str">
        <x:v>—/—/—/—</x:v>
      </x:c>
      <x:c r="S131" s="48" t="str">
        <x:v>1 / 50% / 2 / 100% / 3 / 150% / 4 / 200% / 7 / 14</x:v>
      </x:c>
      <x:c r="T131" s="48" t="str">
        <x:v>“—”表示 6.48b 对象表该级字段为空；脚本型技能需结合证据说明与来源冲突表。</x:v>
      </x:c>
    </x:row>
    <x:row r="132" ht="34" customHeight="1">
      <x:c r="A132" s="18" t="str">
        <x:v>Otch-3</x:v>
      </x:c>
      <x:c r="B132" s="18" t="str">
        <x:v>撼地神牛</x:v>
      </x:c>
      <x:c r="C132" s="18" t="str">
        <x:v>Earthshaker</x:v>
      </x:c>
      <x:c r="D132" s="18" t="str">
        <x:v>Aftershock</x:v>
      </x:c>
      <x:c r="E132" s="18" t="str">
        <x:v>A0DJ</x:v>
      </x:c>
      <x:c r="F132" s="18" t="str">
        <x:v>AEev</x:v>
      </x:c>
      <x:c r="G132" s="48" t="str">
        <x:v>—/—/—/—</x:v>
      </x:c>
      <x:c r="H132" s="48" t="str">
        <x:v>—/—/—/—</x:v>
      </x:c>
      <x:c r="I132" s="48" t="str">
        <x:v>—/—/—/—</x:v>
      </x:c>
      <x:c r="J132" s="48" t="str">
        <x:v>—/—/—/—</x:v>
      </x:c>
      <x:c r="K132" s="48" t="str">
        <x:v>—/—/—/—</x:v>
      </x:c>
      <x:c r="L132" s="48" t="str">
        <x:v>—/—/—/—</x:v>
      </x:c>
      <x:c r="M132" s="48" t="str">
        <x:v>—/—/—/—</x:v>
      </x:c>
      <x:c r="N132" s="48" t="str">
        <x:v>—/—/—/—</x:v>
      </x:c>
      <x:c r="O132" s="48" t="str">
        <x:v>—/—/—/—</x:v>
      </x:c>
      <x:c r="P132" s="48" t="str">
        <x:v>—/—/—/—</x:v>
      </x:c>
      <x:c r="Q132" s="48" t="str">
        <x:v>—/—/—/—</x:v>
      </x:c>
      <x:c r="R132" s="48" t="str">
        <x:v>—/—/—/—</x:v>
      </x:c>
      <x:c r="S132" s="48" t="str">
        <x:v>1 / 25 / 3 / 2 / 45 / 7 / 75 / 1.2 / 4 / 115 / 1.5</x:v>
      </x:c>
      <x:c r="T132" s="48" t="str">
        <x:v>“—”表示 6.48b 对象表该级字段为空；脚本型技能需结合证据说明与来源冲突表。</x:v>
      </x:c>
    </x:row>
    <x:row r="133" ht="34" customHeight="1">
      <x:c r="A133" s="18" t="str">
        <x:v>Otch-4</x:v>
      </x:c>
      <x:c r="B133" s="18" t="str">
        <x:v>撼地神牛</x:v>
      </x:c>
      <x:c r="C133" s="18" t="str">
        <x:v>Earthshaker</x:v>
      </x:c>
      <x:c r="D133" s="18" t="str">
        <x:v>Echo Slam</x:v>
      </x:c>
      <x:c r="E133" s="18" t="str">
        <x:v>A0DH</x:v>
      </x:c>
      <x:c r="F133" s="18" t="str">
        <x:v>AEfk</x:v>
      </x:c>
      <x:c r="G133" s="48" t="str">
        <x:v>165/230/285</x:v>
      </x:c>
      <x:c r="H133" s="48" t="str">
        <x:v>—/—/—</x:v>
      </x:c>
      <x:c r="I133" s="48" t="str">
        <x:v>—/—/—</x:v>
      </x:c>
      <x:c r="J133" s="48" t="str">
        <x:v>100/100/100</x:v>
      </x:c>
      <x:c r="K133" s="48" t="str">
        <x:v>—/—/—</x:v>
      </x:c>
      <x:c r="L133" s="48" t="str">
        <x:v>—/—/—</x:v>
      </x:c>
      <x:c r="M133" s="48" t="str">
        <x:v>—/—/—</x:v>
      </x:c>
      <x:c r="N133" s="48" t="str">
        <x:v>—/—/—</x:v>
      </x:c>
      <x:c r="O133" s="48" t="str">
        <x:v>—/—/—</x:v>
      </x:c>
      <x:c r="P133" s="48" t="str">
        <x:v>—/—/—</x:v>
      </x:c>
      <x:c r="Q133" s="48" t="str">
        <x:v>—/—/—</x:v>
      </x:c>
      <x:c r="R133" s="48" t="str">
        <x:v>—/—/—</x:v>
      </x:c>
      <x:c r="S133" s="48" t="str">
        <x:v>1 / 200 / 35 / 2 / 275 / 45 / 3 / 350 / 65 / 150 / 130 / 110</x:v>
      </x:c>
      <x:c r="T133" s="48" t="str">
        <x:v>“—”表示 6.48b 对象表该级字段为空；脚本型技能需结合证据说明与来源冲突表。</x:v>
      </x:c>
    </x:row>
    <x:row r="134" ht="34" customHeight="1">
      <x:c r="A134" s="18" t="str">
        <x:v>HC92-1</x:v>
      </x:c>
      <x:c r="B134" s="18" t="str">
        <x:v>隐形刺客</x:v>
      </x:c>
      <x:c r="C134" s="18" t="str">
        <x:v>Stealth Assassin</x:v>
      </x:c>
      <x:c r="D134" s="18" t="str">
        <x:v>Blink Strike</x:v>
      </x:c>
      <x:c r="E134" s="18" t="str">
        <x:v>A0K9</x:v>
      </x:c>
      <x:c r="F134" s="18" t="str">
        <x:v>ANcl</x:v>
      </x:c>
      <x:c r="G134" s="48" t="str">
        <x:v>—/—/—/—</x:v>
      </x:c>
      <x:c r="H134" s="48" t="str">
        <x:v>1/1/1/1</x:v>
      </x:c>
      <x:c r="I134" s="48" t="str">
        <x:v>1/1/1/1</x:v>
      </x:c>
      <x:c r="J134" s="48" t="str">
        <x:v>0.01/0.01/0.01/0.01</x:v>
      </x:c>
      <x:c r="K134" s="48" t="str">
        <x:v>—/—/—/—</x:v>
      </x:c>
      <x:c r="L134" s="48" t="str">
        <x:v>channel/channel/channel/channel</x:v>
      </x:c>
      <x:c r="M134" s="48" t="str">
        <x:v>—/—/—/—</x:v>
      </x:c>
      <x:c r="N134" s="48" t="str">
        <x:v>—/—/—/—</x:v>
      </x:c>
      <x:c r="O134" s="48" t="str">
        <x:v>—/—/—/—</x:v>
      </x:c>
      <x:c r="P134" s="48" t="str">
        <x:v>—/—/—/—</x:v>
      </x:c>
      <x:c r="Q134" s="48" t="str">
        <x:v>—/—/—/—</x:v>
      </x:c>
      <x:c r="R134" s="48" t="str">
        <x:v>—/—/—/—</x:v>
      </x:c>
      <x:c r="S134" s="48" t="str">
        <x:v>50 / 1 / 30 / 2 / 60 / 3 / 90 / 4 / 120 / 20 / 10 / 5</x:v>
      </x:c>
      <x:c r="T134" s="48" t="str">
        <x:v>“—”表示 6.48b 对象表该级字段为空；脚本型技能需结合证据说明与来源冲突表。</x:v>
      </x:c>
    </x:row>
    <x:row r="135" ht="34" customHeight="1">
      <x:c r="A135" s="18" t="str">
        <x:v>HC92-2</x:v>
      </x:c>
      <x:c r="B135" s="18" t="str">
        <x:v>隐形刺客</x:v>
      </x:c>
      <x:c r="C135" s="18" t="str">
        <x:v>Stealth Assassin</x:v>
      </x:c>
      <x:c r="D135" s="18" t="str">
        <x:v>Backstab</x:v>
      </x:c>
      <x:c r="E135" s="18" t="str">
        <x:v>A0DZ</x:v>
      </x:c>
      <x:c r="F135" s="18" t="str">
        <x:v>AEev</x:v>
      </x:c>
      <x:c r="G135" s="48" t="str">
        <x:v>—/—/—/—</x:v>
      </x:c>
      <x:c r="H135" s="48" t="str">
        <x:v>—/—/—/—</x:v>
      </x:c>
      <x:c r="I135" s="48" t="str">
        <x:v>—/—/—/—</x:v>
      </x:c>
      <x:c r="J135" s="48" t="str">
        <x:v>—/—/—/—</x:v>
      </x:c>
      <x:c r="K135" s="48" t="str">
        <x:v>—/—/—/—</x:v>
      </x:c>
      <x:c r="L135" s="48" t="str">
        <x:v>—/—/—/—</x:v>
      </x:c>
      <x:c r="M135" s="48" t="str">
        <x:v>—/—/—/—</x:v>
      </x:c>
      <x:c r="N135" s="48" t="str">
        <x:v>—/—/—/—</x:v>
      </x:c>
      <x:c r="O135" s="48" t="str">
        <x:v>—/—/—/—</x:v>
      </x:c>
      <x:c r="P135" s="48" t="str">
        <x:v>—/—/—/—</x:v>
      </x:c>
      <x:c r="Q135" s="48" t="str">
        <x:v>—/—/—/—</x:v>
      </x:c>
      <x:c r="R135" s="48" t="str">
        <x:v>—/—/—/—</x:v>
      </x:c>
      <x:c r="S135" s="48" t="str">
        <x:v>1 / 25 / 2 / 5 / 3 / 75 / 4</x:v>
      </x:c>
      <x:c r="T135" s="48" t="str">
        <x:v>“—”表示 6.48b 对象表该级字段为空；脚本型技能需结合证据说明与来源冲突表。</x:v>
      </x:c>
    </x:row>
    <x:row r="136" ht="34" customHeight="1">
      <x:c r="A136" s="18" t="str">
        <x:v>HC92-3</x:v>
      </x:c>
      <x:c r="B136" s="18" t="str">
        <x:v>隐形刺客</x:v>
      </x:c>
      <x:c r="C136" s="18" t="str">
        <x:v>Stealth Assassin</x:v>
      </x:c>
      <x:c r="D136" s="18" t="str">
        <x:v>Permanent Invisibility</x:v>
      </x:c>
      <x:c r="E136" s="18" t="str">
        <x:v>A00J</x:v>
      </x:c>
      <x:c r="F136" s="18" t="str">
        <x:v>Apiv</x:v>
      </x:c>
      <x:c r="G136" s="48" t="str">
        <x:v>—/—/—</x:v>
      </x:c>
      <x:c r="H136" s="48" t="str">
        <x:v>—/—/—</x:v>
      </x:c>
      <x:c r="I136" s="48" t="str">
        <x:v>—/—/—</x:v>
      </x:c>
      <x:c r="J136" s="48" t="str">
        <x:v>—/—/—</x:v>
      </x:c>
      <x:c r="K136" s="48" t="str">
        <x:v>—/—/—</x:v>
      </x:c>
      <x:c r="L136" s="48" t="str">
        <x:v>—/—/—</x:v>
      </x:c>
      <x:c r="M136" s="48" t="str">
        <x:v>—/—/—</x:v>
      </x:c>
      <x:c r="N136" s="48" t="str">
        <x:v>—/—/—</x:v>
      </x:c>
      <x:c r="O136" s="48" t="str">
        <x:v>—/—/—</x:v>
      </x:c>
      <x:c r="P136" s="48" t="str">
        <x:v>—/—/—</x:v>
      </x:c>
      <x:c r="Q136" s="48" t="str">
        <x:v>Binv/Binv/Binv</x:v>
      </x:c>
      <x:c r="R136" s="48" t="str">
        <x:v>—/—/—</x:v>
      </x:c>
      <x:c r="S136" s="48" t="str">
        <x:v>1 / 3 / 2 / 2.25 / 1.5</x:v>
      </x:c>
      <x:c r="T136" s="48" t="str">
        <x:v>“—”表示 6.48b 对象表该级字段为空；脚本型技能需结合证据说明与来源冲突表。</x:v>
      </x:c>
    </x:row>
    <x:row r="137" ht="34" customHeight="1">
      <x:c r="A137" s="18" t="str">
        <x:v>HC92-4</x:v>
      </x:c>
      <x:c r="B137" s="18" t="str">
        <x:v>隐形刺客</x:v>
      </x:c>
      <x:c r="C137" s="18" t="str">
        <x:v>Stealth Assassin</x:v>
      </x:c>
      <x:c r="D137" s="18" t="str">
        <x:v>Smoke Screen</x:v>
      </x:c>
      <x:c r="E137" s="18" t="str">
        <x:v>A0RG</x:v>
      </x:c>
      <x:c r="F137" s="18" t="str">
        <x:v>AHbz</x:v>
      </x:c>
      <x:c r="G137" s="48" t="str">
        <x:v>10/10/10/—</x:v>
      </x:c>
      <x:c r="H137" s="48" t="str">
        <x:v>—/—/—/—</x:v>
      </x:c>
      <x:c r="I137" s="48" t="str">
        <x:v>1/—/—/—</x:v>
      </x:c>
      <x:c r="J137" s="48" t="str">
        <x:v>—/—/—/—</x:v>
      </x:c>
      <x:c r="K137" s="48" t="str">
        <x:v>—/—/—/—</x:v>
      </x:c>
      <x:c r="L137" s="48" t="str">
        <x:v>—/—/—/—</x:v>
      </x:c>
      <x:c r="M137" s="48" t="str">
        <x:v>—/—/—/—</x:v>
      </x:c>
      <x:c r="N137" s="48" t="str">
        <x:v>—/—/—/—</x:v>
      </x:c>
      <x:c r="O137" s="48" t="str">
        <x:v>—/—/—/—</x:v>
      </x:c>
      <x:c r="P137" s="48" t="str">
        <x:v>—/—/—/—</x:v>
      </x:c>
      <x:c r="Q137" s="48" t="str">
        <x:v>—/—/—/—</x:v>
      </x:c>
      <x:c r="R137" s="48" t="str">
        <x:v>—/—/—/—</x:v>
      </x:c>
      <x:c r="S137" s="48" t="str">
        <x:v>25% / 6 / 1 / 250 / 40% / 2 / 275 / 50% / 3 / 300 / 60% / 4 / 325 / 70% / 15</x:v>
      </x:c>
      <x:c r="T137" s="48" t="str">
        <x:v>“—”表示 6.48b 对象表该级字段为空；脚本型技能需结合证据说明与来源冲突表。</x:v>
      </x:c>
    </x:row>
    <x:row r="138" ht="34" customHeight="1">
      <x:c r="A138" s="18" t="str">
        <x:v>H004-1</x:v>
      </x:c>
      <x:c r="B138" s="18" t="str">
        <x:v>秀逗魔导士</x:v>
      </x:c>
      <x:c r="C138" s="18" t="str">
        <x:v>Slayer</x:v>
      </x:c>
      <x:c r="D138" s="18" t="str">
        <x:v>Dragon Slave</x:v>
      </x:c>
      <x:c r="E138" s="18" t="str">
        <x:v>A01F</x:v>
      </x:c>
      <x:c r="F138" s="18" t="str">
        <x:v>AOsh</x:v>
      </x:c>
      <x:c r="G138" s="48" t="str">
        <x:v>100/170/230/280</x:v>
      </x:c>
      <x:c r="H138" s="48" t="str">
        <x:v>900/1560/2400/2400</x:v>
      </x:c>
      <x:c r="I138" s="48" t="str">
        <x:v>700/700/700/700</x:v>
      </x:c>
      <x:c r="J138" s="48" t="str">
        <x:v>125/125/125/125</x:v>
      </x:c>
      <x:c r="K138" s="48" t="str">
        <x:v>—/—/—/—</x:v>
      </x:c>
      <x:c r="L138" s="48" t="str">
        <x:v>—/—/—/—</x:v>
      </x:c>
      <x:c r="M138" s="48" t="str">
        <x:v>—/—/—/—</x:v>
      </x:c>
      <x:c r="N138" s="48" t="str">
        <x:v>—/—/—/—</x:v>
      </x:c>
      <x:c r="O138" s="48" t="str">
        <x:v>—/—/—/—</x:v>
      </x:c>
      <x:c r="P138" s="48" t="str">
        <x:v>—/—/—/—</x:v>
      </x:c>
      <x:c r="Q138" s="48" t="str">
        <x:v>BOsh/BOsh/BOsh/BOsh</x:v>
      </x:c>
      <x:c r="R138" s="48" t="str">
        <x:v>—/—/—/—</x:v>
      </x:c>
      <x:c r="S138" s="48" t="str">
        <x:v>1 / 100 / 2 / 170 / 3 / 230 / 4 / 280 / 8.5</x:v>
      </x:c>
      <x:c r="T138" s="48" t="str">
        <x:v>“—”表示 6.48b 对象表该级字段为空；脚本型技能需结合证据说明与来源冲突表。</x:v>
      </x:c>
    </x:row>
    <x:row r="139" ht="34" customHeight="1">
      <x:c r="A139" s="18" t="str">
        <x:v>H004-2</x:v>
      </x:c>
      <x:c r="B139" s="18" t="str">
        <x:v>秀逗魔导士</x:v>
      </x:c>
      <x:c r="C139" s="18" t="str">
        <x:v>Slayer</x:v>
      </x:c>
      <x:c r="D139" s="18" t="str">
        <x:v>Light Strike Array</x:v>
      </x:c>
      <x:c r="E139" s="18" t="str">
        <x:v>A027</x:v>
      </x:c>
      <x:c r="F139" s="18" t="str">
        <x:v>ANin</x:v>
      </x:c>
      <x:c r="G139" s="48" t="str">
        <x:v>90/150/210/50</x:v>
      </x:c>
      <x:c r="H139" s="48" t="str">
        <x:v>2/2/2/360</x:v>
      </x:c>
      <x:c r="I139" s="48" t="str">
        <x:v>0.5/0.5/0.5/1</x:v>
      </x:c>
      <x:c r="J139" s="48" t="str">
        <x:v>—/—/—/—</x:v>
      </x:c>
      <x:c r="K139" s="48" t="str">
        <x:v>—/—/—/—</x:v>
      </x:c>
      <x:c r="L139" s="48" t="str">
        <x:v>—/—/—/—</x:v>
      </x:c>
      <x:c r="M139" s="48" t="str">
        <x:v>—/—/—/—</x:v>
      </x:c>
      <x:c r="N139" s="48" t="str">
        <x:v>—/—/—/—</x:v>
      </x:c>
      <x:c r="O139" s="48" t="str">
        <x:v>—/—/—/—</x:v>
      </x:c>
      <x:c r="P139" s="48" t="str">
        <x:v>e00T/e00T/e00T/ninf</x:v>
      </x:c>
      <x:c r="Q139" s="48" t="str">
        <x:v>BPSE/BPSE/BPSE/BNin</x:v>
      </x:c>
      <x:c r="R139" s="48" t="str">
        <x:v>—/—/—/—</x:v>
      </x:c>
      <x:c r="S139" s="48" t="str">
        <x:v>1.6 / 1 / 90 / 2 / 150 / 3 / 210 / 4 / 280 / 10</x:v>
      </x:c>
      <x:c r="T139" s="48" t="str">
        <x:v>“—”表示 6.48b 对象表该级字段为空；脚本型技能需结合证据说明与来源冲突表。</x:v>
      </x:c>
    </x:row>
    <x:row r="140" ht="34" customHeight="1">
      <x:c r="A140" s="18" t="str">
        <x:v>H004-3</x:v>
      </x:c>
      <x:c r="B140" s="18" t="str">
        <x:v>秀逗魔导士</x:v>
      </x:c>
      <x:c r="C140" s="18" t="str">
        <x:v>Slayer</x:v>
      </x:c>
      <x:c r="D140" s="18" t="str">
        <x:v>Ultimate</x:v>
      </x:c>
      <x:c r="E140" s="18" t="str">
        <x:v>A001</x:v>
      </x:c>
      <x:c r="F140" s="18" t="str">
        <x:v>Absk</x:v>
      </x:c>
      <x:c r="G140" s="48" t="str">
        <x:v>—/—/—/—</x:v>
      </x:c>
      <x:c r="H140" s="48" t="str">
        <x:v>0.1/0.2/0.3/—</x:v>
      </x:c>
      <x:c r="I140" s="48" t="str">
        <x:v>—/—/—/—</x:v>
      </x:c>
      <x:c r="J140" s="48" t="str">
        <x:v>—/—/—/—</x:v>
      </x:c>
      <x:c r="K140" s="48" t="str">
        <x:v>—/—/—/—</x:v>
      </x:c>
      <x:c r="L140" s="48" t="str">
        <x:v>—/—/—/—</x:v>
      </x:c>
      <x:c r="M140" s="48" t="str">
        <x:v>—/—/—/—</x:v>
      </x:c>
      <x:c r="N140" s="48" t="str">
        <x:v>—/—/—/—</x:v>
      </x:c>
      <x:c r="O140" s="48" t="str">
        <x:v>—/—/—/—</x:v>
      </x:c>
      <x:c r="P140" s="48" t="str">
        <x:v>—/—/—/—</x:v>
      </x:c>
      <x:c r="Q140" s="48" t="str">
        <x:v>B004/B004/B004/—</x:v>
      </x:c>
      <x:c r="R140" s="48" t="str">
        <x:v>—/—/—/—</x:v>
      </x:c>
      <x:c r="S140" s="48" t="str">
        <x:v>1 / 10% / 20 / 2 / 20% / 25 / 3 / 30% / 30 / 4 / 50%</x:v>
      </x:c>
      <x:c r="T140" s="48" t="str">
        <x:v>“—”表示 6.48b 对象表该级字段为空；脚本型技能需结合证据说明与来源冲突表。</x:v>
      </x:c>
    </x:row>
    <x:row r="141" ht="34" customHeight="1">
      <x:c r="A141" s="18" t="str">
        <x:v>H004-4</x:v>
      </x:c>
      <x:c r="B141" s="18" t="str">
        <x:v>秀逗魔导士</x:v>
      </x:c>
      <x:c r="C141" s="18" t="str">
        <x:v>Slayer</x:v>
      </x:c>
      <x:c r="D141" s="18" t="str">
        <x:v>Laguna Blade</x:v>
      </x:c>
      <x:c r="E141" s="18" t="str">
        <x:v>A01P</x:v>
      </x:c>
      <x:c r="F141" s="18" t="str">
        <x:v>AOcl</x:v>
      </x:c>
      <x:c r="G141" s="48" t="str">
        <x:v>450/675/950</x:v>
      </x:c>
      <x:c r="H141" s="48" t="str">
        <x:v>1/1/1</x:v>
      </x:c>
      <x:c r="I141" s="48" t="str">
        <x:v>—/—/—</x:v>
      </x:c>
      <x:c r="J141" s="48" t="str">
        <x:v>—/—/—</x:v>
      </x:c>
      <x:c r="K141" s="48" t="str">
        <x:v>—/—/—</x:v>
      </x:c>
      <x:c r="L141" s="48" t="str">
        <x:v>—/—/—</x:v>
      </x:c>
      <x:c r="M141" s="48" t="str">
        <x:v>—/—/—</x:v>
      </x:c>
      <x:c r="N141" s="48" t="str">
        <x:v>—/—/—</x:v>
      </x:c>
      <x:c r="O141" s="48" t="str">
        <x:v>—/—/—</x:v>
      </x:c>
      <x:c r="P141" s="48" t="str">
        <x:v>—/—/—</x:v>
      </x:c>
      <x:c r="Q141" s="48" t="str">
        <x:v>—/—/—</x:v>
      </x:c>
      <x:c r="R141" s="48" t="str">
        <x:v>—/—/—</x:v>
      </x:c>
      <x:c r="S141" s="48" t="str">
        <x:v>1 / 450 / 2 / 675 / 3 / 950 / 150 / 90 / 55</x:v>
      </x:c>
      <x:c r="T141" s="48" t="str">
        <x:v>“—”表示 6.48b 对象表该级字段为空；脚本型技能需结合证据说明与来源冲突表。</x:v>
      </x:c>
    </x:row>
    <x:row r="142" ht="34" customHeight="1">
      <x:c r="A142" s="18" t="str">
        <x:v>Nbbc-1</x:v>
      </x:c>
      <x:c r="B142" s="18" t="str">
        <x:v>剑圣</x:v>
      </x:c>
      <x:c r="C142" s="18" t="str">
        <x:v>Juggernaut</x:v>
      </x:c>
      <x:c r="D142" s="18" t="str">
        <x:v>Blade Fury</x:v>
      </x:c>
      <x:c r="E142" s="18" t="str">
        <x:v>A05G</x:v>
      </x:c>
      <x:c r="F142" s="18" t="str">
        <x:v>AOww</x:v>
      </x:c>
      <x:c r="G142" s="48" t="str">
        <x:v>80/100/120/150</x:v>
      </x:c>
      <x:c r="H142" s="48" t="str">
        <x:v>—/—/—/—</x:v>
      </x:c>
      <x:c r="I142" s="48" t="str">
        <x:v>—/—/—/—</x:v>
      </x:c>
      <x:c r="J142" s="48" t="str">
        <x:v>—/—/—/—</x:v>
      </x:c>
      <x:c r="K142" s="48" t="str">
        <x:v>—/—/—/—</x:v>
      </x:c>
      <x:c r="L142" s="48" t="str">
        <x:v>—/—/—/—</x:v>
      </x:c>
      <x:c r="M142" s="48" t="str">
        <x:v>—/—/—/—</x:v>
      </x:c>
      <x:c r="N142" s="48" t="str">
        <x:v>—/—/—/—</x:v>
      </x:c>
      <x:c r="O142" s="48" t="str">
        <x:v>—/—/—/—</x:v>
      </x:c>
      <x:c r="P142" s="48" t="str">
        <x:v>—/—/—/—</x:v>
      </x:c>
      <x:c r="Q142" s="48" t="str">
        <x:v>BOww/BOww/BOww/BOww</x:v>
      </x:c>
      <x:c r="R142" s="48" t="str">
        <x:v>—/—/—/—</x:v>
      </x:c>
      <x:c r="S142" s="48" t="str">
        <x:v>5 / 1 / 80 / 2 / 100 / 3 / 120 / 4 / 140 / 30</x:v>
      </x:c>
      <x:c r="T142" s="48" t="str">
        <x:v>“—”表示 6.48b 对象表该级字段为空；脚本型技能需结合证据说明与来源冲突表。</x:v>
      </x:c>
    </x:row>
    <x:row r="143" ht="34" customHeight="1">
      <x:c r="A143" s="18" t="str">
        <x:v>Nbbc-2</x:v>
      </x:c>
      <x:c r="B143" s="18" t="str">
        <x:v>剑圣</x:v>
      </x:c>
      <x:c r="C143" s="18" t="str">
        <x:v>Juggernaut</x:v>
      </x:c>
      <x:c r="D143" s="18" t="str">
        <x:v>Healing Ward</x:v>
      </x:c>
      <x:c r="E143" s="18" t="str">
        <x:v>A047</x:v>
      </x:c>
      <x:c r="F143" s="18" t="str">
        <x:v>Ahwd</x:v>
      </x:c>
      <x:c r="G143" s="48" t="str">
        <x:v>—/—/—/—</x:v>
      </x:c>
      <x:c r="H143" s="48" t="str">
        <x:v>—/—/—/—</x:v>
      </x:c>
      <x:c r="I143" s="48" t="str">
        <x:v>—/—/—/—</x:v>
      </x:c>
      <x:c r="J143" s="48" t="str">
        <x:v>—/—/—/—</x:v>
      </x:c>
      <x:c r="K143" s="48" t="str">
        <x:v>—/—/—/—</x:v>
      </x:c>
      <x:c r="L143" s="48" t="str">
        <x:v>—/—/—/—</x:v>
      </x:c>
      <x:c r="M143" s="48" t="str">
        <x:v>—/—/—/—</x:v>
      </x:c>
      <x:c r="N143" s="48" t="str">
        <x:v>—/—/—/—</x:v>
      </x:c>
      <x:c r="O143" s="48" t="str">
        <x:v>—/—/—/—</x:v>
      </x:c>
      <x:c r="P143" s="48" t="str">
        <x:v>o00C/o00C/o00C/—</x:v>
      </x:c>
      <x:c r="Q143" s="48" t="str">
        <x:v>Bhwd/Bhwd/Bhwd/—</x:v>
      </x:c>
      <x:c r="R143" s="48" t="str">
        <x:v>—/—/—/—</x:v>
      </x:c>
      <x:c r="S143" s="48" t="str">
        <x:v>25 / 1 / 1% / 2 / 2% / 3 / 3% / 4 / 4% / 75</x:v>
      </x:c>
      <x:c r="T143" s="48" t="str">
        <x:v>“—”表示 6.48b 对象表该级字段为空；脚本型技能需结合证据说明与来源冲突表。</x:v>
      </x:c>
    </x:row>
    <x:row r="144" ht="34" customHeight="1">
      <x:c r="A144" s="18" t="str">
        <x:v>Nbbc-3</x:v>
      </x:c>
      <x:c r="B144" s="18" t="str">
        <x:v>剑圣</x:v>
      </x:c>
      <x:c r="C144" s="18" t="str">
        <x:v>Juggernaut</x:v>
      </x:c>
      <x:c r="D144" s="18" t="str">
        <x:v>Blade Dance</x:v>
      </x:c>
      <x:c r="E144" s="18" t="str">
        <x:v>A00K</x:v>
      </x:c>
      <x:c r="F144" s="18" t="str">
        <x:v>AOcr</x:v>
      </x:c>
      <x:c r="G144" s="48" t="str">
        <x:v>10/18/26/36</x:v>
      </x:c>
      <x:c r="H144" s="48" t="str">
        <x:v>2/2/2/2</x:v>
      </x:c>
      <x:c r="I144" s="48" t="str">
        <x:v>—/—/—/—</x:v>
      </x:c>
      <x:c r="J144" s="48" t="str">
        <x:v>—/—/—/—</x:v>
      </x:c>
      <x:c r="K144" s="48" t="str">
        <x:v>—/—/—/—</x:v>
      </x:c>
      <x:c r="L144" s="48" t="str">
        <x:v>—/—/—/—</x:v>
      </x:c>
      <x:c r="M144" s="48" t="str">
        <x:v>—/—/—/—</x:v>
      </x:c>
      <x:c r="N144" s="48" t="str">
        <x:v>—/—/—/—</x:v>
      </x:c>
      <x:c r="O144" s="48" t="str">
        <x:v>—/—/—/—</x:v>
      </x:c>
      <x:c r="P144" s="48" t="str">
        <x:v>—/—/—/—</x:v>
      </x:c>
      <x:c r="Q144" s="48" t="str">
        <x:v>—/—/—/—</x:v>
      </x:c>
      <x:c r="R144" s="48" t="str">
        <x:v>—/—/—/—</x:v>
      </x:c>
      <x:c r="S144" s="48" t="str">
        <x:v>1 / 10% / 2 / 18% / 3 / 26% / 4 / 36%</x:v>
      </x:c>
      <x:c r="T144" s="48" t="str">
        <x:v>“—”表示 6.48b 对象表该级字段为空；脚本型技能需结合证据说明与来源冲突表。</x:v>
      </x:c>
    </x:row>
    <x:row r="145" ht="34" customHeight="1">
      <x:c r="A145" s="18" t="str">
        <x:v>Nbbc-4</x:v>
      </x:c>
      <x:c r="B145" s="18" t="str">
        <x:v>剑圣</x:v>
      </x:c>
      <x:c r="C145" s="18" t="str">
        <x:v>Juggernaut</x:v>
      </x:c>
      <x:c r="D145" s="18" t="str">
        <x:v>Omnislash</x:v>
      </x:c>
      <x:c r="E145" s="18" t="str">
        <x:v>A0M1</x:v>
      </x:c>
      <x:c r="F145" s="18" t="str">
        <x:v>AHtb</x:v>
      </x:c>
      <x:c r="G145" s="48" t="str">
        <x:v>—/—/—</x:v>
      </x:c>
      <x:c r="H145" s="48" t="str">
        <x:v>—/—/—</x:v>
      </x:c>
      <x:c r="I145" s="48" t="str">
        <x:v>—/—/—</x:v>
      </x:c>
      <x:c r="J145" s="48" t="str">
        <x:v>—/—/—</x:v>
      </x:c>
      <x:c r="K145" s="48" t="str">
        <x:v>—/—/—</x:v>
      </x:c>
      <x:c r="L145" s="48" t="str">
        <x:v>—/—/—</x:v>
      </x:c>
      <x:c r="M145" s="48" t="str">
        <x:v>—/—/—</x:v>
      </x:c>
      <x:c r="N145" s="48" t="str">
        <x:v>—/—/—</x:v>
      </x:c>
      <x:c r="O145" s="48" t="str">
        <x:v>—/—/—</x:v>
      </x:c>
      <x:c r="P145" s="48" t="str">
        <x:v>—/—/—</x:v>
      </x:c>
      <x:c r="Q145" s="48" t="str">
        <x:v>BPSE/BPSE/BPSE</x:v>
      </x:c>
      <x:c r="R145" s="48" t="str">
        <x:v>—/—/—</x:v>
      </x:c>
      <x:c r="S145" s="48" t="str">
        <x:v>1 / 3 / 2 / 5 / 8 / 130 / 120 / 110</x:v>
      </x:c>
      <x:c r="T145" s="48" t="str">
        <x:v>“—”表示 6.48b 对象表该级字段为空；脚本型技能需结合证据说明与来源冲突表。</x:v>
      </x:c>
    </x:row>
    <x:row r="146" ht="34" customHeight="1">
      <x:c r="A146" s="18" t="str">
        <x:v>Udea-1</x:v>
      </x:c>
      <x:c r="B146" s="18" t="str">
        <x:v>地狱领主</x:v>
      </x:c>
      <x:c r="C146" s="18" t="str">
        <x:v>Lord of Avernus</x:v>
      </x:c>
      <x:c r="D146" s="18" t="str">
        <x:v>Aphotic Shield</x:v>
      </x:c>
      <x:c r="E146" s="18" t="str">
        <x:v>A0MF</x:v>
      </x:c>
      <x:c r="F146" s="18" t="str">
        <x:v>AOcl</x:v>
      </x:c>
      <x:c r="G146" s="48" t="str">
        <x:v>—/—/—/—</x:v>
      </x:c>
      <x:c r="H146" s="48" t="str">
        <x:v>1/1/1/1</x:v>
      </x:c>
      <x:c r="I146" s="48" t="str">
        <x:v>—/—/—/—</x:v>
      </x:c>
      <x:c r="J146" s="48" t="str">
        <x:v>—/—/—/—</x:v>
      </x:c>
      <x:c r="K146" s="48" t="str">
        <x:v>—/—/—/—</x:v>
      </x:c>
      <x:c r="L146" s="48" t="str">
        <x:v>—/—/—/—</x:v>
      </x:c>
      <x:c r="M146" s="48" t="str">
        <x:v>—/—/—/—</x:v>
      </x:c>
      <x:c r="N146" s="48" t="str">
        <x:v>—/—/—/—</x:v>
      </x:c>
      <x:c r="O146" s="48" t="str">
        <x:v>—/—/—/—</x:v>
      </x:c>
      <x:c r="P146" s="48" t="str">
        <x:v>—/—/—/—</x:v>
      </x:c>
      <x:c r="Q146" s="48" t="str">
        <x:v>—/—/—/—</x:v>
      </x:c>
      <x:c r="R146" s="48" t="str">
        <x:v>—/—/—/—</x:v>
      </x:c>
      <x:c r="S146" s="48" t="str">
        <x:v>20 / 1 / 125 / 2 / 175 / 3 / 225 / 4 / 275 / 23</x:v>
      </x:c>
      <x:c r="T146" s="48" t="str">
        <x:v>“—”表示 6.48b 对象表该级字段为空；脚本型技能需结合证据说明与来源冲突表。</x:v>
      </x:c>
    </x:row>
    <x:row r="147" ht="34" customHeight="1">
      <x:c r="A147" s="18" t="str">
        <x:v>Udea-2</x:v>
      </x:c>
      <x:c r="B147" s="18" t="str">
        <x:v>地狱领主</x:v>
      </x:c>
      <x:c r="C147" s="18" t="str">
        <x:v>Lord of Avernus</x:v>
      </x:c>
      <x:c r="D147" s="18" t="str">
        <x:v>Frostmourne</x:v>
      </x:c>
      <x:c r="E147" s="18" t="str">
        <x:v>A0MG</x:v>
      </x:c>
      <x:c r="F147" s="18" t="str">
        <x:v>Apoi</x:v>
      </x:c>
      <x:c r="G147" s="48" t="str">
        <x:v>0.01/0.01/0.01/—</x:v>
      </x:c>
      <x:c r="H147" s="48" t="str">
        <x:v>0.05/0.1/0.15/—</x:v>
      </x:c>
      <x:c r="I147" s="48" t="str">
        <x:v>0.05/0.1/0.15/—</x:v>
      </x:c>
      <x:c r="J147" s="48" t="str">
        <x:v>—/—/—/—</x:v>
      </x:c>
      <x:c r="K147" s="48" t="str">
        <x:v>—/—/—/—</x:v>
      </x:c>
      <x:c r="L147" s="48" t="str">
        <x:v>—/—/—/—</x:v>
      </x:c>
      <x:c r="M147" s="48" t="str">
        <x:v>—/—/—/—</x:v>
      </x:c>
      <x:c r="N147" s="48" t="str">
        <x:v>—/—/—/—</x:v>
      </x:c>
      <x:c r="O147" s="48" t="str">
        <x:v>—/—/—/—</x:v>
      </x:c>
      <x:c r="P147" s="48" t="str">
        <x:v>—/—/—/—</x:v>
      </x:c>
      <x:c r="Q147" s="48" t="str">
        <x:v>B066/B066/B066/—</x:v>
      </x:c>
      <x:c r="R147" s="48" t="str">
        <x:v>—/—/—/—</x:v>
      </x:c>
      <x:c r="S147" s="48" t="str">
        <x:v>10% / 1 / 5% / 2 / 20% / 3 / 30% / 15% / 4 / 40%</x:v>
      </x:c>
      <x:c r="T147" s="48" t="str">
        <x:v>“—”表示 6.48b 对象表该级字段为空；脚本型技能需结合证据说明与来源冲突表。</x:v>
      </x:c>
    </x:row>
    <x:row r="148" ht="34" customHeight="1">
      <x:c r="A148" s="18" t="str">
        <x:v>Udea-3</x:v>
      </x:c>
      <x:c r="B148" s="18" t="str">
        <x:v>地狱领主</x:v>
      </x:c>
      <x:c r="C148" s="18" t="str">
        <x:v>Lord of Avernus</x:v>
      </x:c>
      <x:c r="D148" s="18" t="str">
        <x:v>Borrowed Time</x:v>
      </x:c>
      <x:c r="E148" s="18" t="str">
        <x:v>A0NS</x:v>
      </x:c>
      <x:c r="F148" s="18" t="str">
        <x:v>AOwk</x:v>
      </x:c>
      <x:c r="G148" s="48" t="str">
        <x:v>0.001/0.001/0.001</x:v>
      </x:c>
      <x:c r="H148" s="48" t="str">
        <x:v>—/—/—</x:v>
      </x:c>
      <x:c r="I148" s="48" t="str">
        <x:v>—/—/—</x:v>
      </x:c>
      <x:c r="J148" s="48" t="str">
        <x:v>—/—/—</x:v>
      </x:c>
      <x:c r="K148" s="48" t="str">
        <x:v>—/—/—</x:v>
      </x:c>
      <x:c r="L148" s="48" t="str">
        <x:v>—/—/—</x:v>
      </x:c>
      <x:c r="M148" s="48" t="str">
        <x:v>—/—/—</x:v>
      </x:c>
      <x:c r="N148" s="48" t="str">
        <x:v>—/—/—</x:v>
      </x:c>
      <x:c r="O148" s="48" t="str">
        <x:v>—/—/—</x:v>
      </x:c>
      <x:c r="P148" s="48" t="str">
        <x:v>—/—/—</x:v>
      </x:c>
      <x:c r="Q148" s="48" t="str">
        <x:v>BOwk/BOwk/BOwk</x:v>
      </x:c>
      <x:c r="R148" s="48" t="str">
        <x:v>—/—/—</x:v>
      </x:c>
      <x:c r="S148" s="48" t="str">
        <x:v>400 / 1 / 3 / 2 / 4 / 5 / 45</x:v>
      </x:c>
      <x:c r="T148" s="48" t="str">
        <x:v>“—”表示 6.48b 对象表该级字段为空；脚本型技能需结合证据说明与来源冲突表。</x:v>
      </x:c>
    </x:row>
    <x:row r="149" ht="34" customHeight="1">
      <x:c r="A149" s="18" t="str">
        <x:v>Udea-4</x:v>
      </x:c>
      <x:c r="B149" s="18" t="str">
        <x:v>地狱领主</x:v>
      </x:c>
      <x:c r="C149" s="18" t="str">
        <x:v>Lord of Avernus</x:v>
      </x:c>
      <x:c r="D149" s="18" t="str">
        <x:v>Death Coil</x:v>
      </x:c>
      <x:c r="E149" s="18" t="str">
        <x:v>A0I3</x:v>
      </x:c>
      <x:c r="F149" s="18" t="str">
        <x:v>ANcl</x:v>
      </x:c>
      <x:c r="G149" s="48" t="str">
        <x:v>—/—/—/—</x:v>
      </x:c>
      <x:c r="H149" s="48" t="str">
        <x:v>1/1/1/1</x:v>
      </x:c>
      <x:c r="I149" s="48" t="str">
        <x:v>1/1/1/1</x:v>
      </x:c>
      <x:c r="J149" s="48" t="str">
        <x:v>—/—/—/—</x:v>
      </x:c>
      <x:c r="K149" s="48" t="str">
        <x:v>—/—/—/—</x:v>
      </x:c>
      <x:c r="L149" s="48" t="str">
        <x:v>acidbomb/acidbomb/acidbomb/acidbomb</x:v>
      </x:c>
      <x:c r="M149" s="48" t="str">
        <x:v>—/—/—/—</x:v>
      </x:c>
      <x:c r="N149" s="48" t="str">
        <x:v>—/—/—/—</x:v>
      </x:c>
      <x:c r="O149" s="48" t="str">
        <x:v>—/—/—/—</x:v>
      </x:c>
      <x:c r="P149" s="48" t="str">
        <x:v>—/—/—/—</x:v>
      </x:c>
      <x:c r="Q149" s="48" t="str">
        <x:v>—/—/—/—</x:v>
      </x:c>
      <x:c r="R149" s="48" t="str">
        <x:v>—/—/—/—</x:v>
      </x:c>
      <x:c r="S149" s="48" t="str">
        <x:v>1 / 100 / 50 / 2 / 150 / 75 / 3 / 200 / 4 / 250 / 125 / 15</x:v>
      </x:c>
      <x:c r="T149" s="48" t="str">
        <x:v>“—”表示 6.48b 对象表该级字段为空；脚本型技能需结合证据说明与来源冲突表。</x:v>
      </x:c>
    </x:row>
    <x:row r="150" ht="34" customHeight="1">
      <x:c r="A150" s="18" t="str">
        <x:v>Hvsh-1</x:v>
      </x:c>
      <x:c r="B150" s="18" t="str">
        <x:v>血魔</x:v>
      </x:c>
      <x:c r="C150" s="18" t="str">
        <x:v>Bloodseeker</x:v>
      </x:c>
      <x:c r="D150" s="18" t="str">
        <x:v>Bloodrage</x:v>
      </x:c>
      <x:c r="E150" s="18" t="str">
        <x:v>A0EC</x:v>
      </x:c>
      <x:c r="F150" s="18" t="str">
        <x:v>ANso</x:v>
      </x:c>
      <x:c r="G150" s="48" t="str">
        <x:v>2/4/6/8</x:v>
      </x:c>
      <x:c r="H150" s="48" t="str">
        <x:v>1/1/1/1</x:v>
      </x:c>
      <x:c r="I150" s="48" t="str">
        <x:v>-0.2/-0.4/-0.6/-0.8</x:v>
      </x:c>
      <x:c r="J150" s="48" t="str">
        <x:v>—/—/—/—</x:v>
      </x:c>
      <x:c r="K150" s="48" t="str">
        <x:v>—/—/—/—</x:v>
      </x:c>
      <x:c r="L150" s="48" t="str">
        <x:v>—/—/—/—</x:v>
      </x:c>
      <x:c r="M150" s="48" t="str">
        <x:v>—/—/—/—</x:v>
      </x:c>
      <x:c r="N150" s="48" t="str">
        <x:v>—/—/—/—</x:v>
      </x:c>
      <x:c r="O150" s="48" t="str">
        <x:v>—/—/—/—</x:v>
      </x:c>
      <x:c r="P150" s="48" t="str">
        <x:v>—/—/—/—</x:v>
      </x:c>
      <x:c r="Q150" s="48" t="str">
        <x:v>B01X/B01X/B01X/B01X</x:v>
      </x:c>
      <x:c r="R150" s="48" t="str">
        <x:v>—/—/—/—</x:v>
      </x:c>
      <x:c r="S150" s="48" t="str">
        <x:v>1 / 20% / 2 / 6 / 40% / 4 / 9 / 3 / 60% / 12 / 80% / 8 / 15 / 20</x:v>
      </x:c>
      <x:c r="T150" s="48" t="str">
        <x:v>“—”表示 6.48b 对象表该级字段为空；脚本型技能需结合证据说明与来源冲突表。</x:v>
      </x:c>
    </x:row>
    <x:row r="151" ht="34" customHeight="1">
      <x:c r="A151" s="18" t="str">
        <x:v>Hvsh-2</x:v>
      </x:c>
      <x:c r="B151" s="18" t="str">
        <x:v>血魔</x:v>
      </x:c>
      <x:c r="C151" s="18" t="str">
        <x:v>Bloodseeker</x:v>
      </x:c>
      <x:c r="D151" s="18" t="str">
        <x:v>Blood Bath</x:v>
      </x:c>
      <x:c r="E151" s="18" t="str">
        <x:v>A0LE</x:v>
      </x:c>
      <x:c r="F151" s="18" t="str">
        <x:v>AEev</x:v>
      </x:c>
      <x:c r="G151" s="48" t="str">
        <x:v>—/—/—/—</x:v>
      </x:c>
      <x:c r="H151" s="48" t="str">
        <x:v>—/—/—/—</x:v>
      </x:c>
      <x:c r="I151" s="48" t="str">
        <x:v>—/—/—/—</x:v>
      </x:c>
      <x:c r="J151" s="48" t="str">
        <x:v>—/—/—/—</x:v>
      </x:c>
      <x:c r="K151" s="48" t="str">
        <x:v>—/—/—/—</x:v>
      </x:c>
      <x:c r="L151" s="48" t="str">
        <x:v>—/—/—/—</x:v>
      </x:c>
      <x:c r="M151" s="48" t="str">
        <x:v>—/—/—/—</x:v>
      </x:c>
      <x:c r="N151" s="48" t="str">
        <x:v>—/—/—/—</x:v>
      </x:c>
      <x:c r="O151" s="48" t="str">
        <x:v>—/—/—/—</x:v>
      </x:c>
      <x:c r="P151" s="48" t="str">
        <x:v>—/—/—/—</x:v>
      </x:c>
      <x:c r="Q151" s="48" t="str">
        <x:v>—/—/—/—</x:v>
      </x:c>
      <x:c r="R151" s="48" t="str">
        <x:v>—/—/—/—</x:v>
      </x:c>
      <x:c r="S151" s="48" t="str">
        <x:v>1 / 10% / 5% / 2 / 20% / 3 / 30% / 15% / 4 / 40%</x:v>
      </x:c>
      <x:c r="T151" s="48" t="str">
        <x:v>“—”表示 6.48b 对象表该级字段为空；脚本型技能需结合证据说明与来源冲突表。</x:v>
      </x:c>
    </x:row>
    <x:row r="152" ht="34" customHeight="1">
      <x:c r="A152" s="18" t="str">
        <x:v>Hvsh-3</x:v>
      </x:c>
      <x:c r="B152" s="18" t="str">
        <x:v>血魔</x:v>
      </x:c>
      <x:c r="C152" s="18" t="str">
        <x:v>Bloodseeker</x:v>
      </x:c>
      <x:c r="D152" s="18" t="str">
        <x:v>Rupture</x:v>
      </x:c>
      <x:c r="E152" s="18" t="str">
        <x:v>A0LH</x:v>
      </x:c>
      <x:c r="F152" s="18" t="str">
        <x:v>ANcl</x:v>
      </x:c>
      <x:c r="G152" s="48" t="str">
        <x:v>—/—/—</x:v>
      </x:c>
      <x:c r="H152" s="48" t="str">
        <x:v>1/1/1</x:v>
      </x:c>
      <x:c r="I152" s="48" t="str">
        <x:v>1/1/1</x:v>
      </x:c>
      <x:c r="J152" s="48" t="str">
        <x:v>0.98/0.98/0.98</x:v>
      </x:c>
      <x:c r="K152" s="48" t="str">
        <x:v>—/—/—</x:v>
      </x:c>
      <x:c r="L152" s="48" t="str">
        <x:v>firebolt/firebolt/firebolt</x:v>
      </x:c>
      <x:c r="M152" s="48" t="str">
        <x:v>—/—/—</x:v>
      </x:c>
      <x:c r="N152" s="48" t="str">
        <x:v>—/—/—</x:v>
      </x:c>
      <x:c r="O152" s="48" t="str">
        <x:v>—/—/—</x:v>
      </x:c>
      <x:c r="P152" s="48" t="str">
        <x:v>—/—/—</x:v>
      </x:c>
      <x:c r="Q152" s="48" t="str">
        <x:v>—/—/—</x:v>
      </x:c>
      <x:c r="R152" s="48" t="str">
        <x:v>—/—/—</x:v>
      </x:c>
      <x:c r="S152" s="48" t="str">
        <x:v>1 / 150 / 20% / 5 / 2 / 250 / 40% / 7 / 3 / 350 / 60% / 9 / 100</x:v>
      </x:c>
      <x:c r="T152" s="48" t="str">
        <x:v>“—”表示 6.48b 对象表该级字段为空；脚本型技能需结合证据说明与来源冲突表。</x:v>
      </x:c>
    </x:row>
    <x:row r="153" ht="34" customHeight="1">
      <x:c r="A153" s="18" t="str">
        <x:v>Hvsh-4</x:v>
      </x:c>
      <x:c r="B153" s="18" t="str">
        <x:v>血魔</x:v>
      </x:c>
      <x:c r="C153" s="18" t="str">
        <x:v>Bloodseeker</x:v>
      </x:c>
      <x:c r="D153" s="18" t="str">
        <x:v>Strygwyr's Thirst</x:v>
      </x:c>
      <x:c r="E153" s="18" t="str">
        <x:v>A0I8</x:v>
      </x:c>
      <x:c r="F153" s="18" t="str">
        <x:v>AEev</x:v>
      </x:c>
      <x:c r="G153" s="48" t="str">
        <x:v>—/—/—/—</x:v>
      </x:c>
      <x:c r="H153" s="48" t="str">
        <x:v>—/—/—/—</x:v>
      </x:c>
      <x:c r="I153" s="48" t="str">
        <x:v>—/—/—/—</x:v>
      </x:c>
      <x:c r="J153" s="48" t="str">
        <x:v>—/—/—/—</x:v>
      </x:c>
      <x:c r="K153" s="48" t="str">
        <x:v>—/—/—/—</x:v>
      </x:c>
      <x:c r="L153" s="48" t="str">
        <x:v>—/—/—/—</x:v>
      </x:c>
      <x:c r="M153" s="48" t="str">
        <x:v>—/—/—/—</x:v>
      </x:c>
      <x:c r="N153" s="48" t="str">
        <x:v>—/—/—/—</x:v>
      </x:c>
      <x:c r="O153" s="48" t="str">
        <x:v>—/—/—/—</x:v>
      </x:c>
      <x:c r="P153" s="48" t="str">
        <x:v>—/—/—/—</x:v>
      </x:c>
      <x:c r="Q153" s="48" t="str">
        <x:v>—/—/—/—</x:v>
      </x:c>
      <x:c r="R153" s="48" t="str">
        <x:v>—/—/—/—</x:v>
      </x:c>
      <x:c r="S153" s="48" t="str">
        <x:v>40% / 1500 / 3000 / 4500 / 6000 / 11% / 22% / 33% / 44% / 1 / 2 / 3 / 4</x:v>
      </x:c>
      <x:c r="T153" s="48" t="str">
        <x:v>“—”表示 6.48b 对象表该级字段为空；脚本型技能需结合证据说明与来源冲突表。</x:v>
      </x:c>
    </x:row>
    <x:row r="154" ht="34" customHeight="1">
      <x:c r="A154" s="18" t="str">
        <x:v>Ubal-1</x:v>
      </x:c>
      <x:c r="B154" s="18" t="str">
        <x:v>地穴编织者</x:v>
      </x:c>
      <x:c r="C154" s="18" t="str">
        <x:v>Nerubian Weaver</x:v>
      </x:c>
      <x:c r="D154" s="18" t="str">
        <x:v>Watcher</x:v>
      </x:c>
      <x:c r="E154" s="18" t="str">
        <x:v>A00T</x:v>
      </x:c>
      <x:c r="F154" s="18" t="str">
        <x:v>AUcb</x:v>
      </x:c>
      <x:c r="G154" s="48" t="str">
        <x:v>1/1/1/1</x:v>
      </x:c>
      <x:c r="H154" s="48" t="str">
        <x:v>—/—/—/—</x:v>
      </x:c>
      <x:c r="I154" s="48" t="str">
        <x:v>ushd/ushd/ushd/ushd</x:v>
      </x:c>
      <x:c r="J154" s="48" t="str">
        <x:v>—/—/—/—</x:v>
      </x:c>
      <x:c r="K154" s="48" t="str">
        <x:v>2/4/6/8</x:v>
      </x:c>
      <x:c r="L154" s="48" t="str">
        <x:v>—/—/—/—</x:v>
      </x:c>
      <x:c r="M154" s="48" t="str">
        <x:v>—/—/—/—</x:v>
      </x:c>
      <x:c r="N154" s="48" t="str">
        <x:v>—/—/—/—</x:v>
      </x:c>
      <x:c r="O154" s="48" t="str">
        <x:v>—/—/—/—</x:v>
      </x:c>
      <x:c r="P154" s="48" t="str">
        <x:v>—/—/—/—</x:v>
      </x:c>
      <x:c r="Q154" s="48" t="str">
        <x:v>BFig/BFig/BFig/BFig</x:v>
      </x:c>
      <x:c r="R154" s="48" t="str">
        <x:v>—/—/—/—</x:v>
      </x:c>
      <x:c r="S154" s="48" t="str">
        <x:v>1 / 2 / 4 / 3 / 6 / 8 / 20 / 15 / 10 / 5</x:v>
      </x:c>
      <x:c r="T154" s="48" t="str">
        <x:v>“—”表示 6.48b 对象表该级字段为空；脚本型技能需结合证据说明与来源冲突表。</x:v>
      </x:c>
    </x:row>
    <x:row r="155" ht="34" customHeight="1">
      <x:c r="A155" s="18" t="str">
        <x:v>Ubal-2</x:v>
      </x:c>
      <x:c r="B155" s="18" t="str">
        <x:v>地穴编织者</x:v>
      </x:c>
      <x:c r="C155" s="18" t="str">
        <x:v>Nerubian Weaver</x:v>
      </x:c>
      <x:c r="D155" s="18" t="str">
        <x:v>Shukuchi</x:v>
      </x:c>
      <x:c r="E155" s="18" t="str">
        <x:v>A0CA</x:v>
      </x:c>
      <x:c r="F155" s="18" t="str">
        <x:v>AOwk</x:v>
      </x:c>
      <x:c r="G155" s="48" t="str">
        <x:v>0.001/0.001/0.001/0.001</x:v>
      </x:c>
      <x:c r="H155" s="48" t="str">
        <x:v>10/10/10/10</x:v>
      </x:c>
      <x:c r="I155" s="48" t="str">
        <x:v>—/—/—/—</x:v>
      </x:c>
      <x:c r="J155" s="48" t="str">
        <x:v>1/1/1/1</x:v>
      </x:c>
      <x:c r="K155" s="48" t="str">
        <x:v>—/—/—/—</x:v>
      </x:c>
      <x:c r="L155" s="48" t="str">
        <x:v>—/—/—/—</x:v>
      </x:c>
      <x:c r="M155" s="48" t="str">
        <x:v>—/—/—/—</x:v>
      </x:c>
      <x:c r="N155" s="48" t="str">
        <x:v>—/—/—/—</x:v>
      </x:c>
      <x:c r="O155" s="48" t="str">
        <x:v>—/—/—/—</x:v>
      </x:c>
      <x:c r="P155" s="48" t="str">
        <x:v>—/—/—/—</x:v>
      </x:c>
      <x:c r="Q155" s="48" t="str">
        <x:v>BHfs/BHfs/BHfs/BHfs</x:v>
      </x:c>
      <x:c r="R155" s="48" t="str">
        <x:v>—/—/—/—</x:v>
      </x:c>
      <x:c r="S155" s="48" t="str">
        <x:v>4 / 1 / 90 / 2 / 100 / 3 / 110 / 120 / 13 / 11 / 9 / 7</x:v>
      </x:c>
      <x:c r="T155" s="48" t="str">
        <x:v>“—”表示 6.48b 对象表该级字段为空；脚本型技能需结合证据说明与来源冲突表。</x:v>
      </x:c>
    </x:row>
    <x:row r="156" ht="34" customHeight="1">
      <x:c r="A156" s="18" t="str">
        <x:v>Ubal-3</x:v>
      </x:c>
      <x:c r="B156" s="18" t="str">
        <x:v>地穴编织者</x:v>
      </x:c>
      <x:c r="C156" s="18" t="str">
        <x:v>Nerubian Weaver</x:v>
      </x:c>
      <x:c r="D156" s="18" t="str">
        <x:v>Time Lapse</x:v>
      </x:c>
      <x:c r="E156" s="18" t="str">
        <x:v>A0CT</x:v>
      </x:c>
      <x:c r="F156" s="18" t="str">
        <x:v>ANcl</x:v>
      </x:c>
      <x:c r="G156" s="48" t="str">
        <x:v>0.01/0.01/0.01</x:v>
      </x:c>
      <x:c r="H156" s="48" t="str">
        <x:v>—/—/—</x:v>
      </x:c>
      <x:c r="I156" s="48" t="str">
        <x:v>1/1/1</x:v>
      </x:c>
      <x:c r="J156" s="48" t="str">
        <x:v>0.98/0.98/0.98</x:v>
      </x:c>
      <x:c r="K156" s="48" t="str">
        <x:v>—/—/—</x:v>
      </x:c>
      <x:c r="L156" s="48" t="str">
        <x:v>channel/channel/channel</x:v>
      </x:c>
      <x:c r="M156" s="48" t="str">
        <x:v>—/—/—</x:v>
      </x:c>
      <x:c r="N156" s="48" t="str">
        <x:v>—/—/—</x:v>
      </x:c>
      <x:c r="O156" s="48" t="str">
        <x:v>—/—/—</x:v>
      </x:c>
      <x:c r="P156" s="48" t="str">
        <x:v>—/—/—</x:v>
      </x:c>
      <x:c r="Q156" s="48" t="str">
        <x:v>—/—/—</x:v>
      </x:c>
      <x:c r="R156" s="48" t="str">
        <x:v>—/—/—</x:v>
      </x:c>
      <x:c r="S156" s="48" t="str">
        <x:v>5 / 1 / 150 / 2 / 75 / 3 / 0 / 120 / 90 / 60</x:v>
      </x:c>
      <x:c r="T156" s="48" t="str">
        <x:v>“—”表示 6.48b 对象表该级字段为空；脚本型技能需结合证据说明与来源冲突表。</x:v>
      </x:c>
    </x:row>
    <x:row r="157" ht="34" customHeight="1">
      <x:c r="A157" s="18" t="str">
        <x:v>Ubal-4</x:v>
      </x:c>
      <x:c r="B157" s="18" t="str">
        <x:v>地穴编织者</x:v>
      </x:c>
      <x:c r="C157" s="18" t="str">
        <x:v>Nerubian Weaver</x:v>
      </x:c>
      <x:c r="D157" s="18" t="str">
        <x:v>Geminate Attack</x:v>
      </x:c>
      <x:c r="E157" s="18" t="str">
        <x:v>A0CG</x:v>
      </x:c>
      <x:c r="F157" s="18" t="str">
        <x:v>AIsb</x:v>
      </x:c>
      <x:c r="G157" s="48" t="str">
        <x:v>—/—/—/—</x:v>
      </x:c>
      <x:c r="H157" s="48" t="str">
        <x:v>100/100/100/—</x:v>
      </x:c>
      <x:c r="I157" s="48" t="str">
        <x:v>100/100/100/—</x:v>
      </x:c>
      <x:c r="J157" s="48" t="str">
        <x:v>100/100/100/—</x:v>
      </x:c>
      <x:c r="K157" s="48" t="str">
        <x:v>—/—/—/—</x:v>
      </x:c>
      <x:c r="L157" s="48" t="str">
        <x:v>—/—/—/—</x:v>
      </x:c>
      <x:c r="M157" s="48" t="str">
        <x:v>—/—/—/—</x:v>
      </x:c>
      <x:c r="N157" s="48" t="str">
        <x:v>—/—/—/—</x:v>
      </x:c>
      <x:c r="O157" s="48" t="str">
        <x:v>—/—/—/—</x:v>
      </x:c>
      <x:c r="P157" s="48" t="str">
        <x:v>A0CN/A0CR/A0CS/—</x:v>
      </x:c>
      <x:c r="Q157" s="48" t="str">
        <x:v>—/—/—/—</x:v>
      </x:c>
      <x:c r="R157" s="48" t="str">
        <x:v>—/—/—/—</x:v>
      </x:c>
      <x:c r="S157" s="48" t="str">
        <x:v>7 / 6 / 5 / 3.5 / 1 / 2 / 3 / 4</x:v>
      </x:c>
      <x:c r="T157" s="48" t="str">
        <x:v>“—”表示 6.48b 对象表该级字段为空；脚本型技能需结合证据说明与来源冲突表。</x:v>
      </x:c>
    </x:row>
    <x:row r="158" ht="34" customHeight="1">
      <x:c r="A158" s="18" t="str">
        <x:v>Opgh-1</x:v>
      </x:c>
      <x:c r="B158" s="18" t="str">
        <x:v>斧王</x:v>
      </x:c>
      <x:c r="C158" s="18" t="str">
        <x:v>Axe</x:v>
      </x:c>
      <x:c r="D158" s="18" t="str">
        <x:v>Battle Hunger</x:v>
      </x:c>
      <x:c r="E158" s="18" t="str">
        <x:v>A0S1</x:v>
      </x:c>
      <x:c r="F158" s="18" t="str">
        <x:v>ANcl</x:v>
      </x:c>
      <x:c r="G158" s="48" t="str">
        <x:v>—/—/—/—</x:v>
      </x:c>
      <x:c r="H158" s="48" t="str">
        <x:v>1/1/1/1</x:v>
      </x:c>
      <x:c r="I158" s="48" t="str">
        <x:v>1/1/1/1</x:v>
      </x:c>
      <x:c r="J158" s="48" t="str">
        <x:v>0.98/0.98/0.98/0.98</x:v>
      </x:c>
      <x:c r="K158" s="48" t="str">
        <x:v>—/—/—/—</x:v>
      </x:c>
      <x:c r="L158" s="48" t="str">
        <x:v>creepheal/creepheal/creepheal/creepheal</x:v>
      </x:c>
      <x:c r="M158" s="48" t="str">
        <x:v>—/—/—/—</x:v>
      </x:c>
      <x:c r="N158" s="48" t="str">
        <x:v>—/—/—/—</x:v>
      </x:c>
      <x:c r="O158" s="48" t="str">
        <x:v>—/—/—/—</x:v>
      </x:c>
      <x:c r="P158" s="48" t="str">
        <x:v>—/—/—/—</x:v>
      </x:c>
      <x:c r="Q158" s="48" t="str">
        <x:v>—/—/—/—</x:v>
      </x:c>
      <x:c r="R158" s="48" t="str">
        <x:v>—/—/—/—</x:v>
      </x:c>
      <x:c r="S158" s="48" t="str">
        <x:v>1 / 15 / 10 / 2 / 3 / 20 / 4 / 25</x:v>
      </x:c>
      <x:c r="T158" s="48" t="str">
        <x:v>“—”表示 6.48b 对象表该级字段为空；脚本型技能需结合证据说明与来源冲突表。</x:v>
      </x:c>
    </x:row>
    <x:row r="159" ht="34" customHeight="1">
      <x:c r="A159" s="18" t="str">
        <x:v>Opgh-2</x:v>
      </x:c>
      <x:c r="B159" s="18" t="str">
        <x:v>斧王</x:v>
      </x:c>
      <x:c r="C159" s="18" t="str">
        <x:v>Axe</x:v>
      </x:c>
      <x:c r="D159" s="18" t="str">
        <x:v>Counter Helix</x:v>
      </x:c>
      <x:c r="E159" s="18" t="str">
        <x:v>A0C6</x:v>
      </x:c>
      <x:c r="F159" s="18" t="str">
        <x:v>AHab</x:v>
      </x:c>
      <x:c r="G159" s="48" t="str">
        <x:v>0.01/0.01/0.01/0.01</x:v>
      </x:c>
      <x:c r="H159" s="48" t="str">
        <x:v>—/—/—/—</x:v>
      </x:c>
      <x:c r="I159" s="48" t="str">
        <x:v>—/—/—/—</x:v>
      </x:c>
      <x:c r="J159" s="48" t="str">
        <x:v>—/—/—/—</x:v>
      </x:c>
      <x:c r="K159" s="48" t="str">
        <x:v>—/—/—/—</x:v>
      </x:c>
      <x:c r="L159" s="48" t="str">
        <x:v>—/—/—/—</x:v>
      </x:c>
      <x:c r="M159" s="48" t="str">
        <x:v>—/—/—/—</x:v>
      </x:c>
      <x:c r="N159" s="48" t="str">
        <x:v>—/—/—/—</x:v>
      </x:c>
      <x:c r="O159" s="48" t="str">
        <x:v>—/—/—/—</x:v>
      </x:c>
      <x:c r="P159" s="48" t="str">
        <x:v>—/—/—/—</x:v>
      </x:c>
      <x:c r="Q159" s="48" t="str">
        <x:v>B03P/B03P/B03P/B03P</x:v>
      </x:c>
      <x:c r="R159" s="48" t="str">
        <x:v>—/—/—/—</x:v>
      </x:c>
      <x:c r="S159" s="48" t="str">
        <x:v>1 / 15% / 100 / 2 / 125 / 3 / 150 / 4 / 175 / 6</x:v>
      </x:c>
      <x:c r="T159" s="48" t="str">
        <x:v>“—”表示 6.48b 对象表该级字段为空；脚本型技能需结合证据说明与来源冲突表。</x:v>
      </x:c>
    </x:row>
    <x:row r="160" ht="34" customHeight="1">
      <x:c r="A160" s="18" t="str">
        <x:v>Opgh-3</x:v>
      </x:c>
      <x:c r="B160" s="18" t="str">
        <x:v>斧王</x:v>
      </x:c>
      <x:c r="C160" s="18" t="str">
        <x:v>Axe</x:v>
      </x:c>
      <x:c r="D160" s="18" t="str">
        <x:v>Culling Blade</x:v>
      </x:c>
      <x:c r="E160" s="18" t="str">
        <x:v>A0E2</x:v>
      </x:c>
      <x:c r="F160" s="18" t="str">
        <x:v>AOcl</x:v>
      </x:c>
      <x:c r="G160" s="48" t="str">
        <x:v>150/250/300</x:v>
      </x:c>
      <x:c r="H160" s="48" t="str">
        <x:v>1/1/1</x:v>
      </x:c>
      <x:c r="I160" s="48" t="str">
        <x:v>0.15/0.15/0.15</x:v>
      </x:c>
      <x:c r="J160" s="48" t="str">
        <x:v>—/—/—</x:v>
      </x:c>
      <x:c r="K160" s="48" t="str">
        <x:v>—/—/—</x:v>
      </x:c>
      <x:c r="L160" s="48" t="str">
        <x:v>—/—/—</x:v>
      </x:c>
      <x:c r="M160" s="48" t="str">
        <x:v>—/—/—</x:v>
      </x:c>
      <x:c r="N160" s="48" t="str">
        <x:v>—/—/—</x:v>
      </x:c>
      <x:c r="O160" s="48" t="str">
        <x:v>—/—/—</x:v>
      </x:c>
      <x:c r="P160" s="48" t="str">
        <x:v>—/—/—</x:v>
      </x:c>
      <x:c r="Q160" s="48" t="str">
        <x:v>—/—/—</x:v>
      </x:c>
      <x:c r="R160" s="48" t="str">
        <x:v>—/—/—</x:v>
      </x:c>
      <x:c r="S160" s="48" t="str">
        <x:v>1 / 150 / 300 / 2 / 250 / 450 / 3 / 625 / 75 / 65 / 55</x:v>
      </x:c>
      <x:c r="T160" s="48" t="str">
        <x:v>“—”表示 6.48b 对象表该级字段为空；脚本型技能需结合证据说明与来源冲突表。</x:v>
      </x:c>
    </x:row>
    <x:row r="161" ht="34" customHeight="1">
      <x:c r="A161" s="18" t="str">
        <x:v>Opgh-4</x:v>
      </x:c>
      <x:c r="B161" s="18" t="str">
        <x:v>斧王</x:v>
      </x:c>
      <x:c r="C161" s="18" t="str">
        <x:v>Axe</x:v>
      </x:c>
      <x:c r="D161" s="18" t="str">
        <x:v>Berserker's Call</x:v>
      </x:c>
      <x:c r="E161" s="18" t="str">
        <x:v>A0I6</x:v>
      </x:c>
      <x:c r="F161" s="18" t="str">
        <x:v>ANcl</x:v>
      </x:c>
      <x:c r="G161" s="48" t="str">
        <x:v>—/—/—/—</x:v>
      </x:c>
      <x:c r="H161" s="48" t="str">
        <x:v>—/—/—/—</x:v>
      </x:c>
      <x:c r="I161" s="48" t="str">
        <x:v>1/1/1/1</x:v>
      </x:c>
      <x:c r="J161" s="48" t="str">
        <x:v>0.98/0.98/0.98/0.98</x:v>
      </x:c>
      <x:c r="K161" s="48" t="str">
        <x:v>—/—/—/—</x:v>
      </x:c>
      <x:c r="L161" s="48" t="str">
        <x:v>channel/channel/channel/channel</x:v>
      </x:c>
      <x:c r="M161" s="48" t="str">
        <x:v>—/—/—/—</x:v>
      </x:c>
      <x:c r="N161" s="48" t="str">
        <x:v>—/—/—/—</x:v>
      </x:c>
      <x:c r="O161" s="48" t="str">
        <x:v>—/—/—/—</x:v>
      </x:c>
      <x:c r="P161" s="48" t="str">
        <x:v>—/—/—/—</x:v>
      </x:c>
      <x:c r="Q161" s="48" t="str">
        <x:v>—/—/—/—</x:v>
      </x:c>
      <x:c r="R161" s="48" t="str">
        <x:v>—/—/—/—</x:v>
      </x:c>
      <x:c r="S161" s="48" t="str">
        <x:v>300 / 1 / 1.5 / 5 / 2 / 10 / 3 / 2.5 / 15 / 4 / 20 / 14 / 2.0 / 3.0</x:v>
      </x:c>
      <x:c r="T161" s="48" t="str">
        <x:v>“—”表示 6.48b 对象表该级字段为空；脚本型技能需结合证据说明与来源冲突表。</x:v>
      </x:c>
    </x:row>
    <x:row r="162" ht="34" customHeight="1">
      <x:c r="A162" s="18" t="str">
        <x:v>U00K-1</x:v>
      </x:c>
      <x:c r="B162" s="18" t="str">
        <x:v>沙王</x:v>
      </x:c>
      <x:c r="C162" s="18" t="str">
        <x:v>Sand King</x:v>
      </x:c>
      <x:c r="D162" s="18" t="str">
        <x:v>Sand Storm</x:v>
      </x:c>
      <x:c r="E162" s="18" t="str">
        <x:v>A0H0</x:v>
      </x:c>
      <x:c r="F162" s="18" t="str">
        <x:v>ANcl</x:v>
      </x:c>
      <x:c r="G162" s="48" t="str">
        <x:v>20/40/60/80</x:v>
      </x:c>
      <x:c r="H162" s="48" t="str">
        <x:v>—/—/—/—</x:v>
      </x:c>
      <x:c r="I162" s="48" t="str">
        <x:v>1/1/1/1</x:v>
      </x:c>
      <x:c r="J162" s="48" t="str">
        <x:v>0.98/0.98/0.98/0.98</x:v>
      </x:c>
      <x:c r="K162" s="48" t="str">
        <x:v>—/—/—/—</x:v>
      </x:c>
      <x:c r="L162" s="48" t="str">
        <x:v>voodoo/voodoo/voodoo/voodoo</x:v>
      </x:c>
      <x:c r="M162" s="48" t="str">
        <x:v>—/—/—/—</x:v>
      </x:c>
      <x:c r="N162" s="48" t="str">
        <x:v>—/—/—/—</x:v>
      </x:c>
      <x:c r="O162" s="48" t="str">
        <x:v>—/—/—/—</x:v>
      </x:c>
      <x:c r="P162" s="48" t="str">
        <x:v>—/—/—/—</x:v>
      </x:c>
      <x:c r="Q162" s="48" t="str">
        <x:v>—/—/—/—</x:v>
      </x:c>
      <x:c r="R162" s="48" t="str">
        <x:v>—/—/—/—</x:v>
      </x:c>
      <x:c r="S162" s="48" t="str">
        <x:v>1 / 20 / 200 / 0.3 / 2 / 40 / 250 / 0.6 / 3 / 60 / 300 / 0.9 / 4 / 80 / 350 / 1.2</x:v>
      </x:c>
      <x:c r="T162" s="48" t="str">
        <x:v>“—”表示 6.48b 对象表该级字段为空；脚本型技能需结合证据说明与来源冲突表。</x:v>
      </x:c>
    </x:row>
    <x:row r="163" ht="34" customHeight="1">
      <x:c r="A163" s="18" t="str">
        <x:v>U00K-2</x:v>
      </x:c>
      <x:c r="B163" s="18" t="str">
        <x:v>沙王</x:v>
      </x:c>
      <x:c r="C163" s="18" t="str">
        <x:v>Sand King</x:v>
      </x:c>
      <x:c r="D163" s="18" t="str">
        <x:v>Caustic Finale</x:v>
      </x:c>
      <x:c r="E163" s="18" t="str">
        <x:v>A0FA</x:v>
      </x:c>
      <x:c r="F163" s="18" t="str">
        <x:v>ANic</x:v>
      </x:c>
      <x:c r="G163" s="48" t="str">
        <x:v>—/—/—/—</x:v>
      </x:c>
      <x:c r="H163" s="48" t="str">
        <x:v>90/130/170/220</x:v>
      </x:c>
      <x:c r="I163" s="48" t="str">
        <x:v>400/400/400/400</x:v>
      </x:c>
      <x:c r="J163" s="48" t="str">
        <x:v>—/—/—/—</x:v>
      </x:c>
      <x:c r="K163" s="48" t="str">
        <x:v>—/—/—/—</x:v>
      </x:c>
      <x:c r="L163" s="48" t="str">
        <x:v>0.2/0.2/0.2/0.2</x:v>
      </x:c>
      <x:c r="M163" s="48" t="str">
        <x:v>—/—/—/—</x:v>
      </x:c>
      <x:c r="N163" s="48" t="str">
        <x:v>—/—/—/—</x:v>
      </x:c>
      <x:c r="O163" s="48" t="str">
        <x:v>—/—/—/—</x:v>
      </x:c>
      <x:c r="P163" s="48" t="str">
        <x:v>—/—/—/—</x:v>
      </x:c>
      <x:c r="Q163" s="48" t="str">
        <x:v>B03F/B03F/B03F/B03F</x:v>
      </x:c>
      <x:c r="R163" s="48" t="str">
        <x:v>—/—/—/—</x:v>
      </x:c>
      <x:c r="S163" s="48" t="str">
        <x:v>1 / 90 / 2 / 130 / 3 / 170 / 4 / 220</x:v>
      </x:c>
      <x:c r="T163" s="48" t="str">
        <x:v>“—”表示 6.48b 对象表该级字段为空；脚本型技能需结合证据说明与来源冲突表。</x:v>
      </x:c>
    </x:row>
    <x:row r="164" ht="34" customHeight="1">
      <x:c r="A164" s="18" t="str">
        <x:v>U00K-3</x:v>
      </x:c>
      <x:c r="B164" s="18" t="str">
        <x:v>沙王</x:v>
      </x:c>
      <x:c r="C164" s="18" t="str">
        <x:v>Sand King</x:v>
      </x:c>
      <x:c r="D164" s="18" t="str">
        <x:v>Epicenter</x:v>
      </x:c>
      <x:c r="E164" s="18" t="str">
        <x:v>A06R</x:v>
      </x:c>
      <x:c r="F164" s="18" t="str">
        <x:v>ANcl</x:v>
      </x:c>
      <x:c r="G164" s="48" t="str">
        <x:v>2/2/2</x:v>
      </x:c>
      <x:c r="H164" s="48" t="str">
        <x:v>—/—/—</x:v>
      </x:c>
      <x:c r="I164" s="48" t="str">
        <x:v>1/1/1</x:v>
      </x:c>
      <x:c r="J164" s="48" t="str">
        <x:v>2/2/2</x:v>
      </x:c>
      <x:c r="K164" s="48" t="str">
        <x:v>—/—/—</x:v>
      </x:c>
      <x:c r="L164" s="48" t="str">
        <x:v>charm/charm/charm</x:v>
      </x:c>
      <x:c r="M164" s="48" t="str">
        <x:v>—/—/—</x:v>
      </x:c>
      <x:c r="N164" s="48" t="str">
        <x:v>—/—/—</x:v>
      </x:c>
      <x:c r="O164" s="48" t="str">
        <x:v>—/—/—</x:v>
      </x:c>
      <x:c r="P164" s="48" t="str">
        <x:v>—/—/—</x:v>
      </x:c>
      <x:c r="Q164" s="48" t="str">
        <x:v>—/—/—</x:v>
      </x:c>
      <x:c r="R164" s="48" t="str">
        <x:v>—/—/—</x:v>
      </x:c>
      <x:c r="S164" s="48" t="str">
        <x:v>1 / 2.0 / 6 / 110 / 2 / 8 / 3 / 10 / 140 / 120 / 100 / 40% / 4</x:v>
      </x:c>
      <x:c r="T164" s="48" t="str">
        <x:v>“—”表示 6.48b 对象表该级字段为空；脚本型技能需结合证据说明与来源冲突表。</x:v>
      </x:c>
    </x:row>
    <x:row r="165" ht="34" customHeight="1">
      <x:c r="A165" s="18" t="str">
        <x:v>U00K-4</x:v>
      </x:c>
      <x:c r="B165" s="18" t="str">
        <x:v>沙王</x:v>
      </x:c>
      <x:c r="C165" s="18" t="str">
        <x:v>Sand King</x:v>
      </x:c>
      <x:c r="D165" s="18" t="str">
        <x:v>Burrowstrike</x:v>
      </x:c>
      <x:c r="E165" s="18" t="str">
        <x:v>A06O</x:v>
      </x:c>
      <x:c r="F165" s="18" t="str">
        <x:v>ANcl</x:v>
      </x:c>
      <x:c r="G165" s="48" t="str">
        <x:v>1/1/1/1</x:v>
      </x:c>
      <x:c r="H165" s="48" t="str">
        <x:v>3/3/3/3</x:v>
      </x:c>
      <x:c r="I165" s="48" t="str">
        <x:v>1/1/1/1</x:v>
      </x:c>
      <x:c r="J165" s="48" t="str">
        <x:v>0.98/0.98/0.98/0.98</x:v>
      </x:c>
      <x:c r="K165" s="48" t="str">
        <x:v>1/1/1/1</x:v>
      </x:c>
      <x:c r="L165" s="48" t="str">
        <x:v>channel/channel/channel/channel</x:v>
      </x:c>
      <x:c r="M165" s="48" t="str">
        <x:v>—/—/—/—</x:v>
      </x:c>
      <x:c r="N165" s="48" t="str">
        <x:v>—/—/—/—</x:v>
      </x:c>
      <x:c r="O165" s="48" t="str">
        <x:v>—/—/—/—</x:v>
      </x:c>
      <x:c r="P165" s="48" t="str">
        <x:v>—/—/—/—</x:v>
      </x:c>
      <x:c r="Q165" s="48" t="str">
        <x:v>—/—/—/—</x:v>
      </x:c>
      <x:c r="R165" s="48" t="str">
        <x:v>—/—/—/—</x:v>
      </x:c>
      <x:c r="S165" s="48" t="str">
        <x:v>1 / 100 / 400 / 2 / 160 / 500 / 3 / 220 / 600 / 4 / 280 / 700 / 11 / 1.65</x:v>
      </x:c>
      <x:c r="T165" s="48" t="str">
        <x:v>“—”表示 6.48b 对象表该级字段为空；脚本型技能需结合证据说明与来源冲突表。</x:v>
      </x:c>
    </x:row>
    <x:row r="166" ht="34" customHeight="1">
      <x:c r="A166" s="18" t="str">
        <x:v>Nfir-1</x:v>
      </x:c>
      <x:c r="B166" s="18" t="str">
        <x:v>影魔</x:v>
      </x:c>
      <x:c r="C166" s="18" t="str">
        <x:v>Shadow Fiend</x:v>
      </x:c>
      <x:c r="D166" s="18" t="str">
        <x:v>Necromastery</x:v>
      </x:c>
      <x:c r="E166" s="18" t="str">
        <x:v>A0BR</x:v>
      </x:c>
      <x:c r="F166" s="18" t="str">
        <x:v>—</x:v>
      </x:c>
      <x:c r="G166" s="48" t="str">
        <x:v>—/—/—/—</x:v>
      </x:c>
      <x:c r="H166" s="48" t="str">
        <x:v>—/—/—/—</x:v>
      </x:c>
      <x:c r="I166" s="48" t="str">
        <x:v>—/—/—/—</x:v>
      </x:c>
      <x:c r="J166" s="48" t="str">
        <x:v>—/—/—/—</x:v>
      </x:c>
      <x:c r="K166" s="48" t="str">
        <x:v>—/—/—/—</x:v>
      </x:c>
      <x:c r="L166" s="48" t="str">
        <x:v>—/—/—/—</x:v>
      </x:c>
      <x:c r="M166" s="48" t="str">
        <x:v>—/—/—/—</x:v>
      </x:c>
      <x:c r="N166" s="48" t="str">
        <x:v>—/—/—/—</x:v>
      </x:c>
      <x:c r="O166" s="48" t="str">
        <x:v>—/—/—/—</x:v>
      </x:c>
      <x:c r="P166" s="48" t="str">
        <x:v>—/—/—/—</x:v>
      </x:c>
      <x:c r="Q166" s="48" t="str">
        <x:v>—/—/—/—</x:v>
      </x:c>
      <x:c r="R166" s="48" t="str">
        <x:v>—/—/—/—</x:v>
      </x:c>
      <x:c r="S166" s="48" t="str">
        <x:v>2 / 16 / 30 / 46 / 60 / 1 / 3 / 4</x:v>
      </x:c>
      <x:c r="T166" s="48" t="str">
        <x:v>“—”表示 6.48b 对象表该级字段为空；脚本型技能需结合证据说明与来源冲突表。</x:v>
      </x:c>
    </x:row>
    <x:row r="167" ht="34" customHeight="1">
      <x:c r="A167" s="18" t="str">
        <x:v>Nfir-2</x:v>
      </x:c>
      <x:c r="B167" s="18" t="str">
        <x:v>影魔</x:v>
      </x:c>
      <x:c r="C167" s="18" t="str">
        <x:v>Shadow Fiend</x:v>
      </x:c>
      <x:c r="D167" s="18" t="str">
        <x:v>Presence of the Dark Lord</x:v>
      </x:c>
      <x:c r="E167" s="18" t="str">
        <x:v>A0FU</x:v>
      </x:c>
      <x:c r="F167" s="18" t="str">
        <x:v>AHad</x:v>
      </x:c>
      <x:c r="G167" s="48" t="str">
        <x:v>-1/-2/-3/-4</x:v>
      </x:c>
      <x:c r="H167" s="48" t="str">
        <x:v>—/—/—/—</x:v>
      </x:c>
      <x:c r="I167" s="48" t="str">
        <x:v>—/—/—/—</x:v>
      </x:c>
      <x:c r="J167" s="48" t="str">
        <x:v>—/—/—/—</x:v>
      </x:c>
      <x:c r="K167" s="48" t="str">
        <x:v>—/—/—/—</x:v>
      </x:c>
      <x:c r="L167" s="48" t="str">
        <x:v>—/—/—/—</x:v>
      </x:c>
      <x:c r="M167" s="48" t="str">
        <x:v>—/—/—/—</x:v>
      </x:c>
      <x:c r="N167" s="48" t="str">
        <x:v>—/—/—/—</x:v>
      </x:c>
      <x:c r="O167" s="48" t="str">
        <x:v>—/—/—/—</x:v>
      </x:c>
      <x:c r="P167" s="48" t="str">
        <x:v>—/—/—/—</x:v>
      </x:c>
      <x:c r="Q167" s="48" t="str">
        <x:v>B03R/B03R/B03R/B03R</x:v>
      </x:c>
      <x:c r="R167" s="48" t="str">
        <x:v>—/—/—/—</x:v>
      </x:c>
      <x:c r="S167" s="48" t="str">
        <x:v>1 / 2 / 3 / 4</x:v>
      </x:c>
      <x:c r="T167" s="48" t="str">
        <x:v>“—”表示 6.48b 对象表该级字段为空；脚本型技能需结合证据说明与来源冲突表。</x:v>
      </x:c>
    </x:row>
    <x:row r="168" ht="34" customHeight="1">
      <x:c r="A168" s="18" t="str">
        <x:v>Nfir-3</x:v>
      </x:c>
      <x:c r="B168" s="18" t="str">
        <x:v>影魔</x:v>
      </x:c>
      <x:c r="C168" s="18" t="str">
        <x:v>Shadow Fiend</x:v>
      </x:c>
      <x:c r="D168" s="18" t="str">
        <x:v>Requiem of Souls</x:v>
      </x:c>
      <x:c r="E168" s="18" t="str">
        <x:v>A0HE</x:v>
      </x:c>
      <x:c r="F168" s="18" t="str">
        <x:v>AOws</x:v>
      </x:c>
      <x:c r="G168" s="48" t="str">
        <x:v>—/—/—</x:v>
      </x:c>
      <x:c r="H168" s="48" t="str">
        <x:v>—/—/—</x:v>
      </x:c>
      <x:c r="I168" s="48" t="str">
        <x:v>—/—/—</x:v>
      </x:c>
      <x:c r="J168" s="48" t="str">
        <x:v>—/—/—</x:v>
      </x:c>
      <x:c r="K168" s="48" t="str">
        <x:v>—/—/—</x:v>
      </x:c>
      <x:c r="L168" s="48" t="str">
        <x:v>—/—/—</x:v>
      </x:c>
      <x:c r="M168" s="48" t="str">
        <x:v>—/—/—</x:v>
      </x:c>
      <x:c r="N168" s="48" t="str">
        <x:v>—/—/—</x:v>
      </x:c>
      <x:c r="O168" s="48" t="str">
        <x:v>—/—/—</x:v>
      </x:c>
      <x:c r="P168" s="48" t="str">
        <x:v>—/—/—</x:v>
      </x:c>
      <x:c r="Q168" s="48" t="str">
        <x:v>BPSE/BPSE/BPSE</x:v>
      </x:c>
      <x:c r="R168" s="48" t="str">
        <x:v>—/—/—</x:v>
      </x:c>
      <x:c r="S168" s="48" t="str">
        <x:v>120 / 110 / 100 / 1 / 80 / 2 / 3 / 160</x:v>
      </x:c>
      <x:c r="T168" s="48" t="str">
        <x:v>“—”表示 6.48b 对象表该级字段为空；脚本型技能需结合证据说明与来源冲突表。</x:v>
      </x:c>
    </x:row>
    <x:row r="169" ht="34" customHeight="1">
      <x:c r="A169" s="18" t="str">
        <x:v>Nfir-4</x:v>
      </x:c>
      <x:c r="B169" s="18" t="str">
        <x:v>影魔</x:v>
      </x:c>
      <x:c r="C169" s="18" t="str">
        <x:v>Shadow Fiend</x:v>
      </x:c>
      <x:c r="D169" s="18" t="str">
        <x:v>Shadowraze</x:v>
      </x:c>
      <x:c r="E169" s="18" t="str">
        <x:v>A0EY</x:v>
      </x:c>
      <x:c r="F169" s="18" t="str">
        <x:v>Aroa</x:v>
      </x:c>
      <x:c r="G169" s="48" t="str">
        <x:v>—/—/—/—</x:v>
      </x:c>
      <x:c r="H169" s="48" t="str">
        <x:v>—/—/—/—</x:v>
      </x:c>
      <x:c r="I169" s="48" t="str">
        <x:v>—/—/—/—</x:v>
      </x:c>
      <x:c r="J169" s="48" t="str">
        <x:v>—/—/—/—</x:v>
      </x:c>
      <x:c r="K169" s="48" t="str">
        <x:v>—/—/—/—</x:v>
      </x:c>
      <x:c r="L169" s="48" t="str">
        <x:v>—/—/—/—</x:v>
      </x:c>
      <x:c r="M169" s="48" t="str">
        <x:v>—/—/—/—</x:v>
      </x:c>
      <x:c r="N169" s="48" t="str">
        <x:v>—/—/—/—</x:v>
      </x:c>
      <x:c r="O169" s="48" t="str">
        <x:v>—/—/—/—</x:v>
      </x:c>
      <x:c r="P169" s="48" t="str">
        <x:v>—/—/—/—</x:v>
      </x:c>
      <x:c r="Q169" s="48" t="str">
        <x:v>B00O/B00O/B00O/—</x:v>
      </x:c>
      <x:c r="R169" s="48" t="str">
        <x:v>—/—/—/—</x:v>
      </x:c>
      <x:c r="S169" s="48" t="str">
        <x:v>1 / 75 / 2 / 150 / 3 / 225 / 4 / 300 / 10 / 200</x:v>
      </x:c>
      <x:c r="T169" s="48" t="str">
        <x:v>“—”表示 6.48b 对象表该级字段为空；脚本型技能需结合证据说明与来源冲突表。</x:v>
      </x:c>
    </x:row>
    <x:row r="170" ht="34" customHeight="1">
      <x:c r="A170" s="18" t="str">
        <x:v>O00J-1</x:v>
      </x:c>
      <x:c r="B170" s="18" t="str">
        <x:v>裂魂人</x:v>
      </x:c>
      <x:c r="C170" s="18" t="str">
        <x:v>Spiritbreaker</x:v>
      </x:c>
      <x:c r="D170" s="18" t="str">
        <x:v>Charge of Darkness</x:v>
      </x:c>
      <x:c r="E170" s="18" t="str">
        <x:v>A0ML</x:v>
      </x:c>
      <x:c r="F170" s="18" t="str">
        <x:v>AOcl</x:v>
      </x:c>
      <x:c r="G170" s="48" t="str">
        <x:v>—/—/—/—</x:v>
      </x:c>
      <x:c r="H170" s="48" t="str">
        <x:v>1/1/1/1</x:v>
      </x:c>
      <x:c r="I170" s="48" t="str">
        <x:v>—/—/—/—</x:v>
      </x:c>
      <x:c r="J170" s="48" t="str">
        <x:v>—/—/—/—</x:v>
      </x:c>
      <x:c r="K170" s="48" t="str">
        <x:v>—/—/—/—</x:v>
      </x:c>
      <x:c r="L170" s="48" t="str">
        <x:v>—/—/—/—</x:v>
      </x:c>
      <x:c r="M170" s="48" t="str">
        <x:v>—/—/—/—</x:v>
      </x:c>
      <x:c r="N170" s="48" t="str">
        <x:v>—/—/—/—</x:v>
      </x:c>
      <x:c r="O170" s="48" t="str">
        <x:v>—/—/—/—</x:v>
      </x:c>
      <x:c r="P170" s="48" t="str">
        <x:v>—/—/—/—</x:v>
      </x:c>
      <x:c r="Q170" s="48" t="str">
        <x:v>—/—/—/—</x:v>
      </x:c>
      <x:c r="R170" s="48" t="str">
        <x:v>—/—/—/—</x:v>
      </x:c>
      <x:c r="S170" s="48" t="str">
        <x:v>1 / 2 / 1.5 / 3 / 4 / 2.5 / 40</x:v>
      </x:c>
      <x:c r="T170" s="48" t="str">
        <x:v>“—”表示 6.48b 对象表该级字段为空；脚本型技能需结合证据说明与来源冲突表。</x:v>
      </x:c>
    </x:row>
    <x:row r="171" ht="34" customHeight="1">
      <x:c r="A171" s="18" t="str">
        <x:v>O00J-2</x:v>
      </x:c>
      <x:c r="B171" s="18" t="str">
        <x:v>裂魂人</x:v>
      </x:c>
      <x:c r="C171" s="18" t="str">
        <x:v>Spiritbreaker</x:v>
      </x:c>
      <x:c r="D171" s="18" t="str">
        <x:v>Empowering Haste</x:v>
      </x:c>
      <x:c r="E171" s="18" t="str">
        <x:v>A0ES</x:v>
      </x:c>
      <x:c r="F171" s="18" t="str">
        <x:v>AUau</x:v>
      </x:c>
      <x:c r="G171" s="48" t="str">
        <x:v>0.02/0.04/0.06/0.08</x:v>
      </x:c>
      <x:c r="H171" s="48" t="str">
        <x:v>—/—/—/—</x:v>
      </x:c>
      <x:c r="I171" s="48" t="str">
        <x:v>—/—/—/—</x:v>
      </x:c>
      <x:c r="J171" s="48" t="str">
        <x:v>—/—/—/—</x:v>
      </x:c>
      <x:c r="K171" s="48" t="str">
        <x:v>—/—/—/—</x:v>
      </x:c>
      <x:c r="L171" s="48" t="str">
        <x:v>—/—/—/—</x:v>
      </x:c>
      <x:c r="M171" s="48" t="str">
        <x:v>—/—/—/—</x:v>
      </x:c>
      <x:c r="N171" s="48" t="str">
        <x:v>—/—/—/—</x:v>
      </x:c>
      <x:c r="O171" s="48" t="str">
        <x:v>—/—/—/—</x:v>
      </x:c>
      <x:c r="P171" s="48" t="str">
        <x:v>—/—/—/—</x:v>
      </x:c>
      <x:c r="Q171" s="48" t="str">
        <x:v>B03Y/B03Y/B03Y/B03Y</x:v>
      </x:c>
      <x:c r="R171" s="48" t="str">
        <x:v>—/—/—/—</x:v>
      </x:c>
      <x:c r="S171" s="48" t="str">
        <x:v>300 / 1 / 2% / 4% / 2 / 8% / 3 / 6% / 12% / 4 / 16%</x:v>
      </x:c>
      <x:c r="T171" s="48" t="str">
        <x:v>“—”表示 6.48b 对象表该级字段为空；脚本型技能需结合证据说明与来源冲突表。</x:v>
      </x:c>
    </x:row>
    <x:row r="172" ht="34" customHeight="1">
      <x:c r="A172" s="18" t="str">
        <x:v>O00J-3</x:v>
      </x:c>
      <x:c r="B172" s="18" t="str">
        <x:v>裂魂人</x:v>
      </x:c>
      <x:c r="C172" s="18" t="str">
        <x:v>Spiritbreaker</x:v>
      </x:c>
      <x:c r="D172" s="18" t="str">
        <x:v>Greater Bash</x:v>
      </x:c>
      <x:c r="E172" s="18" t="str">
        <x:v>A0G5</x:v>
      </x:c>
      <x:c r="F172" s="18" t="str">
        <x:v>AOcr</x:v>
      </x:c>
      <x:c r="G172" s="48" t="str">
        <x:v>—/—/—/—</x:v>
      </x:c>
      <x:c r="H172" s="48" t="str">
        <x:v>2/3/4/4</x:v>
      </x:c>
      <x:c r="I172" s="48" t="str">
        <x:v>—/—/—/—</x:v>
      </x:c>
      <x:c r="J172" s="48" t="str">
        <x:v>—/—/—/—</x:v>
      </x:c>
      <x:c r="K172" s="48" t="str">
        <x:v>—/—/—/—</x:v>
      </x:c>
      <x:c r="L172" s="48" t="str">
        <x:v>—/—/—/—</x:v>
      </x:c>
      <x:c r="M172" s="48" t="str">
        <x:v>—/—/—/—</x:v>
      </x:c>
      <x:c r="N172" s="48" t="str">
        <x:v>—/—/—/—</x:v>
      </x:c>
      <x:c r="O172" s="48" t="str">
        <x:v>—/—/—/—</x:v>
      </x:c>
      <x:c r="P172" s="48" t="str">
        <x:v>—/—/—/—</x:v>
      </x:c>
      <x:c r="Q172" s="48" t="str">
        <x:v>—/—/—/—</x:v>
      </x:c>
      <x:c r="R172" s="48" t="str">
        <x:v>—/—/—/—</x:v>
      </x:c>
      <x:c r="S172" s="48" t="str">
        <x:v>17% / 1 / 25 / 140 / 2 / 50 / 180 / 3 / 75 / 220 / 4 / 100 / 260</x:v>
      </x:c>
      <x:c r="T172" s="48" t="str">
        <x:v>“—”表示 6.48b 对象表该级字段为空；脚本型技能需结合证据说明与来源冲突表。</x:v>
      </x:c>
    </x:row>
    <x:row r="173" ht="34" customHeight="1">
      <x:c r="A173" s="18" t="str">
        <x:v>O00J-4</x:v>
      </x:c>
      <x:c r="B173" s="18" t="str">
        <x:v>裂魂人</x:v>
      </x:c>
      <x:c r="C173" s="18" t="str">
        <x:v>Spiritbreaker</x:v>
      </x:c>
      <x:c r="D173" s="18" t="str">
        <x:v>Nether Strike</x:v>
      </x:c>
      <x:c r="E173" s="18" t="str">
        <x:v>A0G4</x:v>
      </x:c>
      <x:c r="F173" s="18" t="str">
        <x:v>ANcl</x:v>
      </x:c>
      <x:c r="G173" s="48" t="str">
        <x:v>—/—/—</x:v>
      </x:c>
      <x:c r="H173" s="48" t="str">
        <x:v>1/1/1</x:v>
      </x:c>
      <x:c r="I173" s="48" t="str">
        <x:v>1/1/1</x:v>
      </x:c>
      <x:c r="J173" s="48" t="str">
        <x:v>0.98/0.98/0.98</x:v>
      </x:c>
      <x:c r="K173" s="48" t="str">
        <x:v>—/—/—</x:v>
      </x:c>
      <x:c r="L173" s="48" t="str">
        <x:v>channel/channel/channel</x:v>
      </x:c>
      <x:c r="M173" s="48" t="str">
        <x:v>—/—/—</x:v>
      </x:c>
      <x:c r="N173" s="48" t="str">
        <x:v>—/—/—</x:v>
      </x:c>
      <x:c r="O173" s="48" t="str">
        <x:v>—/—/—</x:v>
      </x:c>
      <x:c r="P173" s="48" t="str">
        <x:v>—/—/—</x:v>
      </x:c>
      <x:c r="Q173" s="48" t="str">
        <x:v>—/—/—</x:v>
      </x:c>
      <x:c r="R173" s="48" t="str">
        <x:v>—/—/—</x:v>
      </x:c>
      <x:c r="S173" s="48" t="str">
        <x:v>1 / 100 / 2 / 200 / 3 / 300 / 75 / 400 / 550 / 700</x:v>
      </x:c>
      <x:c r="T173" s="48" t="str">
        <x:v>“—”表示 6.48b 对象表该级字段为空；脚本型技能需结合证据说明与来源冲突表。</x:v>
      </x:c>
    </x:row>
    <x:row r="174" ht="34" customHeight="1">
      <x:c r="A174" s="18" t="str">
        <x:v>U00F-1</x:v>
      </x:c>
      <x:c r="B174" s="18" t="str">
        <x:v>屠夫</x:v>
      </x:c>
      <x:c r="C174" s="18" t="str">
        <x:v>Butcher</x:v>
      </x:c>
      <x:c r="D174" s="18" t="str">
        <x:v>Rot</x:v>
      </x:c>
      <x:c r="E174" s="18" t="str">
        <x:v>A06K</x:v>
      </x:c>
      <x:c r="F174" s="18" t="str">
        <x:v>AEim</x:v>
      </x:c>
      <x:c r="G174" s="48" t="str">
        <x:v>5/10/15/20</x:v>
      </x:c>
      <x:c r="H174" s="48" t="str">
        <x:v>—/—/—/—</x:v>
      </x:c>
      <x:c r="I174" s="48" t="str">
        <x:v>—/—/—/—</x:v>
      </x:c>
      <x:c r="J174" s="48" t="str">
        <x:v>—/—/—/—</x:v>
      </x:c>
      <x:c r="K174" s="48" t="str">
        <x:v>—/—/—/—</x:v>
      </x:c>
      <x:c r="L174" s="48" t="str">
        <x:v>—/—/—/—</x:v>
      </x:c>
      <x:c r="M174" s="48" t="str">
        <x:v>—/—/—/—</x:v>
      </x:c>
      <x:c r="N174" s="48" t="str">
        <x:v>—/—/—/—</x:v>
      </x:c>
      <x:c r="O174" s="48" t="str">
        <x:v>—/—/—/—</x:v>
      </x:c>
      <x:c r="P174" s="48" t="str">
        <x:v>—/—/—/—</x:v>
      </x:c>
      <x:c r="Q174" s="48" t="str">
        <x:v>B02T,BEia/B02T,BEia/B02T,BEia/B02T,BEia</x:v>
      </x:c>
      <x:c r="R174" s="48" t="str">
        <x:v>—/—/—/—</x:v>
      </x:c>
      <x:c r="S174" s="48" t="str">
        <x:v>1 / 25 / 2 / 50 / 3 / 75 / 4 / 100 / 20%</x:v>
      </x:c>
      <x:c r="T174" s="48" t="str">
        <x:v>“—”表示 6.48b 对象表该级字段为空；脚本型技能需结合证据说明与来源冲突表。</x:v>
      </x:c>
    </x:row>
    <x:row r="175" ht="34" customHeight="1">
      <x:c r="A175" s="18" t="str">
        <x:v>U00F-2</x:v>
      </x:c>
      <x:c r="B175" s="18" t="str">
        <x:v>屠夫</x:v>
      </x:c>
      <x:c r="C175" s="18" t="str">
        <x:v>Butcher</x:v>
      </x:c>
      <x:c r="D175" s="18" t="str">
        <x:v>Flesh Heap</x:v>
      </x:c>
      <x:c r="E175" s="18" t="str">
        <x:v>A06D</x:v>
      </x:c>
      <x:c r="F175" s="18" t="str">
        <x:v>AIdd</x:v>
      </x:c>
      <x:c r="G175" s="48" t="str">
        <x:v>1/1/1/—</x:v>
      </x:c>
      <x:c r="H175" s="48" t="str">
        <x:v>1/1/1/—</x:v>
      </x:c>
      <x:c r="I175" s="48" t="str">
        <x:v>—/—/—/—</x:v>
      </x:c>
      <x:c r="J175" s="48" t="str">
        <x:v>—/—/—/—</x:v>
      </x:c>
      <x:c r="K175" s="48" t="str">
        <x:v>0.96/0.92/0.88/—</x:v>
      </x:c>
      <x:c r="L175" s="48" t="str">
        <x:v>—/—/—/—</x:v>
      </x:c>
      <x:c r="M175" s="48" t="str">
        <x:v>1/1/1/—</x:v>
      </x:c>
      <x:c r="N175" s="48" t="str">
        <x:v>1/1/1/—</x:v>
      </x:c>
      <x:c r="O175" s="48" t="str">
        <x:v>—/—/—/—</x:v>
      </x:c>
      <x:c r="P175" s="48" t="str">
        <x:v>—/—/—/—</x:v>
      </x:c>
      <x:c r="Q175" s="48" t="str">
        <x:v>—/—/—/—</x:v>
      </x:c>
      <x:c r="R175" s="48" t="str">
        <x:v>—/—/—/—</x:v>
      </x:c>
      <x:c r="S175" s="48" t="str">
        <x:v>1 / 4% / 2 / 8% / 3 / 12% / 4 / 16% / 03 / 06 / 6 / 09 / 9 / 12 / 1.2</x:v>
      </x:c>
      <x:c r="T175" s="48" t="str">
        <x:v>“—”表示 6.48b 对象表该级字段为空；脚本型技能需结合证据说明与来源冲突表。</x:v>
      </x:c>
    </x:row>
    <x:row r="176" ht="34" customHeight="1">
      <x:c r="A176" s="18" t="str">
        <x:v>U00F-3</x:v>
      </x:c>
      <x:c r="B176" s="18" t="str">
        <x:v>屠夫</x:v>
      </x:c>
      <x:c r="C176" s="18" t="str">
        <x:v>Butcher</x:v>
      </x:c>
      <x:c r="D176" s="18" t="str">
        <x:v>Dismember</x:v>
      </x:c>
      <x:c r="E176" s="18" t="str">
        <x:v>A0FL</x:v>
      </x:c>
      <x:c r="F176" s="18" t="str">
        <x:v>Amls</x:v>
      </x:c>
      <x:c r="G176" s="48" t="str">
        <x:v>75/125/175</x:v>
      </x:c>
      <x:c r="H176" s="48" t="str">
        <x:v>—/—/—</x:v>
      </x:c>
      <x:c r="I176" s="48" t="str">
        <x:v>—/—/—</x:v>
      </x:c>
      <x:c r="J176" s="48" t="str">
        <x:v>—/—/—</x:v>
      </x:c>
      <x:c r="K176" s="48" t="str">
        <x:v>—/—/—</x:v>
      </x:c>
      <x:c r="L176" s="48" t="str">
        <x:v>—/—/—</x:v>
      </x:c>
      <x:c r="M176" s="48" t="str">
        <x:v>—/—/—</x:v>
      </x:c>
      <x:c r="N176" s="48" t="str">
        <x:v>—/—/—</x:v>
      </x:c>
      <x:c r="O176" s="48" t="str">
        <x:v>—/—/—</x:v>
      </x:c>
      <x:c r="P176" s="48" t="str">
        <x:v>—/—/—</x:v>
      </x:c>
      <x:c r="Q176" s="48" t="str">
        <x:v>B03I,B03I/B03I,B03I/B03I,B03I</x:v>
      </x:c>
      <x:c r="R176" s="48" t="str">
        <x:v>—/—/—</x:v>
      </x:c>
      <x:c r="S176" s="48" t="str">
        <x:v>3 / 1 / 75 / 2 / 125 / 175 / 30</x:v>
      </x:c>
      <x:c r="T176" s="48" t="str">
        <x:v>“—”表示 6.48b 对象表该级字段为空；脚本型技能需结合证据说明与来源冲突表。</x:v>
      </x:c>
    </x:row>
    <x:row r="177" ht="34" customHeight="1">
      <x:c r="A177" s="18" t="str">
        <x:v>U00F-4</x:v>
      </x:c>
      <x:c r="B177" s="18" t="str">
        <x:v>屠夫</x:v>
      </x:c>
      <x:c r="C177" s="18" t="str">
        <x:v>Butcher</x:v>
      </x:c>
      <x:c r="D177" s="18" t="str">
        <x:v>Meat Hook</x:v>
      </x:c>
      <x:c r="E177" s="18" t="str">
        <x:v>A06I</x:v>
      </x:c>
      <x:c r="F177" s="18" t="str">
        <x:v>ANcl</x:v>
      </x:c>
      <x:c r="G177" s="48" t="str">
        <x:v>0.4/0.4/0.4/0.4</x:v>
      </x:c>
      <x:c r="H177" s="48" t="str">
        <x:v>3/3/3/3</x:v>
      </x:c>
      <x:c r="I177" s="48" t="str">
        <x:v>5/5/5/5</x:v>
      </x:c>
      <x:c r="J177" s="48" t="str">
        <x:v>0.98/0.98/0.98/0.98</x:v>
      </x:c>
      <x:c r="K177" s="48" t="str">
        <x:v>1/1/1/1</x:v>
      </x:c>
      <x:c r="L177" s="48" t="str">
        <x:v>channel/channel/channel/channel</x:v>
      </x:c>
      <x:c r="M177" s="48" t="str">
        <x:v>—/—/—/—</x:v>
      </x:c>
      <x:c r="N177" s="48" t="str">
        <x:v>—/—/—/—</x:v>
      </x:c>
      <x:c r="O177" s="48" t="str">
        <x:v>—/—/—/—</x:v>
      </x:c>
      <x:c r="P177" s="48" t="str">
        <x:v>—/—/—/—</x:v>
      </x:c>
      <x:c r="Q177" s="48" t="str">
        <x:v>—/—/—/—</x:v>
      </x:c>
      <x:c r="R177" s="48" t="str">
        <x:v>—/—/—/—</x:v>
      </x:c>
      <x:c r="S177" s="48" t="str">
        <x:v>1 / 400 / 100 / 2 / 600 / 200 / 3 / 800 / 300 / 4 / 1000 / 14</x:v>
      </x:c>
      <x:c r="T177" s="48" t="str">
        <x:v>“—”表示 6.48b 对象表该级字段为空；脚本型技能需结合证据说明与来源冲突表。</x:v>
      </x:c>
    </x:row>
    <x:row r="178" ht="34" customHeight="1">
      <x:c r="A178" s="18" t="str">
        <x:v>U00E-1</x:v>
      </x:c>
      <x:c r="B178" s="18" t="str">
        <x:v>死灵法师</x:v>
      </x:c>
      <x:c r="C178" s="18" t="str">
        <x:v>Necrolyte</x:v>
      </x:c>
      <x:c r="D178" s="18" t="str">
        <x:v>Death Pulse</x:v>
      </x:c>
      <x:c r="E178" s="18" t="str">
        <x:v>A05V</x:v>
      </x:c>
      <x:c r="F178" s="18" t="str">
        <x:v>AEfk</x:v>
      </x:c>
      <x:c r="G178" s="48" t="str">
        <x:v>—/—/—/—</x:v>
      </x:c>
      <x:c r="H178" s="48" t="str">
        <x:v>99999/99999/99999/99999</x:v>
      </x:c>
      <x:c r="I178" s="48" t="str">
        <x:v>—/—/—/—</x:v>
      </x:c>
      <x:c r="J178" s="48" t="str">
        <x:v>100/100/100/100</x:v>
      </x:c>
      <x:c r="K178" s="48" t="str">
        <x:v>—/—/—/—</x:v>
      </x:c>
      <x:c r="L178" s="48" t="str">
        <x:v>—/—/—/—</x:v>
      </x:c>
      <x:c r="M178" s="48" t="str">
        <x:v>—/—/—/—</x:v>
      </x:c>
      <x:c r="N178" s="48" t="str">
        <x:v>—/—/—/—</x:v>
      </x:c>
      <x:c r="O178" s="48" t="str">
        <x:v>—/—/—/—</x:v>
      </x:c>
      <x:c r="P178" s="48" t="str">
        <x:v>—/—/—/—</x:v>
      </x:c>
      <x:c r="Q178" s="48" t="str">
        <x:v>—/—/—/—</x:v>
      </x:c>
      <x:c r="R178" s="48" t="str">
        <x:v>—/—/—/—</x:v>
      </x:c>
      <x:c r="S178" s="48" t="str">
        <x:v>1 / 75 / 50 / 2 / 125 / 3 / 200 / 100 / 4 / 275 / 130 / 8 / 7 / 6 / 5</x:v>
      </x:c>
      <x:c r="T178" s="48" t="str">
        <x:v>“—”表示 6.48b 对象表该级字段为空；脚本型技能需结合证据说明与来源冲突表。</x:v>
      </x:c>
    </x:row>
    <x:row r="179" ht="34" customHeight="1">
      <x:c r="A179" s="18" t="str">
        <x:v>U00E-2</x:v>
      </x:c>
      <x:c r="B179" s="18" t="str">
        <x:v>死灵法师</x:v>
      </x:c>
      <x:c r="C179" s="18" t="str">
        <x:v>Necrolyte</x:v>
      </x:c>
      <x:c r="D179" s="18" t="str">
        <x:v>Diffusion Aura</x:v>
      </x:c>
      <x:c r="E179" s="18" t="str">
        <x:v>A0MC</x:v>
      </x:c>
      <x:c r="F179" s="18" t="str">
        <x:v>—</x:v>
      </x:c>
      <x:c r="G179" s="48" t="str">
        <x:v>—/—/—/—</x:v>
      </x:c>
      <x:c r="H179" s="48" t="str">
        <x:v>—/—/—/—</x:v>
      </x:c>
      <x:c r="I179" s="48" t="str">
        <x:v>—/—/—/—</x:v>
      </x:c>
      <x:c r="J179" s="48" t="str">
        <x:v>—/—/—/—</x:v>
      </x:c>
      <x:c r="K179" s="48" t="str">
        <x:v>—/—/—/—</x:v>
      </x:c>
      <x:c r="L179" s="48" t="str">
        <x:v>—/—/—/—</x:v>
      </x:c>
      <x:c r="M179" s="48" t="str">
        <x:v>—/—/—/—</x:v>
      </x:c>
      <x:c r="N179" s="48" t="str">
        <x:v>—/—/—/—</x:v>
      </x:c>
      <x:c r="O179" s="48" t="str">
        <x:v>—/—/—/—</x:v>
      </x:c>
      <x:c r="P179" s="48" t="str">
        <x:v>—/—/—/—</x:v>
      </x:c>
      <x:c r="Q179" s="48" t="str">
        <x:v>—/—/—/—</x:v>
      </x:c>
      <x:c r="R179" s="48" t="str">
        <x:v>—/—/—/—</x:v>
      </x:c>
      <x:c r="S179" s="48" t="str">
        <x:v>450 / 1 / 9% / 2 / 18% / 3 / 27% / 4 / 36%</x:v>
      </x:c>
      <x:c r="T179" s="48" t="str">
        <x:v>“—”表示 6.48b 对象表该级字段为空；脚本型技能需结合证据说明与来源冲突表。</x:v>
      </x:c>
    </x:row>
    <x:row r="180" ht="34" customHeight="1">
      <x:c r="A180" s="18" t="str">
        <x:v>U00E-3</x:v>
      </x:c>
      <x:c r="B180" s="18" t="str">
        <x:v>死灵法师</x:v>
      </x:c>
      <x:c r="C180" s="18" t="str">
        <x:v>Necrolyte</x:v>
      </x:c>
      <x:c r="D180" s="18" t="str">
        <x:v>Sadist</x:v>
      </x:c>
      <x:c r="E180" s="18" t="str">
        <x:v>A060</x:v>
      </x:c>
      <x:c r="F180" s="18" t="str">
        <x:v>AHab</x:v>
      </x:c>
      <x:c r="G180" s="48" t="str">
        <x:v>0.01/0.01/0.01/0.01</x:v>
      </x:c>
      <x:c r="H180" s="48" t="str">
        <x:v>—/—/—/—</x:v>
      </x:c>
      <x:c r="I180" s="48" t="str">
        <x:v>—/—/—/—</x:v>
      </x:c>
      <x:c r="J180" s="48" t="str">
        <x:v>—/—/—/—</x:v>
      </x:c>
      <x:c r="K180" s="48" t="str">
        <x:v>—/—/—/—</x:v>
      </x:c>
      <x:c r="L180" s="48" t="str">
        <x:v>—/—/—/—</x:v>
      </x:c>
      <x:c r="M180" s="48" t="str">
        <x:v>—/—/—/—</x:v>
      </x:c>
      <x:c r="N180" s="48" t="str">
        <x:v>—/—/—/—</x:v>
      </x:c>
      <x:c r="O180" s="48" t="str">
        <x:v>—/—/—/—</x:v>
      </x:c>
      <x:c r="P180" s="48" t="str">
        <x:v>—/—/—/—</x:v>
      </x:c>
      <x:c r="Q180" s="48" t="str">
        <x:v>B02R/B02R/B02R/B02R</x:v>
      </x:c>
      <x:c r="R180" s="48" t="str">
        <x:v>—/—/—/—</x:v>
      </x:c>
      <x:c r="S180" s="48" t="str">
        <x:v>1 / 12 / 2 / 24 / 3 / 36 / 4 / 48</x:v>
      </x:c>
      <x:c r="T180" s="48" t="str">
        <x:v>“—”表示 6.48b 对象表该级字段为空；脚本型技能需结合证据说明与来源冲突表。</x:v>
      </x:c>
    </x:row>
    <x:row r="181" ht="34" customHeight="1">
      <x:c r="A181" s="18" t="str">
        <x:v>U00E-4</x:v>
      </x:c>
      <x:c r="B181" s="18" t="str">
        <x:v>死灵法师</x:v>
      </x:c>
      <x:c r="C181" s="18" t="str">
        <x:v>Necrolyte</x:v>
      </x:c>
      <x:c r="D181" s="18" t="str">
        <x:v>Reaper's Scythe</x:v>
      </x:c>
      <x:c r="E181" s="18" t="str">
        <x:v>A067</x:v>
      </x:c>
      <x:c r="F181" s="18" t="str">
        <x:v>AHtb</x:v>
      </x:c>
      <x:c r="G181" s="48" t="str">
        <x:v>—/—/—</x:v>
      </x:c>
      <x:c r="H181" s="48" t="str">
        <x:v>—/—/—</x:v>
      </x:c>
      <x:c r="I181" s="48" t="str">
        <x:v>—/—/—</x:v>
      </x:c>
      <x:c r="J181" s="48" t="str">
        <x:v>—/—/—</x:v>
      </x:c>
      <x:c r="K181" s="48" t="str">
        <x:v>—/—/—</x:v>
      </x:c>
      <x:c r="L181" s="48" t="str">
        <x:v>—/—/—</x:v>
      </x:c>
      <x:c r="M181" s="48" t="str">
        <x:v>—/—/—</x:v>
      </x:c>
      <x:c r="N181" s="48" t="str">
        <x:v>—/—/—</x:v>
      </x:c>
      <x:c r="O181" s="48" t="str">
        <x:v>—/—/—</x:v>
      </x:c>
      <x:c r="P181" s="48" t="str">
        <x:v>—/—/—</x:v>
      </x:c>
      <x:c r="Q181" s="48" t="str">
        <x:v>B02S/B02S/B02S</x:v>
      </x:c>
      <x:c r="R181" s="48" t="str">
        <x:v>—/—/—</x:v>
      </x:c>
      <x:c r="S181" s="48" t="str">
        <x:v>1.5 / 1 / 4 / 2 / 6 / 3 / 9 / 150 / 120 / 75 / 70</x:v>
      </x:c>
      <x:c r="T181" s="48" t="str">
        <x:v>“—”表示 6.48b 对象表该级字段为空；脚本型技能需结合证据说明与来源冲突表。</x:v>
      </x:c>
    </x:row>
    <x:row r="182" ht="34" customHeight="1">
      <x:c r="A182" s="18" t="str">
        <x:v>Oshd-1</x:v>
      </x:c>
      <x:c r="B182" s="18" t="str">
        <x:v>痛苦之源</x:v>
      </x:c>
      <x:c r="C182" s="18" t="str">
        <x:v>Bane Elemental</x:v>
      </x:c>
      <x:c r="D182" s="18" t="str">
        <x:v>Brain Sap</x:v>
      </x:c>
      <x:c r="E182" s="18" t="str">
        <x:v>A0GK</x:v>
      </x:c>
      <x:c r="F182" s="18" t="str">
        <x:v>AOcl</x:v>
      </x:c>
      <x:c r="G182" s="48" t="str">
        <x:v>—/—/—/—</x:v>
      </x:c>
      <x:c r="H182" s="48" t="str">
        <x:v>1/1/1/1</x:v>
      </x:c>
      <x:c r="I182" s="48" t="str">
        <x:v>0.15/0.15/0.15/0.15</x:v>
      </x:c>
      <x:c r="J182" s="48" t="str">
        <x:v>—/—/—/—</x:v>
      </x:c>
      <x:c r="K182" s="48" t="str">
        <x:v>—/—/—/—</x:v>
      </x:c>
      <x:c r="L182" s="48" t="str">
        <x:v>—/—/—/—</x:v>
      </x:c>
      <x:c r="M182" s="48" t="str">
        <x:v>—/—/—/—</x:v>
      </x:c>
      <x:c r="N182" s="48" t="str">
        <x:v>—/—/—/—</x:v>
      </x:c>
      <x:c r="O182" s="48" t="str">
        <x:v>—/—/—/—</x:v>
      </x:c>
      <x:c r="P182" s="48" t="str">
        <x:v>—/—/—/—</x:v>
      </x:c>
      <x:c r="Q182" s="48" t="str">
        <x:v>—/—/—/—</x:v>
      </x:c>
      <x:c r="R182" s="48" t="str">
        <x:v>—/—/—/—</x:v>
      </x:c>
      <x:c r="S182" s="48" t="str">
        <x:v>1 / 75 / 2 / 150 / 3 / 225 / 4 / 300 / 20</x:v>
      </x:c>
      <x:c r="T182" s="48" t="str">
        <x:v>“—”表示 6.48b 对象表该级字段为空；脚本型技能需结合证据说明与来源冲突表。</x:v>
      </x:c>
    </x:row>
    <x:row r="183" ht="34" customHeight="1">
      <x:c r="A183" s="18" t="str">
        <x:v>Oshd-2</x:v>
      </x:c>
      <x:c r="B183" s="18" t="str">
        <x:v>痛苦之源</x:v>
      </x:c>
      <x:c r="C183" s="18" t="str">
        <x:v>Bane Elemental</x:v>
      </x:c>
      <x:c r="D183" s="18" t="str">
        <x:v>Nightmare</x:v>
      </x:c>
      <x:c r="E183" s="18" t="str">
        <x:v>A04Y</x:v>
      </x:c>
      <x:c r="F183" s="18" t="str">
        <x:v>AUsl</x:v>
      </x:c>
      <x:c r="G183" s="48" t="str">
        <x:v>1/1/1/1</x:v>
      </x:c>
      <x:c r="H183" s="48" t="str">
        <x:v>—/—/—/—</x:v>
      </x:c>
      <x:c r="I183" s="48" t="str">
        <x:v>—/—/—/—</x:v>
      </x:c>
      <x:c r="J183" s="48" t="str">
        <x:v>—/—/—/—</x:v>
      </x:c>
      <x:c r="K183" s="48" t="str">
        <x:v>—/—/—/—</x:v>
      </x:c>
      <x:c r="L183" s="48" t="str">
        <x:v>—/—/—/—</x:v>
      </x:c>
      <x:c r="M183" s="48" t="str">
        <x:v>—/—/—/—</x:v>
      </x:c>
      <x:c r="N183" s="48" t="str">
        <x:v>—/—/—/—</x:v>
      </x:c>
      <x:c r="O183" s="48" t="str">
        <x:v>—/—/—/—</x:v>
      </x:c>
      <x:c r="P183" s="48" t="str">
        <x:v>—/—/—/—</x:v>
      </x:c>
      <x:c r="Q183" s="48" t="str">
        <x:v>B02F,BUsp,Bust/B02F,BUsp,Bust/B02F,BUsp,Bust/B02F,BUsp,Bust</x:v>
      </x:c>
      <x:c r="R183" s="48" t="str">
        <x:v>—/—/—/—</x:v>
      </x:c>
      <x:c r="S183" s="48" t="str">
        <x:v>20 / 1 / 4 / 2 / 5 / 3 / 6 / 7 / 15</x:v>
      </x:c>
      <x:c r="T183" s="48" t="str">
        <x:v>“—”表示 6.48b 对象表该级字段为空；脚本型技能需结合证据说明与来源冲突表。</x:v>
      </x:c>
    </x:row>
    <x:row r="184" ht="34" customHeight="1">
      <x:c r="A184" s="18" t="str">
        <x:v>Oshd-3</x:v>
      </x:c>
      <x:c r="B184" s="18" t="str">
        <x:v>痛苦之源</x:v>
      </x:c>
      <x:c r="C184" s="18" t="str">
        <x:v>Bane Elemental</x:v>
      </x:c>
      <x:c r="D184" s="18" t="str">
        <x:v>Fiend's Grip</x:v>
      </x:c>
      <x:c r="E184" s="18" t="str">
        <x:v>A02Q</x:v>
      </x:c>
      <x:c r="F184" s="18" t="str">
        <x:v>Amls</x:v>
      </x:c>
      <x:c r="G184" s="48" t="str">
        <x:v>100/155/215</x:v>
      </x:c>
      <x:c r="H184" s="48" t="str">
        <x:v>—/—/—</x:v>
      </x:c>
      <x:c r="I184" s="48" t="str">
        <x:v>—/—/—</x:v>
      </x:c>
      <x:c r="J184" s="48" t="str">
        <x:v>—/—/—</x:v>
      </x:c>
      <x:c r="K184" s="48" t="str">
        <x:v>—/—/—</x:v>
      </x:c>
      <x:c r="L184" s="48" t="str">
        <x:v>—/—/—</x:v>
      </x:c>
      <x:c r="M184" s="48" t="str">
        <x:v>—/—/—</x:v>
      </x:c>
      <x:c r="N184" s="48" t="str">
        <x:v>—/—/—</x:v>
      </x:c>
      <x:c r="O184" s="48" t="str">
        <x:v>—/—/—</x:v>
      </x:c>
      <x:c r="P184" s="48" t="str">
        <x:v>—/—/—</x:v>
      </x:c>
      <x:c r="Q184" s="48" t="str">
        <x:v>B04B,B04B/B04B,B04B/B04B,B04B</x:v>
      </x:c>
      <x:c r="R184" s="48" t="str">
        <x:v>—/—/—</x:v>
      </x:c>
      <x:c r="S184" s="48" t="str">
        <x:v>5 / 1 / 100 / 40 / 2 / 155 / 60 / 3 / 215 / 80 / 120</x:v>
      </x:c>
      <x:c r="T184" s="48" t="str">
        <x:v>“—”表示 6.48b 对象表该级字段为空；脚本型技能需结合证据说明与来源冲突表。</x:v>
      </x:c>
    </x:row>
    <x:row r="185" ht="34" customHeight="1">
      <x:c r="A185" s="18" t="str">
        <x:v>Oshd-4</x:v>
      </x:c>
      <x:c r="B185" s="18" t="str">
        <x:v>痛苦之源</x:v>
      </x:c>
      <x:c r="C185" s="18" t="str">
        <x:v>Bane Elemental</x:v>
      </x:c>
      <x:c r="D185" s="18" t="str">
        <x:v>Enfeeble</x:v>
      </x:c>
      <x:c r="E185" s="18" t="str">
        <x:v>A04V</x:v>
      </x:c>
      <x:c r="F185" s="18" t="str">
        <x:v>Ainf</x:v>
      </x:c>
      <x:c r="G185" s="48" t="str">
        <x:v>-0.2/-0.4/-0.6/—</x:v>
      </x:c>
      <x:c r="H185" s="48" t="str">
        <x:v>—/—/—/—</x:v>
      </x:c>
      <x:c r="I185" s="48" t="str">
        <x:v>500/500/500/—</x:v>
      </x:c>
      <x:c r="J185" s="48" t="str">
        <x:v>-1/-2/-3/—</x:v>
      </x:c>
      <x:c r="K185" s="48" t="str">
        <x:v>—/—/—/—</x:v>
      </x:c>
      <x:c r="L185" s="48" t="str">
        <x:v>—/—/—/—</x:v>
      </x:c>
      <x:c r="M185" s="48" t="str">
        <x:v>—/—/—/—</x:v>
      </x:c>
      <x:c r="N185" s="48" t="str">
        <x:v>—/—/—/—</x:v>
      </x:c>
      <x:c r="O185" s="48" t="str">
        <x:v>—/—/—/—</x:v>
      </x:c>
      <x:c r="P185" s="48" t="str">
        <x:v>—/—/—/—</x:v>
      </x:c>
      <x:c r="Q185" s="48" t="str">
        <x:v>B02D/B02D/B02D/—</x:v>
      </x:c>
      <x:c r="R185" s="48" t="str">
        <x:v>—/—/—/—</x:v>
      </x:c>
      <x:c r="S185" s="48" t="str">
        <x:v>20 / 1 / 20% / 2 / 40% / 3 / 60% / 4 / 80% / 15</x:v>
      </x:c>
      <x:c r="T185" s="48" t="str">
        <x:v>“—”表示 6.48b 对象表该级字段为空；脚本型技能需结合证据说明与来源冲突表。</x:v>
      </x:c>
    </x:row>
    <x:row r="186" ht="34" customHeight="1">
      <x:c r="A186" s="18" t="str">
        <x:v>Ofar-1</x:v>
      </x:c>
      <x:c r="B186" s="18" t="str">
        <x:v>潮汐猎人</x:v>
      </x:c>
      <x:c r="C186" s="18" t="str">
        <x:v>Tidehunter</x:v>
      </x:c>
      <x:c r="D186" s="18" t="str">
        <x:v>Gush</x:v>
      </x:c>
      <x:c r="E186" s="18" t="str">
        <x:v>A046</x:v>
      </x:c>
      <x:c r="F186" s="18" t="str">
        <x:v>ANab</x:v>
      </x:c>
      <x:c r="G186" s="48" t="str">
        <x:v>-0.4/-0.4/-0.4/-0.4</x:v>
      </x:c>
      <x:c r="H186" s="48" t="str">
        <x:v>—/—/—/—</x:v>
      </x:c>
      <x:c r="I186" s="48" t="str">
        <x:v>2/3/4/5</x:v>
      </x:c>
      <x:c r="J186" s="48" t="str">
        <x:v>—/—/—/—</x:v>
      </x:c>
      <x:c r="K186" s="48" t="str">
        <x:v>—/—/—/—</x:v>
      </x:c>
      <x:c r="L186" s="48" t="str">
        <x:v>1/1/1/1</x:v>
      </x:c>
      <x:c r="M186" s="48" t="str">
        <x:v>—/—/—/—</x:v>
      </x:c>
      <x:c r="N186" s="48" t="str">
        <x:v>—/—/—/—</x:v>
      </x:c>
      <x:c r="O186" s="48" t="str">
        <x:v>—/—/—/—</x:v>
      </x:c>
      <x:c r="P186" s="48" t="str">
        <x:v>—/—/—/—</x:v>
      </x:c>
      <x:c r="Q186" s="48" t="str">
        <x:v>BNab/BNab/BNab/BNab</x:v>
      </x:c>
      <x:c r="R186" s="48" t="str">
        <x:v>—/—/—/—</x:v>
      </x:c>
      <x:c r="S186" s="48" t="str">
        <x:v>40% / 4 / 1 / 2 / 110 / 3 / 160 / 210 / 5 / 260 / 12</x:v>
      </x:c>
      <x:c r="T186" s="48" t="str">
        <x:v>“—”表示 6.48b 对象表该级字段为空；脚本型技能需结合证据说明与来源冲突表。</x:v>
      </x:c>
    </x:row>
    <x:row r="187" ht="34" customHeight="1">
      <x:c r="A187" s="18" t="str">
        <x:v>Ofar-2</x:v>
      </x:c>
      <x:c r="B187" s="18" t="str">
        <x:v>潮汐猎人</x:v>
      </x:c>
      <x:c r="C187" s="18" t="str">
        <x:v>Tidehunter</x:v>
      </x:c>
      <x:c r="D187" s="18" t="str">
        <x:v>Kraken Shell</x:v>
      </x:c>
      <x:c r="E187" s="18" t="str">
        <x:v>A04E</x:v>
      </x:c>
      <x:c r="F187" s="18" t="str">
        <x:v>Assk</x:v>
      </x:c>
      <x:c r="G187" s="48" t="str">
        <x:v>100/100/100/—</x:v>
      </x:c>
      <x:c r="H187" s="48" t="str">
        <x:v>—/—/—/—</x:v>
      </x:c>
      <x:c r="I187" s="48" t="str">
        <x:v>7/14/21/—</x:v>
      </x:c>
      <x:c r="J187" s="48" t="str">
        <x:v>1/1/1/—</x:v>
      </x:c>
      <x:c r="K187" s="48" t="str">
        <x:v>1/1/1/—</x:v>
      </x:c>
      <x:c r="L187" s="48" t="str">
        <x:v>—/—/—/—</x:v>
      </x:c>
      <x:c r="M187" s="48" t="str">
        <x:v>—/—/—/—</x:v>
      </x:c>
      <x:c r="N187" s="48" t="str">
        <x:v>—/—/—/—</x:v>
      </x:c>
      <x:c r="O187" s="48" t="str">
        <x:v>—/—/—/—</x:v>
      </x:c>
      <x:c r="P187" s="48" t="str">
        <x:v>—/—/—/—</x:v>
      </x:c>
      <x:c r="Q187" s="48" t="str">
        <x:v>—/—/—/—</x:v>
      </x:c>
      <x:c r="R187" s="48" t="str">
        <x:v>—/—/—/—</x:v>
      </x:c>
      <x:c r="S187" s="48" t="str">
        <x:v>1 / 7 / 11 / 2 / 14 / 10 / 3 / 21 / 9 / 4 / 28 / 8</x:v>
      </x:c>
      <x:c r="T187" s="48" t="str">
        <x:v>“—”表示 6.48b 对象表该级字段为空；脚本型技能需结合证据说明与来源冲突表。</x:v>
      </x:c>
    </x:row>
    <x:row r="188" ht="34" customHeight="1">
      <x:c r="A188" s="18" t="str">
        <x:v>Ofar-3</x:v>
      </x:c>
      <x:c r="B188" s="18" t="str">
        <x:v>潮汐猎人</x:v>
      </x:c>
      <x:c r="C188" s="18" t="str">
        <x:v>Tidehunter</x:v>
      </x:c>
      <x:c r="D188" s="18" t="str">
        <x:v>Anchor Smash</x:v>
      </x:c>
      <x:c r="E188" s="18" t="str">
        <x:v>A044</x:v>
      </x:c>
      <x:c r="F188" s="18" t="str">
        <x:v>Awar</x:v>
      </x:c>
      <x:c r="G188" s="48" t="str">
        <x:v>20/20/20/—</x:v>
      </x:c>
      <x:c r="H188" s="48" t="str">
        <x:v>75/115/155/—</x:v>
      </x:c>
      <x:c r="I188" s="48" t="str">
        <x:v>200/200/200/—</x:v>
      </x:c>
      <x:c r="J188" s="48" t="str">
        <x:v>325/325/325/—</x:v>
      </x:c>
      <x:c r="K188" s="48" t="str">
        <x:v>—/—/—/—</x:v>
      </x:c>
      <x:c r="L188" s="48" t="str">
        <x:v>—/—/—/—</x:v>
      </x:c>
      <x:c r="M188" s="48" t="str">
        <x:v>—/—/—/—</x:v>
      </x:c>
      <x:c r="N188" s="48" t="str">
        <x:v>—/—/—/—</x:v>
      </x:c>
      <x:c r="O188" s="48" t="str">
        <x:v>—/—/—/—</x:v>
      </x:c>
      <x:c r="P188" s="48" t="str">
        <x:v>—/—/—/—</x:v>
      </x:c>
      <x:c r="Q188" s="48" t="str">
        <x:v>—/—/—/—</x:v>
      </x:c>
      <x:c r="R188" s="48" t="str">
        <x:v>—/—/—/—</x:v>
      </x:c>
      <x:c r="S188" s="48" t="str">
        <x:v>20% / 1 / 75 / 2 / 115 / 3 / 155 / 4 / 200</x:v>
      </x:c>
      <x:c r="T188" s="48" t="str">
        <x:v>“—”表示 6.48b 对象表该级字段为空；脚本型技能需结合证据说明与来源冲突表。</x:v>
      </x:c>
    </x:row>
    <x:row r="189" ht="34" customHeight="1">
      <x:c r="A189" s="18" t="str">
        <x:v>Ofar-4</x:v>
      </x:c>
      <x:c r="B189" s="18" t="str">
        <x:v>潮汐猎人</x:v>
      </x:c>
      <x:c r="C189" s="18" t="str">
        <x:v>Tidehunter</x:v>
      </x:c>
      <x:c r="D189" s="18" t="str">
        <x:v>Ravage</x:v>
      </x:c>
      <x:c r="E189" s="18" t="str">
        <x:v>A03Z</x:v>
      </x:c>
      <x:c r="F189" s="18" t="str">
        <x:v>AOws</x:v>
      </x:c>
      <x:c r="G189" s="48" t="str">
        <x:v>—/—/—</x:v>
      </x:c>
      <x:c r="H189" s="48" t="str">
        <x:v>—/—/—</x:v>
      </x:c>
      <x:c r="I189" s="48" t="str">
        <x:v>—/—/—</x:v>
      </x:c>
      <x:c r="J189" s="48" t="str">
        <x:v>—/—/—</x:v>
      </x:c>
      <x:c r="K189" s="48" t="str">
        <x:v>—/—/—</x:v>
      </x:c>
      <x:c r="L189" s="48" t="str">
        <x:v>—/—/—</x:v>
      </x:c>
      <x:c r="M189" s="48" t="str">
        <x:v>—/—/—</x:v>
      </x:c>
      <x:c r="N189" s="48" t="str">
        <x:v>—/—/—</x:v>
      </x:c>
      <x:c r="O189" s="48" t="str">
        <x:v>—/—/—</x:v>
      </x:c>
      <x:c r="P189" s="48" t="str">
        <x:v>—/—/—</x:v>
      </x:c>
      <x:c r="Q189" s="48" t="str">
        <x:v>BPSE/BPSE/BPSE</x:v>
      </x:c>
      <x:c r="R189" s="48" t="str">
        <x:v>—/—/—</x:v>
      </x:c>
      <x:c r="S189" s="48" t="str">
        <x:v>1 / 250 / 1.2 / 2 / 350 / 1.5 / 3 / 450 / 1.8 / 150 / 4</x:v>
      </x:c>
      <x:c r="T189" s="48" t="str">
        <x:v>“—”表示 6.48b 对象表该级字段为空；脚本型技能需结合证据说明与来源冲突表。</x:v>
      </x:c>
    </x:row>
    <x:row r="190" ht="34" customHeight="1">
      <x:c r="A190" s="18" t="str">
        <x:v>H00H-1</x:v>
      </x:c>
      <x:c r="B190" s="18" t="str">
        <x:v>遗忘法师</x:v>
      </x:c>
      <x:c r="C190" s="18" t="str">
        <x:v>Oblivion</x:v>
      </x:c>
      <x:c r="D190" s="18" t="str">
        <x:v>Nether Blast</x:v>
      </x:c>
      <x:c r="E190" s="18" t="str">
        <x:v>A0MT</x:v>
      </x:c>
      <x:c r="F190" s="18" t="str">
        <x:v>AHbz</x:v>
      </x:c>
      <x:c r="G190" s="48" t="str">
        <x:v>1/1/1/1</x:v>
      </x:c>
      <x:c r="H190" s="48" t="str">
        <x:v>100/175/250/325</x:v>
      </x:c>
      <x:c r="I190" s="48" t="str">
        <x:v>8/8/8/8</x:v>
      </x:c>
      <x:c r="J190" s="48" t="str">
        <x:v>0.33/0.33/0.33/0.33</x:v>
      </x:c>
      <x:c r="K190" s="48" t="str">
        <x:v>—/—/—/—</x:v>
      </x:c>
      <x:c r="L190" s="48" t="str">
        <x:v>9999/9999/9999/9999</x:v>
      </x:c>
      <x:c r="M190" s="48" t="str">
        <x:v>—/—/—/—</x:v>
      </x:c>
      <x:c r="N190" s="48" t="str">
        <x:v>—/—/—/—</x:v>
      </x:c>
      <x:c r="O190" s="48" t="str">
        <x:v>—/—/—/—</x:v>
      </x:c>
      <x:c r="P190" s="48" t="str">
        <x:v>—/—/—/—</x:v>
      </x:c>
      <x:c r="Q190" s="48" t="str">
        <x:v>BHbd,BHbz/BHbd,BHbz/BHbd,BHbz/BHbd,BHbz</x:v>
      </x:c>
      <x:c r="R190" s="48" t="str">
        <x:v>XHbz/XHbz/XHbz/XHbz</x:v>
      </x:c>
      <x:c r="S190" s="48" t="str">
        <x:v>1 / 100 / 2 / 175 / 3 / 250 / 4 / 325 / 5.5 / 40 / 60 / 80</x:v>
      </x:c>
      <x:c r="T190" s="48" t="str">
        <x:v>“—”表示 6.48b 对象表该级字段为空；脚本型技能需结合证据说明与来源冲突表。</x:v>
      </x:c>
    </x:row>
    <x:row r="191" ht="34" customHeight="1">
      <x:c r="A191" s="18" t="str">
        <x:v>H00H-2</x:v>
      </x:c>
      <x:c r="B191" s="18" t="str">
        <x:v>遗忘法师</x:v>
      </x:c>
      <x:c r="C191" s="18" t="str">
        <x:v>Oblivion</x:v>
      </x:c>
      <x:c r="D191" s="18" t="str">
        <x:v>Decrepify</x:v>
      </x:c>
      <x:c r="E191" s="18" t="str">
        <x:v>A0CE</x:v>
      </x:c>
      <x:c r="F191" s="18" t="str">
        <x:v>AHbn</x:v>
      </x:c>
      <x:c r="G191" s="48" t="str">
        <x:v>0.5/0.5/0.5/0.5</x:v>
      </x:c>
      <x:c r="H191" s="48" t="str">
        <x:v>—/—/—/—</x:v>
      </x:c>
      <x:c r="I191" s="48" t="str">
        <x:v>—/—/—/—</x:v>
      </x:c>
      <x:c r="J191" s="48" t="str">
        <x:v>—/—/—/—</x:v>
      </x:c>
      <x:c r="K191" s="48" t="str">
        <x:v>—/—/—/—</x:v>
      </x:c>
      <x:c r="L191" s="48" t="str">
        <x:v>—/—/—/—</x:v>
      </x:c>
      <x:c r="M191" s="48" t="str">
        <x:v>—/—/—/—</x:v>
      </x:c>
      <x:c r="N191" s="48" t="str">
        <x:v>—/—/—/—</x:v>
      </x:c>
      <x:c r="O191" s="48" t="str">
        <x:v>—/—/—/—</x:v>
      </x:c>
      <x:c r="P191" s="48" t="str">
        <x:v>—/—/—/—</x:v>
      </x:c>
      <x:c r="Q191" s="48" t="str">
        <x:v>B01N/B01N/B01N/B01N</x:v>
      </x:c>
      <x:c r="R191" s="48" t="str">
        <x:v>—/—/—/—</x:v>
      </x:c>
      <x:c r="S191" s="48" t="str">
        <x:v>50% / 44% / 1 / 2 / 2.5 / 3 / 4 / 3.5 / 13 / 11 / 9 / 7</x:v>
      </x:c>
      <x:c r="T191" s="48" t="str">
        <x:v>“—”表示 6.48b 对象表该级字段为空；脚本型技能需结合证据说明与来源冲突表。</x:v>
      </x:c>
    </x:row>
    <x:row r="192" ht="34" customHeight="1">
      <x:c r="A192" s="18" t="str">
        <x:v>H00H-3</x:v>
      </x:c>
      <x:c r="B192" s="18" t="str">
        <x:v>遗忘法师</x:v>
      </x:c>
      <x:c r="C192" s="18" t="str">
        <x:v>Oblivion</x:v>
      </x:c>
      <x:c r="D192" s="18" t="str">
        <x:v>Nether Ward</x:v>
      </x:c>
      <x:c r="E192" s="18" t="str">
        <x:v>A09D</x:v>
      </x:c>
      <x:c r="F192" s="18" t="str">
        <x:v>ANsg</x:v>
      </x:c>
      <x:c r="G192" s="48" t="str">
        <x:v>1/1/1/1</x:v>
      </x:c>
      <x:c r="H192" s="48" t="str">
        <x:v>—/—/—/—</x:v>
      </x:c>
      <x:c r="I192" s="48" t="str">
        <x:v>—/—/—/—</x:v>
      </x:c>
      <x:c r="J192" s="48" t="str">
        <x:v>—/—/—/—</x:v>
      </x:c>
      <x:c r="K192" s="48" t="str">
        <x:v>—/—/—/—</x:v>
      </x:c>
      <x:c r="L192" s="48" t="str">
        <x:v>—/—/—/—</x:v>
      </x:c>
      <x:c r="M192" s="48" t="str">
        <x:v>—/—/—/—</x:v>
      </x:c>
      <x:c r="N192" s="48" t="str">
        <x:v>—/—/—/—</x:v>
      </x:c>
      <x:c r="O192" s="48" t="str">
        <x:v>—/—/—/—</x:v>
      </x:c>
      <x:c r="P192" s="48" t="str">
        <x:v>o00M/o00L/o00O/o00N</x:v>
      </x:c>
      <x:c r="Q192" s="48" t="str">
        <x:v>B02B/B02B/B02B/B02B</x:v>
      </x:c>
      <x:c r="R192" s="48" t="str">
        <x:v>—/—/—/—</x:v>
      </x:c>
      <x:c r="S192" s="48" t="str">
        <x:v>25 / 35 / 1 / 75 / 150% / 0.75 / 700 / 2 / 150 / 300% / 1000 / 3 / 225 / 450% / 1.25 / 1300 / 4 / 300 / 600% / 1.5 / 1600</x:v>
      </x:c>
      <x:c r="T192" s="48" t="str">
        <x:v>“—”表示 6.48b 对象表该级字段为空；脚本型技能需结合证据说明与来源冲突表。</x:v>
      </x:c>
    </x:row>
    <x:row r="193" ht="34" customHeight="1">
      <x:c r="A193" s="18" t="str">
        <x:v>H00H-4</x:v>
      </x:c>
      <x:c r="B193" s="18" t="str">
        <x:v>遗忘法师</x:v>
      </x:c>
      <x:c r="C193" s="18" t="str">
        <x:v>Oblivion</x:v>
      </x:c>
      <x:c r="D193" s="18" t="str">
        <x:v>Life Drain</x:v>
      </x:c>
      <x:c r="E193" s="18" t="str">
        <x:v>A0CC</x:v>
      </x:c>
      <x:c r="F193" s="18" t="str">
        <x:v>AHdr</x:v>
      </x:c>
      <x:c r="G193" s="48" t="str">
        <x:v>23.75/35/46.25</x:v>
      </x:c>
      <x:c r="H193" s="48" t="str">
        <x:v>—/—/—</x:v>
      </x:c>
      <x:c r="I193" s="48" t="str">
        <x:v>0.25/0.25/0.25</x:v>
      </x:c>
      <x:c r="J193" s="48" t="str">
        <x:v>—/—/—</x:v>
      </x:c>
      <x:c r="K193" s="48" t="str">
        <x:v>—/—/—</x:v>
      </x:c>
      <x:c r="L193" s="48" t="str">
        <x:v>—/—/—</x:v>
      </x:c>
      <x:c r="M193" s="48" t="str">
        <x:v>—/—/—</x:v>
      </x:c>
      <x:c r="N193" s="48" t="str">
        <x:v>—/—/—</x:v>
      </x:c>
      <x:c r="O193" s="48" t="str">
        <x:v>—/—/—</x:v>
      </x:c>
      <x:c r="P193" s="48" t="str">
        <x:v>—/—/—</x:v>
      </x:c>
      <x:c r="Q193" s="48" t="str">
        <x:v>Bdcb,Bdcl,Bdcm,Bdtb,Bdtl,Bdtm,Bdbb,Bdbl,Bdbm/Bdcb,Bdcl,Bdcm,Bdtb,Bdtl,Bdtm,Bdbb,Bdbl,Bdbm/Bdcb,Bdcl,Bdcm,Bdtb,Bdtl,Bdtm,Bdbb,Bdbl,Bdbm</x:v>
      </x:c>
      <x:c r="R193" s="48" t="str">
        <x:v>—/—/—</x:v>
      </x:c>
      <x:c r="S193" s="48" t="str">
        <x:v>9 / 1 / 95 / 2 / 140 / 3 / 185 / 22</x:v>
      </x:c>
      <x:c r="T193" s="48" t="str">
        <x:v>“—”表示 6.48b 对象表该级字段为空；脚本型技能需结合证据说明与来源冲突表。</x:v>
      </x:c>
    </x:row>
    <x:row r="194" ht="34" customHeight="1">
      <x:c r="A194" s="18" t="str">
        <x:v>H00K-1</x:v>
      </x:c>
      <x:c r="B194" s="18" t="str">
        <x:v>哥布林工程师</x:v>
      </x:c>
      <x:c r="C194" s="18" t="str">
        <x:v>Goblin Techies</x:v>
      </x:c>
      <x:c r="D194" s="18" t="str">
        <x:v>Stasis Trap</x:v>
      </x:c>
      <x:c r="E194" s="18" t="str">
        <x:v>A06H</x:v>
      </x:c>
      <x:c r="F194" s="18" t="str">
        <x:v>Asta</x:v>
      </x:c>
      <x:c r="G194" s="48" t="str">
        <x:v>2/2/2/—</x:v>
      </x:c>
      <x:c r="H194" s="48" t="str">
        <x:v>200/200/200/—</x:v>
      </x:c>
      <x:c r="I194" s="48" t="str">
        <x:v>450/450/450/—</x:v>
      </x:c>
      <x:c r="J194" s="48" t="str">
        <x:v>3/4/5/—</x:v>
      </x:c>
      <x:c r="K194" s="48" t="str">
        <x:v>—/—/—/—</x:v>
      </x:c>
      <x:c r="L194" s="48" t="str">
        <x:v>—/—/—/—</x:v>
      </x:c>
      <x:c r="M194" s="48" t="str">
        <x:v>—/—/—/—</x:v>
      </x:c>
      <x:c r="N194" s="48" t="str">
        <x:v>—/—/—/—</x:v>
      </x:c>
      <x:c r="O194" s="48" t="str">
        <x:v>—/—/—/—</x:v>
      </x:c>
      <x:c r="P194" s="48" t="str">
        <x:v>otot/otot/otot/—</x:v>
      </x:c>
      <x:c r="Q194" s="48" t="str">
        <x:v>Bsta/Bsta/Bsta/—</x:v>
      </x:c>
      <x:c r="R194" s="48" t="str">
        <x:v>—/—/—/—</x:v>
      </x:c>
      <x:c r="S194" s="48" t="str">
        <x:v>1 / 3 / 2 / 4 / 5 / 6 / 20 / 16 / 13 / 10</x:v>
      </x:c>
      <x:c r="T194" s="48" t="str">
        <x:v>“—”表示 6.48b 对象表该级字段为空；脚本型技能需结合证据说明与来源冲突表。</x:v>
      </x:c>
    </x:row>
    <x:row r="195" ht="34" customHeight="1">
      <x:c r="A195" s="18" t="str">
        <x:v>H00K-2</x:v>
      </x:c>
      <x:c r="B195" s="18" t="str">
        <x:v>哥布林工程师</x:v>
      </x:c>
      <x:c r="C195" s="18" t="str">
        <x:v>Goblin Techies</x:v>
      </x:c>
      <x:c r="D195" s="18" t="str">
        <x:v>Suicide Squad, Attack!</x:v>
      </x:c>
      <x:c r="E195" s="18" t="str">
        <x:v>A06B</x:v>
      </x:c>
      <x:c r="F195" s="18" t="str">
        <x:v>Asds</x:v>
      </x:c>
      <x:c r="G195" s="48" t="str">
        <x:v>200/200/200/—</x:v>
      </x:c>
      <x:c r="H195" s="48" t="str">
        <x:v>650/850/1150/—</x:v>
      </x:c>
      <x:c r="I195" s="48" t="str">
        <x:v>500/500/500/—</x:v>
      </x:c>
      <x:c r="J195" s="48" t="str">
        <x:v>350/400/450/—</x:v>
      </x:c>
      <x:c r="K195" s="48" t="str">
        <x:v>—/—/—/—</x:v>
      </x:c>
      <x:c r="L195" s="48" t="str">
        <x:v>—/—/—/—</x:v>
      </x:c>
      <x:c r="M195" s="48" t="str">
        <x:v>—/—/—/—</x:v>
      </x:c>
      <x:c r="N195" s="48" t="str">
        <x:v>—/—/—/—</x:v>
      </x:c>
      <x:c r="O195" s="48" t="str">
        <x:v>—/—/—/—</x:v>
      </x:c>
      <x:c r="P195" s="48" t="str">
        <x:v>—/—/—/—</x:v>
      </x:c>
      <x:c r="Q195" s="48" t="str">
        <x:v>—/—/—/—</x:v>
      </x:c>
      <x:c r="R195" s="48" t="str">
        <x:v>—/—/—/—</x:v>
      </x:c>
      <x:c r="S195" s="48" t="str">
        <x:v>1 / 650 / 2 / 850 / 3 / 1150 / 4 / 1550 / 75</x:v>
      </x:c>
      <x:c r="T195" s="48" t="str">
        <x:v>“—”表示 6.48b 对象表该级字段为空；脚本型技能需结合证据说明与来源冲突表。</x:v>
      </x:c>
    </x:row>
    <x:row r="196" ht="34" customHeight="1">
      <x:c r="A196" s="18" t="str">
        <x:v>H00K-3</x:v>
      </x:c>
      <x:c r="B196" s="18" t="str">
        <x:v>哥布林工程师</x:v>
      </x:c>
      <x:c r="C196" s="18" t="str">
        <x:v>Goblin Techies</x:v>
      </x:c>
      <x:c r="D196" s="18" t="str">
        <x:v>Remote Mines</x:v>
      </x:c>
      <x:c r="E196" s="18" t="str">
        <x:v>A0AK</x:v>
      </x:c>
      <x:c r="F196" s="18" t="str">
        <x:v>AOwd</x:v>
      </x:c>
      <x:c r="G196" s="48" t="str">
        <x:v>1/1/1</x:v>
      </x:c>
      <x:c r="H196" s="48" t="str">
        <x:v>—/—/—</x:v>
      </x:c>
      <x:c r="I196" s="48" t="str">
        <x:v>—/—/—</x:v>
      </x:c>
      <x:c r="J196" s="48" t="str">
        <x:v>—/—/—</x:v>
      </x:c>
      <x:c r="K196" s="48" t="str">
        <x:v>—/—/—</x:v>
      </x:c>
      <x:c r="L196" s="48" t="str">
        <x:v>—/—/—</x:v>
      </x:c>
      <x:c r="M196" s="48" t="str">
        <x:v>—/—/—</x:v>
      </x:c>
      <x:c r="N196" s="48" t="str">
        <x:v>—/—/—</x:v>
      </x:c>
      <x:c r="O196" s="48" t="str">
        <x:v>—/—/—</x:v>
      </x:c>
      <x:c r="P196" s="48" t="str">
        <x:v>o018/o002/o00B</x:v>
      </x:c>
      <x:c r="Q196" s="48" t="str">
        <x:v>B00F/B00F/B00F</x:v>
      </x:c>
      <x:c r="R196" s="48" t="str">
        <x:v>—/—/—</x:v>
      </x:c>
      <x:c r="S196" s="48" t="str">
        <x:v>8 / 1 / 300 / 2 / 450 / 3 / 600 / 10</x:v>
      </x:c>
      <x:c r="T196" s="48" t="str">
        <x:v>“—”表示 6.48b 对象表该级字段为空；脚本型技能需结合证据说明与来源冲突表。</x:v>
      </x:c>
    </x:row>
    <x:row r="197" ht="34" customHeight="1">
      <x:c r="A197" s="18" t="str">
        <x:v>H00K-4</x:v>
      </x:c>
      <x:c r="B197" s="18" t="str">
        <x:v>哥布林工程师</x:v>
      </x:c>
      <x:c r="C197" s="18" t="str">
        <x:v>Goblin Techies</x:v>
      </x:c>
      <x:c r="D197" s="18" t="str">
        <x:v>Land Mines</x:v>
      </x:c>
      <x:c r="E197" s="18" t="str">
        <x:v>A05J</x:v>
      </x:c>
      <x:c r="F197" s="18" t="str">
        <x:v>AIpm</x:v>
      </x:c>
      <x:c r="G197" s="48" t="str">
        <x:v>—/—/—/—</x:v>
      </x:c>
      <x:c r="H197" s="48" t="str">
        <x:v>—/—/—/—</x:v>
      </x:c>
      <x:c r="I197" s="48" t="str">
        <x:v>—/—/—/—</x:v>
      </x:c>
      <x:c r="J197" s="48" t="str">
        <x:v>—/—/—/—</x:v>
      </x:c>
      <x:c r="K197" s="48" t="str">
        <x:v>—/—/—/—</x:v>
      </x:c>
      <x:c r="L197" s="48" t="str">
        <x:v>—/—/—/—</x:v>
      </x:c>
      <x:c r="M197" s="48" t="str">
        <x:v>—/—/—/—</x:v>
      </x:c>
      <x:c r="N197" s="48" t="str">
        <x:v>—/—/—/—</x:v>
      </x:c>
      <x:c r="O197" s="48" t="str">
        <x:v>—/—/—/—</x:v>
      </x:c>
      <x:c r="P197" s="48" t="str">
        <x:v>n00O/n00P/n00Q/—</x:v>
      </x:c>
      <x:c r="Q197" s="48" t="str">
        <x:v>—/—/—/—</x:v>
      </x:c>
      <x:c r="R197" s="48" t="str">
        <x:v>—/—/—/—</x:v>
      </x:c>
      <x:c r="S197" s="48" t="str">
        <x:v>300 / 400 / 500 / 600 / 15 / 1 / 25 / 2 / 20 / 3 / 4 / 12</x:v>
      </x:c>
      <x:c r="T197" s="48" t="str">
        <x:v>“—”表示 6.48b 对象表该级字段为空；脚本型技能需结合证据说明与来源冲突表。</x:v>
      </x:c>
    </x:row>
    <x:row r="198" ht="34" customHeight="1">
      <x:c r="A198" s="18" t="str">
        <x:v>Huth-1</x:v>
      </x:c>
      <x:c r="B198" s="18" t="str">
        <x:v>熊战士</x:v>
      </x:c>
      <x:c r="C198" s="18" t="str">
        <x:v>Ursa Warrior</x:v>
      </x:c>
      <x:c r="D198" s="18" t="str">
        <x:v>Earthshock</x:v>
      </x:c>
      <x:c r="E198" s="18" t="str">
        <x:v>A03Y</x:v>
      </x:c>
      <x:c r="F198" s="18" t="str">
        <x:v>AHtc</x:v>
      </x:c>
      <x:c r="G198" s="48" t="str">
        <x:v>70/120/170/220</x:v>
      </x:c>
      <x:c r="H198" s="48" t="str">
        <x:v>—/—/—/—</x:v>
      </x:c>
      <x:c r="I198" s="48" t="str">
        <x:v>0.25/0.35/0.45/0.55</x:v>
      </x:c>
      <x:c r="J198" s="48" t="str">
        <x:v>—/—/—/—</x:v>
      </x:c>
      <x:c r="K198" s="48" t="str">
        <x:v>—/—/—/—</x:v>
      </x:c>
      <x:c r="L198" s="48" t="str">
        <x:v>—/—/—/—</x:v>
      </x:c>
      <x:c r="M198" s="48" t="str">
        <x:v>—/—/—/—</x:v>
      </x:c>
      <x:c r="N198" s="48" t="str">
        <x:v>—/—/—/—</x:v>
      </x:c>
      <x:c r="O198" s="48" t="str">
        <x:v>—/—/—/—</x:v>
      </x:c>
      <x:c r="P198" s="48" t="str">
        <x:v>—/—/—/—</x:v>
      </x:c>
      <x:c r="Q198" s="48" t="str">
        <x:v>B02G/B02G/B02G/B02G</x:v>
      </x:c>
      <x:c r="R198" s="48" t="str">
        <x:v>—/—/—/—</x:v>
      </x:c>
      <x:c r="S198" s="48" t="str">
        <x:v>4 / 1 / 70 / 25% / 2 / 120 / 35% / 3 / 170 / 45% / 220 / 55% / 7</x:v>
      </x:c>
      <x:c r="T198" s="48" t="str">
        <x:v>“—”表示 6.48b 对象表该级字段为空；脚本型技能需结合证据说明与来源冲突表。</x:v>
      </x:c>
    </x:row>
    <x:row r="199" ht="34" customHeight="1">
      <x:c r="A199" s="18" t="str">
        <x:v>Huth-2</x:v>
      </x:c>
      <x:c r="B199" s="18" t="str">
        <x:v>熊战士</x:v>
      </x:c>
      <x:c r="C199" s="18" t="str">
        <x:v>Ursa Warrior</x:v>
      </x:c>
      <x:c r="D199" s="18" t="str">
        <x:v>Overpower</x:v>
      </x:c>
      <x:c r="E199" s="18" t="str">
        <x:v>A059</x:v>
      </x:c>
      <x:c r="F199" s="18" t="str">
        <x:v>Afzy</x:v>
      </x:c>
      <x:c r="G199" s="48" t="str">
        <x:v>1/2/3/—</x:v>
      </x:c>
      <x:c r="H199" s="48" t="str">
        <x:v>—/—/—/—</x:v>
      </x:c>
      <x:c r="I199" s="48" t="str">
        <x:v>—/—/—/—</x:v>
      </x:c>
      <x:c r="J199" s="48" t="str">
        <x:v>—/—/—/—</x:v>
      </x:c>
      <x:c r="K199" s="48" t="str">
        <x:v>—/—/—/—</x:v>
      </x:c>
      <x:c r="L199" s="48" t="str">
        <x:v>—/—/—/—</x:v>
      </x:c>
      <x:c r="M199" s="48" t="str">
        <x:v>—/—/—/—</x:v>
      </x:c>
      <x:c r="N199" s="48" t="str">
        <x:v>—/—/—/—</x:v>
      </x:c>
      <x:c r="O199" s="48" t="str">
        <x:v>—/—/—/—</x:v>
      </x:c>
      <x:c r="P199" s="48" t="str">
        <x:v>—/—/—/—</x:v>
      </x:c>
      <x:c r="Q199" s="48" t="str">
        <x:v>B02O/B02O/B02O/—</x:v>
      </x:c>
      <x:c r="R199" s="48" t="str">
        <x:v>—/—/—/—</x:v>
      </x:c>
      <x:c r="S199" s="48" t="str">
        <x:v>15 / 5 / 1 / 100% / 2 / 200% / 3 / 300% / 4 / 400% / 10</x:v>
      </x:c>
      <x:c r="T199" s="48" t="str">
        <x:v>“—”表示 6.48b 对象表该级字段为空；脚本型技能需结合证据说明与来源冲突表。</x:v>
      </x:c>
    </x:row>
    <x:row r="200" ht="34" customHeight="1">
      <x:c r="A200" s="18" t="str">
        <x:v>Huth-3</x:v>
      </x:c>
      <x:c r="B200" s="18" t="str">
        <x:v>熊战士</x:v>
      </x:c>
      <x:c r="C200" s="18" t="str">
        <x:v>Ursa Warrior</x:v>
      </x:c>
      <x:c r="D200" s="18" t="str">
        <x:v>Fury Swipes</x:v>
      </x:c>
      <x:c r="E200" s="18" t="str">
        <x:v>ANic</x:v>
      </x:c>
      <x:c r="F200" s="18" t="str">
        <x:v>ANic</x:v>
      </x:c>
      <x:c r="G200" s="48" t="str">
        <x:v>6/12/18/24</x:v>
      </x:c>
      <x:c r="H200" s="48" t="str">
        <x:v>—/—/—/—</x:v>
      </x:c>
      <x:c r="I200" s="48" t="str">
        <x:v>—/—/—/—</x:v>
      </x:c>
      <x:c r="J200" s="48" t="str">
        <x:v>—/—/—/—</x:v>
      </x:c>
      <x:c r="K200" s="48" t="str">
        <x:v>—/—/—/—</x:v>
      </x:c>
      <x:c r="L200" s="48" t="str">
        <x:v>0.001/0.001/0.001/0.001</x:v>
      </x:c>
      <x:c r="M200" s="48" t="str">
        <x:v>—/—/—/—</x:v>
      </x:c>
      <x:c r="N200" s="48" t="str">
        <x:v>—/—/—/—</x:v>
      </x:c>
      <x:c r="O200" s="48" t="str">
        <x:v>—/—/—/—</x:v>
      </x:c>
      <x:c r="P200" s="48" t="str">
        <x:v>—/—/—/—</x:v>
      </x:c>
      <x:c r="Q200" s="48" t="str">
        <x:v>B02N/B02N/B02N/B02N</x:v>
      </x:c>
      <x:c r="R200" s="48" t="str">
        <x:v>—/—/—/—</x:v>
      </x:c>
      <x:c r="S200" s="48" t="str">
        <x:v>1 / 6 / 2 / 12 / 3 / 18 / 4 / 24</x:v>
      </x:c>
      <x:c r="T200" s="48" t="str">
        <x:v>“—”表示 6.48b 对象表该级字段为空；脚本型技能需结合证据说明与来源冲突表。</x:v>
      </x:c>
    </x:row>
    <x:row r="201" ht="34" customHeight="1">
      <x:c r="A201" s="18" t="str">
        <x:v>Huth-4</x:v>
      </x:c>
      <x:c r="B201" s="18" t="str">
        <x:v>熊战士</x:v>
      </x:c>
      <x:c r="C201" s="18" t="str">
        <x:v>Ursa Warrior</x:v>
      </x:c>
      <x:c r="D201" s="18" t="str">
        <x:v>Enrage</x:v>
      </x:c>
      <x:c r="E201" s="18" t="str">
        <x:v>A0LC</x:v>
      </x:c>
      <x:c r="F201" s="18" t="str">
        <x:v>Absk</x:v>
      </x:c>
      <x:c r="G201" s="48" t="str">
        <x:v>—/—/—</x:v>
      </x:c>
      <x:c r="H201" s="48" t="str">
        <x:v>—/—/—</x:v>
      </x:c>
      <x:c r="I201" s="48" t="str">
        <x:v>—/—/—</x:v>
      </x:c>
      <x:c r="J201" s="48" t="str">
        <x:v>—/—/—</x:v>
      </x:c>
      <x:c r="K201" s="48" t="str">
        <x:v>—/—/—</x:v>
      </x:c>
      <x:c r="L201" s="48" t="str">
        <x:v>—/—/—</x:v>
      </x:c>
      <x:c r="M201" s="48" t="str">
        <x:v>—/—/—</x:v>
      </x:c>
      <x:c r="N201" s="48" t="str">
        <x:v>—/—/—</x:v>
      </x:c>
      <x:c r="O201" s="48" t="str">
        <x:v>—/—/—</x:v>
      </x:c>
      <x:c r="P201" s="48" t="str">
        <x:v>—/—/—</x:v>
      </x:c>
      <x:c r="Q201" s="48" t="str">
        <x:v>B02H,BEia/B02H,BEia/B02H,BEia</x:v>
      </x:c>
      <x:c r="R201" s="48" t="str">
        <x:v>—/—/—</x:v>
      </x:c>
      <x:c r="S201" s="48" t="str">
        <x:v>1 / 4% / 2 / 5% / 3 / 6% / 25 / 15</x:v>
      </x:c>
      <x:c r="T201" s="48" t="str">
        <x:v>“—”表示 6.48b 对象表该级字段为空；脚本型技能需结合证据说明与来源冲突表。</x:v>
      </x:c>
    </x:row>
    <x:row r="202" ht="34" customHeight="1">
      <x:c r="A202" s="18" t="str">
        <x:v>Ucrl-1</x:v>
      </x:c>
      <x:c r="B202" s="18" t="str">
        <x:v>山岭巨人</x:v>
      </x:c>
      <x:c r="C202" s="18" t="str">
        <x:v>Stone Giant</x:v>
      </x:c>
      <x:c r="D202" s="18" t="str">
        <x:v>Toss</x:v>
      </x:c>
      <x:c r="E202" s="18" t="str">
        <x:v>A0BZ</x:v>
      </x:c>
      <x:c r="F202" s="18" t="str">
        <x:v>ANcl</x:v>
      </x:c>
      <x:c r="G202" s="48" t="str">
        <x:v>—/—/—/—</x:v>
      </x:c>
      <x:c r="H202" s="48" t="str">
        <x:v>1/1/1/1</x:v>
      </x:c>
      <x:c r="I202" s="48" t="str">
        <x:v>3/3/3/3</x:v>
      </x:c>
      <x:c r="J202" s="48" t="str">
        <x:v>0.98/0.98/0.98/0.98</x:v>
      </x:c>
      <x:c r="K202" s="48" t="str">
        <x:v>—/—/—/—</x:v>
      </x:c>
      <x:c r="L202" s="48" t="str">
        <x:v>channel/channel/channel/channel</x:v>
      </x:c>
      <x:c r="M202" s="48" t="str">
        <x:v>—/—/—/—</x:v>
      </x:c>
      <x:c r="N202" s="48" t="str">
        <x:v>—/—/—/—</x:v>
      </x:c>
      <x:c r="O202" s="48" t="str">
        <x:v>—/—/—/—</x:v>
      </x:c>
      <x:c r="P202" s="48" t="str">
        <x:v>—/—/—/—</x:v>
      </x:c>
      <x:c r="Q202" s="48" t="str">
        <x:v>—/—/—/—</x:v>
      </x:c>
      <x:c r="R202" s="48" t="str">
        <x:v>—/—/—/—</x:v>
      </x:c>
      <x:c r="S202" s="48" t="str">
        <x:v>20% / 1 / 500 / 75 / 2 / 700 / 150 / 3 / 900 / 225 / 4 / 1100 / 300 / 15</x:v>
      </x:c>
      <x:c r="T202" s="48" t="str">
        <x:v>“—”表示 6.48b 对象表该级字段为空；脚本型技能需结合证据说明与来源冲突表。</x:v>
      </x:c>
    </x:row>
    <x:row r="203" ht="34" customHeight="1">
      <x:c r="A203" s="18" t="str">
        <x:v>Ucrl-2</x:v>
      </x:c>
      <x:c r="B203" s="18" t="str">
        <x:v>山岭巨人</x:v>
      </x:c>
      <x:c r="C203" s="18" t="str">
        <x:v>Stone Giant</x:v>
      </x:c>
      <x:c r="D203" s="18" t="str">
        <x:v>Craggy Exterior</x:v>
      </x:c>
      <x:c r="E203" s="18" t="str">
        <x:v>A0BU</x:v>
      </x:c>
      <x:c r="F203" s="18" t="str">
        <x:v>AEev</x:v>
      </x:c>
      <x:c r="G203" s="48" t="str">
        <x:v>—/—/—/—</x:v>
      </x:c>
      <x:c r="H203" s="48" t="str">
        <x:v>—/—/—/—</x:v>
      </x:c>
      <x:c r="I203" s="48" t="str">
        <x:v>—/—/—/—</x:v>
      </x:c>
      <x:c r="J203" s="48" t="str">
        <x:v>—/—/—/—</x:v>
      </x:c>
      <x:c r="K203" s="48" t="str">
        <x:v>—/—/—/—</x:v>
      </x:c>
      <x:c r="L203" s="48" t="str">
        <x:v>—/—/—/—</x:v>
      </x:c>
      <x:c r="M203" s="48" t="str">
        <x:v>—/—/—/—</x:v>
      </x:c>
      <x:c r="N203" s="48" t="str">
        <x:v>—/—/—/—</x:v>
      </x:c>
      <x:c r="O203" s="48" t="str">
        <x:v>—/—/—/—</x:v>
      </x:c>
      <x:c r="P203" s="48" t="str">
        <x:v>—/—/—/—</x:v>
      </x:c>
      <x:c r="Q203" s="48" t="str">
        <x:v>—/—/—/—</x:v>
      </x:c>
      <x:c r="R203" s="48" t="str">
        <x:v>—/—/—/—</x:v>
      </x:c>
      <x:c r="S203" s="48" t="str">
        <x:v>1.2 / 1 / 6% / 25 / 2 / 12% / 35 / 3 / 18% / 45 / 4 / 24% / 55</x:v>
      </x:c>
      <x:c r="T203" s="48" t="str">
        <x:v>“—”表示 6.48b 对象表该级字段为空；脚本型技能需结合证据说明与来源冲突表。</x:v>
      </x:c>
    </x:row>
    <x:row r="204" ht="34" customHeight="1">
      <x:c r="A204" s="18" t="str">
        <x:v>Ucrl-3</x:v>
      </x:c>
      <x:c r="B204" s="18" t="str">
        <x:v>山岭巨人</x:v>
      </x:c>
      <x:c r="C204" s="18" t="str">
        <x:v>Stone Giant</x:v>
      </x:c>
      <x:c r="D204" s="18" t="str">
        <x:v>Grow</x:v>
      </x:c>
      <x:c r="E204" s="18" t="str">
        <x:v>A0CY</x:v>
      </x:c>
      <x:c r="F204" s="18" t="str">
        <x:v>AOae</x:v>
      </x:c>
      <x:c r="G204" s="48" t="str">
        <x:v>—/—/—</x:v>
      </x:c>
      <x:c r="H204" s="48" t="str">
        <x:v>-0.2/-0.35/-0.5</x:v>
      </x:c>
      <x:c r="I204" s="48" t="str">
        <x:v>—/—/—</x:v>
      </x:c>
      <x:c r="J204" s="48" t="str">
        <x:v>—/—/—</x:v>
      </x:c>
      <x:c r="K204" s="48" t="str">
        <x:v>—/—/—</x:v>
      </x:c>
      <x:c r="L204" s="48" t="str">
        <x:v>—/—/—</x:v>
      </x:c>
      <x:c r="M204" s="48" t="str">
        <x:v>—/—/—</x:v>
      </x:c>
      <x:c r="N204" s="48" t="str">
        <x:v>—/—/—</x:v>
      </x:c>
      <x:c r="O204" s="48" t="str">
        <x:v>—/—/—</x:v>
      </x:c>
      <x:c r="P204" s="48" t="str">
        <x:v>—/—/—</x:v>
      </x:c>
      <x:c r="Q204" s="48" t="str">
        <x:v>B04E/B04E/B04E</x:v>
      </x:c>
      <x:c r="R204" s="48" t="str">
        <x:v>—/—/—</x:v>
      </x:c>
      <x:c r="S204" s="48" t="str">
        <x:v>1 / 40 / 20% / 2 / 80 / 35% / 3 / 120 / 50%</x:v>
      </x:c>
      <x:c r="T204" s="48" t="str">
        <x:v>“—”表示 6.48b 对象表该级字段为空；脚本型技能需结合证据说明与来源冲突表。</x:v>
      </x:c>
    </x:row>
    <x:row r="205" ht="34" customHeight="1">
      <x:c r="A205" s="18" t="str">
        <x:v>Ucrl-4</x:v>
      </x:c>
      <x:c r="B205" s="18" t="str">
        <x:v>山岭巨人</x:v>
      </x:c>
      <x:c r="C205" s="18" t="str">
        <x:v>Stone Giant</x:v>
      </x:c>
      <x:c r="D205" s="18" t="str">
        <x:v>Avalanche</x:v>
      </x:c>
      <x:c r="E205" s="18" t="str">
        <x:v>A0LL</x:v>
      </x:c>
      <x:c r="F205" s="18" t="str">
        <x:v>AHbz</x:v>
      </x:c>
      <x:c r="G205" s="48" t="str">
        <x:v>1/—/—/—</x:v>
      </x:c>
      <x:c r="H205" s="48" t="str">
        <x:v>—/—/—/—</x:v>
      </x:c>
      <x:c r="I205" s="48" t="str">
        <x:v>1/—/—/—</x:v>
      </x:c>
      <x:c r="J205" s="48" t="str">
        <x:v>—/—/—/—</x:v>
      </x:c>
      <x:c r="K205" s="48" t="str">
        <x:v>—/—/—/—</x:v>
      </x:c>
      <x:c r="L205" s="48" t="str">
        <x:v>—/—/—/—</x:v>
      </x:c>
      <x:c r="M205" s="48" t="str">
        <x:v>—/—/—/—</x:v>
      </x:c>
      <x:c r="N205" s="48" t="str">
        <x:v>—/—/—/—</x:v>
      </x:c>
      <x:c r="O205" s="48" t="str">
        <x:v>—/—/—/—</x:v>
      </x:c>
      <x:c r="P205" s="48" t="str">
        <x:v>—/—/—/—</x:v>
      </x:c>
      <x:c r="Q205" s="48" t="str">
        <x:v>—/—/—/—</x:v>
      </x:c>
      <x:c r="R205" s="48" t="str">
        <x:v>—/—/—/—</x:v>
      </x:c>
      <x:c r="S205" s="48" t="str">
        <x:v>1 / 100 / 2 / 180 / 3 / 260 / 4 / 300 / 20</x:v>
      </x:c>
      <x:c r="T205" s="48" t="str">
        <x:v>“—”表示 6.48b 对象表该级字段为空；脚本型技能需结合证据说明与来源冲突表。</x:v>
      </x:c>
    </x:row>
    <x:row r="206" ht="34" customHeight="1">
      <x:c r="A206" s="18" t="str">
        <x:v>Emns-1</x:v>
      </x:c>
      <x:c r="B206" s="18" t="str">
        <x:v>先知</x:v>
      </x:c>
      <x:c r="C206" s="18" t="str">
        <x:v>Prophet</x:v>
      </x:c>
      <x:c r="D206" s="18" t="str">
        <x:v>Teleportation</x:v>
      </x:c>
      <x:c r="E206" s="18" t="str">
        <x:v>A01O</x:v>
      </x:c>
      <x:c r="F206" s="18" t="str">
        <x:v>AEbl</x:v>
      </x:c>
      <x:c r="G206" s="48" t="str">
        <x:v>99999/99999/99999/99999</x:v>
      </x:c>
      <x:c r="H206" s="48" t="str">
        <x:v>200/200/200/200</x:v>
      </x:c>
      <x:c r="I206" s="48" t="str">
        <x:v>—/—/—/—</x:v>
      </x:c>
      <x:c r="J206" s="48" t="str">
        <x:v>—/—/—/—</x:v>
      </x:c>
      <x:c r="K206" s="48" t="str">
        <x:v>—/—/—/—</x:v>
      </x:c>
      <x:c r="L206" s="48" t="str">
        <x:v>—/—/—/—</x:v>
      </x:c>
      <x:c r="M206" s="48" t="str">
        <x:v>—/—/—/—</x:v>
      </x:c>
      <x:c r="N206" s="48" t="str">
        <x:v>—/—/—/—</x:v>
      </x:c>
      <x:c r="O206" s="48" t="str">
        <x:v>—/—/—/—</x:v>
      </x:c>
      <x:c r="P206" s="48" t="str">
        <x:v>—/—/—/—</x:v>
      </x:c>
      <x:c r="Q206" s="48" t="str">
        <x:v>—/—/—/—</x:v>
      </x:c>
      <x:c r="R206" s="48" t="str">
        <x:v>—/—/—/—</x:v>
      </x:c>
      <x:c r="S206" s="48" t="str">
        <x:v>60 / 50 / 40 / 30 / 1 / 2 / 3 / 4</x:v>
      </x:c>
      <x:c r="T206" s="48" t="str">
        <x:v>“—”表示 6.48b 对象表该级字段为空；脚本型技能需结合证据说明与来源冲突表。</x:v>
      </x:c>
    </x:row>
    <x:row r="207" ht="34" customHeight="1">
      <x:c r="A207" s="18" t="str">
        <x:v>Emns-2</x:v>
      </x:c>
      <x:c r="B207" s="18" t="str">
        <x:v>先知</x:v>
      </x:c>
      <x:c r="C207" s="18" t="str">
        <x:v>Prophet</x:v>
      </x:c>
      <x:c r="D207" s="18" t="str">
        <x:v>Force of Nature</x:v>
      </x:c>
      <x:c r="E207" s="18" t="str">
        <x:v>AEfn</x:v>
      </x:c>
      <x:c r="F207" s="18" t="str">
        <x:v>AEfn</x:v>
      </x:c>
      <x:c r="G207" s="48" t="str">
        <x:v>2/3/4/5</x:v>
      </x:c>
      <x:c r="H207" s="48" t="str">
        <x:v>—/—/—/—</x:v>
      </x:c>
      <x:c r="I207" s="48" t="str">
        <x:v>—/—/—/—</x:v>
      </x:c>
      <x:c r="J207" s="48" t="str">
        <x:v>—/—/—/—</x:v>
      </x:c>
      <x:c r="K207" s="48" t="str">
        <x:v>—/—/—/—</x:v>
      </x:c>
      <x:c r="L207" s="48" t="str">
        <x:v>—/—/—/—</x:v>
      </x:c>
      <x:c r="M207" s="48" t="str">
        <x:v>—/—/—/—</x:v>
      </x:c>
      <x:c r="N207" s="48" t="str">
        <x:v>—/—/—/—</x:v>
      </x:c>
      <x:c r="O207" s="48" t="str">
        <x:v>—/—/—/—</x:v>
      </x:c>
      <x:c r="P207" s="48" t="str">
        <x:v>efon/efon/efon/efon</x:v>
      </x:c>
      <x:c r="Q207" s="48" t="str">
        <x:v>BEfn/BEfn/BEfn/BEfn</x:v>
      </x:c>
      <x:c r="R207" s="48" t="str">
        <x:v>—/—/—/—</x:v>
      </x:c>
      <x:c r="S207" s="48" t="str">
        <x:v>550 / 21 / -23 / 1 / 2 / 60 / 3 / 4 / 5 / 37</x:v>
      </x:c>
      <x:c r="T207" s="48" t="str">
        <x:v>“—”表示 6.48b 对象表该级字段为空；脚本型技能需结合证据说明与来源冲突表。</x:v>
      </x:c>
    </x:row>
    <x:row r="208" ht="34" customHeight="1">
      <x:c r="A208" s="18" t="str">
        <x:v>Emns-3</x:v>
      </x:c>
      <x:c r="B208" s="18" t="str">
        <x:v>先知</x:v>
      </x:c>
      <x:c r="C208" s="18" t="str">
        <x:v>Prophet</x:v>
      </x:c>
      <x:c r="D208" s="18" t="str">
        <x:v>Wrath of Nature</x:v>
      </x:c>
      <x:c r="E208" s="18" t="str">
        <x:v>A07X</x:v>
      </x:c>
      <x:c r="F208" s="18" t="str">
        <x:v>AOcl</x:v>
      </x:c>
      <x:c r="G208" s="48" t="str">
        <x:v>140/180/225</x:v>
      </x:c>
      <x:c r="H208" s="48" t="str">
        <x:v>12/14/16</x:v>
      </x:c>
      <x:c r="I208" s="48" t="str">
        <x:v>-0.07/-0.07/-0.07</x:v>
      </x:c>
      <x:c r="J208" s="48" t="str">
        <x:v>—/—/—</x:v>
      </x:c>
      <x:c r="K208" s="48" t="str">
        <x:v>—/—/—</x:v>
      </x:c>
      <x:c r="L208" s="48" t="str">
        <x:v>—/—/—</x:v>
      </x:c>
      <x:c r="M208" s="48" t="str">
        <x:v>—/—/—</x:v>
      </x:c>
      <x:c r="N208" s="48" t="str">
        <x:v>—/—/—</x:v>
      </x:c>
      <x:c r="O208" s="48" t="str">
        <x:v>—/—/—</x:v>
      </x:c>
      <x:c r="P208" s="48" t="str">
        <x:v>—/—/—</x:v>
      </x:c>
      <x:c r="Q208" s="48" t="str">
        <x:v>—/—/—</x:v>
      </x:c>
      <x:c r="R208" s="48" t="str">
        <x:v>—/—/—</x:v>
      </x:c>
      <x:c r="S208" s="48" t="str">
        <x:v>7% / 1 / 140 / 2 / 180 / 3 / 225 / 90 / 60</x:v>
      </x:c>
      <x:c r="T208" s="48" t="str">
        <x:v>“—”表示 6.48b 对象表该级字段为空；脚本型技能需结合证据说明与来源冲突表。</x:v>
      </x:c>
    </x:row>
    <x:row r="209" ht="34" customHeight="1">
      <x:c r="A209" s="18" t="str">
        <x:v>Emns-4</x:v>
      </x:c>
      <x:c r="B209" s="18" t="str">
        <x:v>先知</x:v>
      </x:c>
      <x:c r="C209" s="18" t="str">
        <x:v>Prophet</x:v>
      </x:c>
      <x:c r="D209" s="18" t="str">
        <x:v>Sprout</x:v>
      </x:c>
      <x:c r="E209" s="18" t="str">
        <x:v>A06Q</x:v>
      </x:c>
      <x:c r="F209" s="18" t="str">
        <x:v>Acri</x:v>
      </x:c>
      <x:c r="G209" s="48" t="str">
        <x:v>—/—/—/—</x:v>
      </x:c>
      <x:c r="H209" s="48" t="str">
        <x:v>—/—/—/—</x:v>
      </x:c>
      <x:c r="I209" s="48" t="str">
        <x:v>—/—/—/—</x:v>
      </x:c>
      <x:c r="J209" s="48" t="str">
        <x:v>—/—/—/—</x:v>
      </x:c>
      <x:c r="K209" s="48" t="str">
        <x:v>—/—/—/—</x:v>
      </x:c>
      <x:c r="L209" s="48" t="str">
        <x:v>—/—/—/—</x:v>
      </x:c>
      <x:c r="M209" s="48" t="str">
        <x:v>—/—/—/—</x:v>
      </x:c>
      <x:c r="N209" s="48" t="str">
        <x:v>—/—/—/—</x:v>
      </x:c>
      <x:c r="O209" s="48" t="str">
        <x:v>—/—/—/—</x:v>
      </x:c>
      <x:c r="P209" s="48" t="str">
        <x:v>—/—/—/—</x:v>
      </x:c>
      <x:c r="Q209" s="48" t="str">
        <x:v>—/—/—/—</x:v>
      </x:c>
      <x:c r="R209" s="48" t="str">
        <x:v>—/—/—/—</x:v>
      </x:c>
      <x:c r="S209" s="48" t="str">
        <x:v>1 / 3 / 2 / 3.75 / 4.5 / 4 / 5.25 / 11</x:v>
      </x:c>
      <x:c r="T209" s="48" t="str">
        <x:v>“—”表示 6.48b 对象表该级字段为空；脚本型技能需结合证据说明与来源冲突表。</x:v>
      </x:c>
    </x:row>
    <x:row r="210" ht="34" customHeight="1">
      <x:c r="A210" s="18" t="str">
        <x:v>Uktl-1</x:v>
      </x:c>
      <x:c r="B210" s="18" t="str">
        <x:v>谜团</x:v>
      </x:c>
      <x:c r="C210" s="18" t="str">
        <x:v>Enigma</x:v>
      </x:c>
      <x:c r="D210" s="18" t="str">
        <x:v>Conversion</x:v>
      </x:c>
      <x:c r="E210" s="18" t="str">
        <x:v>A0B7</x:v>
      </x:c>
      <x:c r="F210" s="18" t="str">
        <x:v>ANch</x:v>
      </x:c>
      <x:c r="G210" s="48" t="str">
        <x:v>5/5/5/5</x:v>
      </x:c>
      <x:c r="H210" s="48" t="str">
        <x:v>—/—/—/—</x:v>
      </x:c>
      <x:c r="I210" s="48" t="str">
        <x:v>—/—/—/—</x:v>
      </x:c>
      <x:c r="J210" s="48" t="str">
        <x:v>—/—/—/—</x:v>
      </x:c>
      <x:c r="K210" s="48" t="str">
        <x:v>—/—/—/—</x:v>
      </x:c>
      <x:c r="L210" s="48" t="str">
        <x:v>—/—/—/—</x:v>
      </x:c>
      <x:c r="M210" s="48" t="str">
        <x:v>—/—/—/—</x:v>
      </x:c>
      <x:c r="N210" s="48" t="str">
        <x:v>—/—/—/—</x:v>
      </x:c>
      <x:c r="O210" s="48" t="str">
        <x:v>—/—/—/—</x:v>
      </x:c>
      <x:c r="P210" s="48" t="str">
        <x:v>—/—/—/—</x:v>
      </x:c>
      <x:c r="Q210" s="48" t="str">
        <x:v>—/—/—/—</x:v>
      </x:c>
      <x:c r="R210" s="48" t="str">
        <x:v>—/—/—/—</x:v>
      </x:c>
      <x:c r="S210" s="48" t="str">
        <x:v>3 / 30 / 1 / 2 / 4 / 15 / 19 / 200 / 33% / 29 / 225 / 39 / 49 / 275</x:v>
      </x:c>
      <x:c r="T210" s="48" t="str">
        <x:v>“—”表示 6.48b 对象表该级字段为空；脚本型技能需结合证据说明与来源冲突表。</x:v>
      </x:c>
    </x:row>
    <x:row r="211" ht="34" customHeight="1">
      <x:c r="A211" s="18" t="str">
        <x:v>Uktl-2</x:v>
      </x:c>
      <x:c r="B211" s="18" t="str">
        <x:v>谜团</x:v>
      </x:c>
      <x:c r="C211" s="18" t="str">
        <x:v>Enigma</x:v>
      </x:c>
      <x:c r="D211" s="18" t="str">
        <x:v>Midnight Pulse</x:v>
      </x:c>
      <x:c r="E211" s="18" t="str">
        <x:v>A0B1</x:v>
      </x:c>
      <x:c r="F211" s="18" t="str">
        <x:v>ANcl</x:v>
      </x:c>
      <x:c r="G211" s="48" t="str">
        <x:v>—/—/—/—</x:v>
      </x:c>
      <x:c r="H211" s="48" t="str">
        <x:v>2/2/2/2</x:v>
      </x:c>
      <x:c r="I211" s="48" t="str">
        <x:v>3/3/3/3</x:v>
      </x:c>
      <x:c r="J211" s="48" t="str">
        <x:v>0.98/0.98/0.98/0.98</x:v>
      </x:c>
      <x:c r="K211" s="48" t="str">
        <x:v>—/—/—/—</x:v>
      </x:c>
      <x:c r="L211" s="48" t="str">
        <x:v>channel/channel/channel/channel</x:v>
      </x:c>
      <x:c r="M211" s="48" t="str">
        <x:v>—/—/—/—</x:v>
      </x:c>
      <x:c r="N211" s="48" t="str">
        <x:v>—/—/—/—</x:v>
      </x:c>
      <x:c r="O211" s="48" t="str">
        <x:v>—/—/—/—</x:v>
      </x:c>
      <x:c r="P211" s="48" t="str">
        <x:v>—/—/—/—</x:v>
      </x:c>
      <x:c r="Q211" s="48" t="str">
        <x:v>—/—/—/—</x:v>
      </x:c>
      <x:c r="R211" s="48" t="str">
        <x:v>—/—/—/—</x:v>
      </x:c>
      <x:c r="S211" s="48" t="str">
        <x:v>8 / 1 / 3% / 2 / 4% / 3 / 5% / 4 / 6% / 25</x:v>
      </x:c>
      <x:c r="T211" s="48" t="str">
        <x:v>“—”表示 6.48b 对象表该级字段为空；脚本型技能需结合证据说明与来源冲突表。</x:v>
      </x:c>
    </x:row>
    <x:row r="212" ht="34" customHeight="1">
      <x:c r="A212" s="18" t="str">
        <x:v>Uktl-3</x:v>
      </x:c>
      <x:c r="B212" s="18" t="str">
        <x:v>谜团</x:v>
      </x:c>
      <x:c r="C212" s="18" t="str">
        <x:v>Enigma</x:v>
      </x:c>
      <x:c r="D212" s="18" t="str">
        <x:v>Black Hole</x:v>
      </x:c>
      <x:c r="E212" s="18" t="str">
        <x:v>A0BY</x:v>
      </x:c>
      <x:c r="F212" s="18" t="str">
        <x:v>ANto</x:v>
      </x:c>
      <x:c r="G212" s="48" t="str">
        <x:v>—/—/—</x:v>
      </x:c>
      <x:c r="H212" s="48" t="str">
        <x:v>—/—/—</x:v>
      </x:c>
      <x:c r="I212" s="48" t="str">
        <x:v>—/—/—</x:v>
      </x:c>
      <x:c r="J212" s="48" t="str">
        <x:v>—/—/—</x:v>
      </x:c>
      <x:c r="K212" s="48" t="str">
        <x:v>—/—/—</x:v>
      </x:c>
      <x:c r="L212" s="48" t="str">
        <x:v>—/—/—</x:v>
      </x:c>
      <x:c r="M212" s="48" t="str">
        <x:v>—/—/—</x:v>
      </x:c>
      <x:c r="N212" s="48" t="str">
        <x:v>—/—/—</x:v>
      </x:c>
      <x:c r="O212" s="48" t="str">
        <x:v>—/—/—</x:v>
      </x:c>
      <x:c r="P212" s="48" t="str">
        <x:v>u004/u004/u004</x:v>
      </x:c>
      <x:c r="Q212" s="48" t="str">
        <x:v>BNto/BNto/BNto</x:v>
      </x:c>
      <x:c r="R212" s="48" t="str">
        <x:v>—/—/—</x:v>
      </x:c>
      <x:c r="S212" s="48" t="str">
        <x:v>4 / 1 / 30 / 60 / 2 / 50 / 100 / 3 / 70 / 140 / 200 / 190 / 180</x:v>
      </x:c>
      <x:c r="T212" s="48" t="str">
        <x:v>“—”表示 6.48b 对象表该级字段为空；脚本型技能需结合证据说明与来源冲突表。</x:v>
      </x:c>
    </x:row>
    <x:row r="213" ht="34" customHeight="1">
      <x:c r="A213" s="18" t="str">
        <x:v>Uktl-4</x:v>
      </x:c>
      <x:c r="B213" s="18" t="str">
        <x:v>谜团</x:v>
      </x:c>
      <x:c r="C213" s="18" t="str">
        <x:v>Enigma</x:v>
      </x:c>
      <x:c r="D213" s="18" t="str">
        <x:v>Malefice</x:v>
      </x:c>
      <x:c r="E213" s="18" t="str">
        <x:v>A0I7</x:v>
      </x:c>
      <x:c r="F213" s="18" t="str">
        <x:v>ANcl</x:v>
      </x:c>
      <x:c r="G213" s="48" t="str">
        <x:v>—/—/—/—</x:v>
      </x:c>
      <x:c r="H213" s="48" t="str">
        <x:v>1/1/1/1</x:v>
      </x:c>
      <x:c r="I213" s="48" t="str">
        <x:v>1/1/1/1</x:v>
      </x:c>
      <x:c r="J213" s="48" t="str">
        <x:v>0.98/0.98/0.98/0.98</x:v>
      </x:c>
      <x:c r="K213" s="48" t="str">
        <x:v>—/—/—/—</x:v>
      </x:c>
      <x:c r="L213" s="48" t="str">
        <x:v>acidbomb/acidbomb/acidbomb/acidbomb</x:v>
      </x:c>
      <x:c r="M213" s="48" t="str">
        <x:v>—/—/—/—</x:v>
      </x:c>
      <x:c r="N213" s="48" t="str">
        <x:v>—/—/—/—</x:v>
      </x:c>
      <x:c r="O213" s="48" t="str">
        <x:v>—/—/—/—</x:v>
      </x:c>
      <x:c r="P213" s="48" t="str">
        <x:v>—/—/—/—</x:v>
      </x:c>
      <x:c r="Q213" s="48" t="str">
        <x:v>—/—/—/—</x:v>
      </x:c>
      <x:c r="R213" s="48" t="str">
        <x:v>—/—/—/—</x:v>
      </x:c>
      <x:c r="S213" s="48" t="str">
        <x:v>2 / 4 / 6 / 1 / 30 / 40 / 3 / 65 / 80 / 15</x:v>
      </x:c>
      <x:c r="T213" s="48" t="str">
        <x:v>“—”表示 6.48b 对象表该级字段为空；脚本型技能需结合证据说明与来源冲突表。</x:v>
      </x:c>
    </x:row>
    <x:row r="214" ht="34" customHeight="1">
      <x:c r="A214" s="18" t="str">
        <x:v>Hmkg-1</x:v>
      </x:c>
      <x:c r="B214" s="18" t="str">
        <x:v>食人魔法师</x:v>
      </x:c>
      <x:c r="C214" s="18" t="str">
        <x:v>Ogre Magi</x:v>
      </x:c>
      <x:c r="D214" s="18" t="str">
        <x:v>Fireblast</x:v>
      </x:c>
      <x:c r="E214" s="18" t="str">
        <x:v>A04W</x:v>
      </x:c>
      <x:c r="F214" s="18" t="str">
        <x:v>AHtb</x:v>
      </x:c>
      <x:c r="G214" s="48" t="str">
        <x:v>75/125/175/275</x:v>
      </x:c>
      <x:c r="H214" s="48" t="str">
        <x:v>—/—/—/—</x:v>
      </x:c>
      <x:c r="I214" s="48" t="str">
        <x:v>—/—/—/—</x:v>
      </x:c>
      <x:c r="J214" s="48" t="str">
        <x:v>—/—/—/—</x:v>
      </x:c>
      <x:c r="K214" s="48" t="str">
        <x:v>—/—/—/—</x:v>
      </x:c>
      <x:c r="L214" s="48" t="str">
        <x:v>—/—/—/—</x:v>
      </x:c>
      <x:c r="M214" s="48" t="str">
        <x:v>—/—/—/—</x:v>
      </x:c>
      <x:c r="N214" s="48" t="str">
        <x:v>—/—/—/—</x:v>
      </x:c>
      <x:c r="O214" s="48" t="str">
        <x:v>—/—/—/—</x:v>
      </x:c>
      <x:c r="P214" s="48" t="str">
        <x:v>—/—/—/—</x:v>
      </x:c>
      <x:c r="Q214" s="48" t="str">
        <x:v>BPSE/BPSE/BPSE/BPSE</x:v>
      </x:c>
      <x:c r="R214" s="48" t="str">
        <x:v>—/—/—/—</x:v>
      </x:c>
      <x:c r="S214" s="48" t="str">
        <x:v>1.5 / 1 / 75 / 2 / 125 / 3 / 175 / 4 / 275 / 15</x:v>
      </x:c>
      <x:c r="T214" s="48" t="str">
        <x:v>“—”表示 6.48b 对象表该级字段为空；脚本型技能需结合证据说明与来源冲突表。</x:v>
      </x:c>
    </x:row>
    <x:row r="215" ht="34" customHeight="1">
      <x:c r="A215" s="18" t="str">
        <x:v>Hmkg-2</x:v>
      </x:c>
      <x:c r="B215" s="18" t="str">
        <x:v>食人魔法师</x:v>
      </x:c>
      <x:c r="C215" s="18" t="str">
        <x:v>Ogre Magi</x:v>
      </x:c>
      <x:c r="D215" s="18" t="str">
        <x:v>Ignite</x:v>
      </x:c>
      <x:c r="E215" s="18" t="str">
        <x:v>A011</x:v>
      </x:c>
      <x:c r="F215" s="18" t="str">
        <x:v>ANab</x:v>
      </x:c>
      <x:c r="G215" s="48" t="str">
        <x:v>-0.1/-0.15/-0.2/-0.25</x:v>
      </x:c>
      <x:c r="H215" s="48" t="str">
        <x:v>—/—/—/—</x:v>
      </x:c>
      <x:c r="I215" s="48" t="str">
        <x:v>—/—/—/—</x:v>
      </x:c>
      <x:c r="J215" s="48" t="str">
        <x:v>10/20/30/40</x:v>
      </x:c>
      <x:c r="K215" s="48" t="str">
        <x:v>10/20/30/40</x:v>
      </x:c>
      <x:c r="L215" s="48" t="str">
        <x:v>1/1/1/1</x:v>
      </x:c>
      <x:c r="M215" s="48" t="str">
        <x:v>—/—/—/—</x:v>
      </x:c>
      <x:c r="N215" s="48" t="str">
        <x:v>—/—/—/—</x:v>
      </x:c>
      <x:c r="O215" s="48" t="str">
        <x:v>—/—/—/—</x:v>
      </x:c>
      <x:c r="P215" s="48" t="str">
        <x:v>—/—/—/—</x:v>
      </x:c>
      <x:c r="Q215" s="48" t="str">
        <x:v>B03J/B03J/B03J/B03J</x:v>
      </x:c>
      <x:c r="R215" s="48" t="str">
        <x:v>—/—/—/—</x:v>
      </x:c>
      <x:c r="S215" s="48" t="str">
        <x:v>7.5 / 1 / 10 / 10% / 2 / 20 / 15% / 3 / 30 / 20% / 4 / 40 / 25% / 15</x:v>
      </x:c>
      <x:c r="T215" s="48" t="str">
        <x:v>“—”表示 6.48b 对象表该级字段为空；脚本型技能需结合证据说明与来源冲突表。</x:v>
      </x:c>
    </x:row>
    <x:row r="216" ht="34" customHeight="1">
      <x:c r="A216" s="18" t="str">
        <x:v>Hmkg-3</x:v>
      </x:c>
      <x:c r="B216" s="18" t="str">
        <x:v>食人魔法师</x:v>
      </x:c>
      <x:c r="C216" s="18" t="str">
        <x:v>Ogre Magi</x:v>
      </x:c>
      <x:c r="D216" s="18" t="str">
        <x:v>Bloodlust</x:v>
      </x:c>
      <x:c r="E216" s="18" t="str">
        <x:v>A083</x:v>
      </x:c>
      <x:c r="F216" s="18" t="str">
        <x:v>Ablo</x:v>
      </x:c>
      <x:c r="G216" s="48" t="str">
        <x:v>0.2/0.3/0.4/—</x:v>
      </x:c>
      <x:c r="H216" s="48" t="str">
        <x:v>0.06/0.09/0.12/—</x:v>
      </x:c>
      <x:c r="I216" s="48" t="str">
        <x:v>0.1/0.15/0.2/—</x:v>
      </x:c>
      <x:c r="J216" s="48" t="str">
        <x:v>—/—/—/—</x:v>
      </x:c>
      <x:c r="K216" s="48" t="str">
        <x:v>—/—/—/—</x:v>
      </x:c>
      <x:c r="L216" s="48" t="str">
        <x:v>—/—/—/—</x:v>
      </x:c>
      <x:c r="M216" s="48" t="str">
        <x:v>—/—/—/—</x:v>
      </x:c>
      <x:c r="N216" s="48" t="str">
        <x:v>—/—/—/—</x:v>
      </x:c>
      <x:c r="O216" s="48" t="str">
        <x:v>—/—/—/—</x:v>
      </x:c>
      <x:c r="P216" s="48" t="str">
        <x:v>—/—/—/—</x:v>
      </x:c>
      <x:c r="Q216" s="48" t="str">
        <x:v>Bblo/Bblo/Bblo/—</x:v>
      </x:c>
      <x:c r="R216" s="48" t="str">
        <x:v>—/—/—/—</x:v>
      </x:c>
      <x:c r="S216" s="48" t="str">
        <x:v>30 / 1 / 20% / 6% / 2 / 30% / 9% / 3 / 40% / 12% / 4 / 50% / 15% / 20</x:v>
      </x:c>
      <x:c r="T216" s="48" t="str">
        <x:v>“—”表示 6.48b 对象表该级字段为空；脚本型技能需结合证据说明与来源冲突表。</x:v>
      </x:c>
    </x:row>
    <x:row r="217" ht="34" customHeight="1">
      <x:c r="A217" s="18" t="str">
        <x:v>Hmkg-4</x:v>
      </x:c>
      <x:c r="B217" s="18" t="str">
        <x:v>食人魔法师</x:v>
      </x:c>
      <x:c r="C217" s="18" t="str">
        <x:v>Ogre Magi</x:v>
      </x:c>
      <x:c r="D217" s="18" t="str">
        <x:v>Multi Cast</x:v>
      </x:c>
      <x:c r="E217" s="18" t="str">
        <x:v>A088</x:v>
      </x:c>
      <x:c r="F217" s="18" t="str">
        <x:v>ANeg</x:v>
      </x:c>
      <x:c r="G217" s="48" t="str">
        <x:v>—/—/—</x:v>
      </x:c>
      <x:c r="H217" s="48" t="str">
        <x:v>—/—/—</x:v>
      </x:c>
      <x:c r="I217" s="48" t="str">
        <x:v>A04W,A089/A089,A08A/A08A,A08D</x:v>
      </x:c>
      <x:c r="J217" s="48" t="str">
        <x:v>A011,A007/A007,A01T/A01T,A00F</x:v>
      </x:c>
      <x:c r="K217" s="48" t="str">
        <x:v>A083,A08F/A08F,A08G/A08G,A08I</x:v>
      </x:c>
      <x:c r="L217" s="48" t="str">
        <x:v>ANde,ANd1/ANd1,ANd2/ANd2,ANd3</x:v>
      </x:c>
      <x:c r="M217" s="48" t="str">
        <x:v>—/—/—</x:v>
      </x:c>
      <x:c r="N217" s="48" t="str">
        <x:v>—/—/—</x:v>
      </x:c>
      <x:c r="O217" s="48" t="str">
        <x:v>—/—/—</x:v>
      </x:c>
      <x:c r="P217" s="48" t="str">
        <x:v>—/—/—</x:v>
      </x:c>
      <x:c r="Q217" s="48" t="str">
        <x:v>B00A/B00A/B00A</x:v>
      </x:c>
      <x:c r="R217" s="48" t="str">
        <x:v>—/—/—</x:v>
      </x:c>
      <x:c r="S217" s="48" t="str">
        <x:v>3 / 5 / 150 / 1 / 20% / 30% / 2</x:v>
      </x:c>
      <x:c r="T217" s="48" t="str">
        <x:v>“—”表示 6.48b 对象表该级字段为空；脚本型技能需结合证据说明与来源冲突表。</x:v>
      </x:c>
    </x:row>
    <x:row r="218" ht="34" customHeight="1">
      <x:c r="A218" s="18" t="str">
        <x:v>Hblm-1</x:v>
      </x:c>
      <x:c r="B218" s="18" t="str">
        <x:v>光之守卫</x:v>
      </x:c>
      <x:c r="C218" s="18" t="str">
        <x:v>Keeper of the Light</x:v>
      </x:c>
      <x:c r="D218" s="18" t="str">
        <x:v>Mana Leak</x:v>
      </x:c>
      <x:c r="E218" s="18" t="str">
        <x:v>A07Y</x:v>
      </x:c>
      <x:c r="F218" s="18" t="str">
        <x:v>Acri</x:v>
      </x:c>
      <x:c r="G218" s="48" t="str">
        <x:v>—/—/—/—</x:v>
      </x:c>
      <x:c r="H218" s="48" t="str">
        <x:v>—/—/—/—</x:v>
      </x:c>
      <x:c r="I218" s="48" t="str">
        <x:v>—/—/—/—</x:v>
      </x:c>
      <x:c r="J218" s="48" t="str">
        <x:v>—/—/—/—</x:v>
      </x:c>
      <x:c r="K218" s="48" t="str">
        <x:v>—/—/—/—</x:v>
      </x:c>
      <x:c r="L218" s="48" t="str">
        <x:v>—/—/—/—</x:v>
      </x:c>
      <x:c r="M218" s="48" t="str">
        <x:v>—/—/—/—</x:v>
      </x:c>
      <x:c r="N218" s="48" t="str">
        <x:v>—/—/—/—</x:v>
      </x:c>
      <x:c r="O218" s="48" t="str">
        <x:v>—/—/—/—</x:v>
      </x:c>
      <x:c r="P218" s="48" t="str">
        <x:v>—/—/—/—</x:v>
      </x:c>
      <x:c r="Q218" s="48" t="str">
        <x:v>B03V/B03V/B03V/—</x:v>
      </x:c>
      <x:c r="R218" s="48" t="str">
        <x:v>—/—/—/—</x:v>
      </x:c>
      <x:c r="S218" s="48" t="str">
        <x:v>22 / 1 / 20% / 2 / 40% / 3 / 60% / 4 / 80% / 15</x:v>
      </x:c>
      <x:c r="T218" s="48" t="str">
        <x:v>“—”表示 6.48b 对象表该级字段为空；脚本型技能需结合证据说明与来源冲突表。</x:v>
      </x:c>
    </x:row>
    <x:row r="219" ht="34" customHeight="1">
      <x:c r="A219" s="18" t="str">
        <x:v>Hblm-2</x:v>
      </x:c>
      <x:c r="B219" s="18" t="str">
        <x:v>光之守卫</x:v>
      </x:c>
      <x:c r="C219" s="18" t="str">
        <x:v>Keeper of the Light</x:v>
      </x:c>
      <x:c r="D219" s="18" t="str">
        <x:v>Chakra Magic</x:v>
      </x:c>
      <x:c r="E219" s="18" t="str">
        <x:v>A07N</x:v>
      </x:c>
      <x:c r="F219" s="18" t="str">
        <x:v>Ainf</x:v>
      </x:c>
      <x:c r="G219" s="48" t="str">
        <x:v>0.07/0.14/0.21/—</x:v>
      </x:c>
      <x:c r="H219" s="48" t="str">
        <x:v>—/—/—/—</x:v>
      </x:c>
      <x:c r="I219" s="48" t="str">
        <x:v>500/500/500/—</x:v>
      </x:c>
      <x:c r="J219" s="48" t="str">
        <x:v>0.15/0.3/0.45/—</x:v>
      </x:c>
      <x:c r="K219" s="48" t="str">
        <x:v>—/—/—/—</x:v>
      </x:c>
      <x:c r="L219" s="48" t="str">
        <x:v>—/—/—/—</x:v>
      </x:c>
      <x:c r="M219" s="48" t="str">
        <x:v>—/—/—/—</x:v>
      </x:c>
      <x:c r="N219" s="48" t="str">
        <x:v>—/—/—/—</x:v>
      </x:c>
      <x:c r="O219" s="48" t="str">
        <x:v>—/—/—/—</x:v>
      </x:c>
      <x:c r="P219" s="48" t="str">
        <x:v>—/—/—/—</x:v>
      </x:c>
      <x:c r="Q219" s="48" t="str">
        <x:v>B02X/B02X/B02X/—</x:v>
      </x:c>
      <x:c r="R219" s="48" t="str">
        <x:v>—/—/—/—</x:v>
      </x:c>
      <x:c r="S219" s="48" t="str">
        <x:v>30 / 1 / 75 / 15 / 7% / 2 / 150 / 3 / 14% / 225 / 45 / 21% / 4 / 300 / 6 / 28% / 19</x:v>
      </x:c>
      <x:c r="T219" s="48" t="str">
        <x:v>“—”表示 6.48b 对象表该级字段为空；脚本型技能需结合证据说明与来源冲突表。</x:v>
      </x:c>
    </x:row>
    <x:row r="220" ht="34" customHeight="1">
      <x:c r="A220" s="18" t="str">
        <x:v>Hblm-3</x:v>
      </x:c>
      <x:c r="B220" s="18" t="str">
        <x:v>光之守卫</x:v>
      </x:c>
      <x:c r="C220" s="18" t="str">
        <x:v>Keeper of the Light</x:v>
      </x:c>
      <x:c r="D220" s="18" t="str">
        <x:v>Ignis Fatuus</x:v>
      </x:c>
      <x:c r="E220" s="18" t="str">
        <x:v>A0MO</x:v>
      </x:c>
      <x:c r="F220" s="18" t="str">
        <x:v>AEsv</x:v>
      </x:c>
      <x:c r="G220" s="48" t="str">
        <x:v>1/1/1</x:v>
      </x:c>
      <x:c r="H220" s="48" t="str">
        <x:v>—/—/—</x:v>
      </x:c>
      <x:c r="I220" s="48" t="str">
        <x:v>—/—/—</x:v>
      </x:c>
      <x:c r="J220" s="48" t="str">
        <x:v>—/—/—</x:v>
      </x:c>
      <x:c r="K220" s="48" t="str">
        <x:v>—/—/—</x:v>
      </x:c>
      <x:c r="L220" s="48" t="str">
        <x:v>—/—/—</x:v>
      </x:c>
      <x:c r="M220" s="48" t="str">
        <x:v>—/—/—</x:v>
      </x:c>
      <x:c r="N220" s="48" t="str">
        <x:v>—/—/—</x:v>
      </x:c>
      <x:c r="O220" s="48" t="str">
        <x:v>—/—/—</x:v>
      </x:c>
      <x:c r="P220" s="48" t="str">
        <x:v>e00K/e00I/e00L</x:v>
      </x:c>
      <x:c r="Q220" s="48" t="str">
        <x:v>B02Y/B02Y/B02Y</x:v>
      </x:c>
      <x:c r="R220" s="48" t="str">
        <x:v>—/—/—</x:v>
      </x:c>
      <x:c r="S220" s="48" t="str">
        <x:v>90 / 1 / 2 / 3 / 60</x:v>
      </x:c>
      <x:c r="T220" s="48" t="str">
        <x:v>“—”表示 6.48b 对象表该级字段为空；脚本型技能需结合证据说明与来源冲突表。</x:v>
      </x:c>
    </x:row>
    <x:row r="221" ht="34" customHeight="1">
      <x:c r="A221" s="18" t="str">
        <x:v>Hblm-4</x:v>
      </x:c>
      <x:c r="B221" s="18" t="str">
        <x:v>光之守卫</x:v>
      </x:c>
      <x:c r="C221" s="18" t="str">
        <x:v>Keeper of the Light</x:v>
      </x:c>
      <x:c r="D221" s="18" t="str">
        <x:v>Illuminate</x:v>
      </x:c>
      <x:c r="E221" s="18" t="str">
        <x:v>A085</x:v>
      </x:c>
      <x:c r="F221" s="18" t="str">
        <x:v>ANcl</x:v>
      </x:c>
      <x:c r="G221" s="48" t="str">
        <x:v>2/3/4/5</x:v>
      </x:c>
      <x:c r="H221" s="48" t="str">
        <x:v>3/3/3/3</x:v>
      </x:c>
      <x:c r="I221" s="48" t="str">
        <x:v>1/1/1/1</x:v>
      </x:c>
      <x:c r="J221" s="48" t="str">
        <x:v>0.98/0.98/0.98/0.98</x:v>
      </x:c>
      <x:c r="K221" s="48" t="str">
        <x:v>—/—/—/—</x:v>
      </x:c>
      <x:c r="L221" s="48" t="str">
        <x:v>channel/channel/channel/channel</x:v>
      </x:c>
      <x:c r="M221" s="48" t="str">
        <x:v>—/—/—/—</x:v>
      </x:c>
      <x:c r="N221" s="48" t="str">
        <x:v>—/—/—/—</x:v>
      </x:c>
      <x:c r="O221" s="48" t="str">
        <x:v>—/—/—/—</x:v>
      </x:c>
      <x:c r="P221" s="48" t="str">
        <x:v>—/—/—/—</x:v>
      </x:c>
      <x:c r="Q221" s="48" t="str">
        <x:v>—/—/—/—</x:v>
      </x:c>
      <x:c r="R221" s="48" t="str">
        <x:v>—/—/—/—</x:v>
      </x:c>
      <x:c r="S221" s="48" t="str">
        <x:v>100 / 1 / 2 / 500 / 3 / 600 / 4 / 700 / 5 / 800 / 10</x:v>
      </x:c>
      <x:c r="T221" s="48" t="str">
        <x:v>“—”表示 6.48b 对象表该级字段为空；脚本型技能需结合证据说明与来源冲突表。</x:v>
      </x:c>
    </x:row>
    <x:row r="222" ht="34" customHeight="1">
      <x:c r="A222" s="18" t="str">
        <x:v>Ntin-1</x:v>
      </x:c>
      <x:c r="B222" s="18" t="str">
        <x:v>修补匠</x:v>
      </x:c>
      <x:c r="C222" s="18" t="str">
        <x:v>Tinker</x:v>
      </x:c>
      <x:c r="D222" s="18" t="str">
        <x:v>Laser</x:v>
      </x:c>
      <x:c r="E222" s="18" t="str">
        <x:v>A049</x:v>
      </x:c>
      <x:c r="F222" s="18" t="str">
        <x:v>ANdh</x:v>
      </x:c>
      <x:c r="G222" s="48" t="str">
        <x:v>—/—/—/—</x:v>
      </x:c>
      <x:c r="H222" s="48" t="str">
        <x:v>0.1/0.15/0.2/0.25</x:v>
      </x:c>
      <x:c r="I222" s="48" t="str">
        <x:v>—/—/—/—</x:v>
      </x:c>
      <x:c r="J222" s="48" t="str">
        <x:v>—/—/—/—</x:v>
      </x:c>
      <x:c r="K222" s="48" t="str">
        <x:v>—/—/—/—</x:v>
      </x:c>
      <x:c r="L222" s="48" t="str">
        <x:v>—/—/—/—</x:v>
      </x:c>
      <x:c r="M222" s="48" t="str">
        <x:v>—/—/—/—</x:v>
      </x:c>
      <x:c r="N222" s="48" t="str">
        <x:v>—/—/—/—</x:v>
      </x:c>
      <x:c r="O222" s="48" t="str">
        <x:v>—/—/—/—</x:v>
      </x:c>
      <x:c r="P222" s="48" t="str">
        <x:v>—/—/—/—</x:v>
      </x:c>
      <x:c r="Q222" s="48" t="str">
        <x:v>B02P/B02P/B02P/B02P</x:v>
      </x:c>
      <x:c r="R222" s="48" t="str">
        <x:v>—/—/—/—</x:v>
      </x:c>
      <x:c r="S222" s="48" t="str">
        <x:v>9 / 1 / 80 / 10% / 2 / 160 / 15% / 3 / 240 / 20% / 4 / 320 / 25% / 14</x:v>
      </x:c>
      <x:c r="T222" s="48" t="str">
        <x:v>“—”表示 6.48b 对象表该级字段为空；脚本型技能需结合证据说明与来源冲突表。</x:v>
      </x:c>
    </x:row>
    <x:row r="223" ht="34" customHeight="1">
      <x:c r="A223" s="18" t="str">
        <x:v>Ntin-2</x:v>
      </x:c>
      <x:c r="B223" s="18" t="str">
        <x:v>修补匠</x:v>
      </x:c>
      <x:c r="C223" s="18" t="str">
        <x:v>Tinker</x:v>
      </x:c>
      <x:c r="D223" s="18" t="str">
        <x:v>Heat Seeking Missile</x:v>
      </x:c>
      <x:c r="E223" s="18" t="str">
        <x:v>A05E</x:v>
      </x:c>
      <x:c r="F223" s="18" t="str">
        <x:v>AEfk</x:v>
      </x:c>
      <x:c r="G223" s="48" t="str">
        <x:v>100/175/250/325</x:v>
      </x:c>
      <x:c r="H223" s="48" t="str">
        <x:v>100/150/400/500</x:v>
      </x:c>
      <x:c r="I223" s="48" t="str">
        <x:v>1/1/2/2</x:v>
      </x:c>
      <x:c r="J223" s="48" t="str">
        <x:v>100/100/100/100</x:v>
      </x:c>
      <x:c r="K223" s="48" t="str">
        <x:v>—/—/—/—</x:v>
      </x:c>
      <x:c r="L223" s="48" t="str">
        <x:v>—/—/—/—</x:v>
      </x:c>
      <x:c r="M223" s="48" t="str">
        <x:v>—/—/—/—</x:v>
      </x:c>
      <x:c r="N223" s="48" t="str">
        <x:v>—/—/—/—</x:v>
      </x:c>
      <x:c r="O223" s="48" t="str">
        <x:v>—/—/—/—</x:v>
      </x:c>
      <x:c r="P223" s="48" t="str">
        <x:v>—/—/—/—</x:v>
      </x:c>
      <x:c r="Q223" s="48" t="str">
        <x:v>—/—/—/—</x:v>
      </x:c>
      <x:c r="R223" s="48" t="str">
        <x:v>—/—/—/—</x:v>
      </x:c>
      <x:c r="S223" s="48" t="str">
        <x:v>2500 / 1 / 100 / 2 / 175 / 3 / 250 / 4 / 325 / 25</x:v>
      </x:c>
      <x:c r="T223" s="48" t="str">
        <x:v>“—”表示 6.48b 对象表该级字段为空；脚本型技能需结合证据说明与来源冲突表。</x:v>
      </x:c>
    </x:row>
    <x:row r="224" ht="34" customHeight="1">
      <x:c r="A224" s="18" t="str">
        <x:v>Ntin-3</x:v>
      </x:c>
      <x:c r="B224" s="18" t="str">
        <x:v>修补匠</x:v>
      </x:c>
      <x:c r="C224" s="18" t="str">
        <x:v>Tinker</x:v>
      </x:c>
      <x:c r="D224" s="18" t="str">
        <x:v>March of the Machines</x:v>
      </x:c>
      <x:c r="E224" s="18" t="str">
        <x:v>A0BQ</x:v>
      </x:c>
      <x:c r="F224" s="18" t="str">
        <x:v>ANcl</x:v>
      </x:c>
      <x:c r="G224" s="48" t="str">
        <x:v>—/—/—/—</x:v>
      </x:c>
      <x:c r="H224" s="48" t="str">
        <x:v>2/2/2/2</x:v>
      </x:c>
      <x:c r="I224" s="48" t="str">
        <x:v>1/1/1/1</x:v>
      </x:c>
      <x:c r="J224" s="48" t="str">
        <x:v>—/—/—/—</x:v>
      </x:c>
      <x:c r="K224" s="48" t="str">
        <x:v>—/—/—/—</x:v>
      </x:c>
      <x:c r="L224" s="48" t="str">
        <x:v>curse/curse/curse/curse</x:v>
      </x:c>
      <x:c r="M224" s="48" t="str">
        <x:v>—/—/—/—</x:v>
      </x:c>
      <x:c r="N224" s="48" t="str">
        <x:v>—/—/—/—</x:v>
      </x:c>
      <x:c r="O224" s="48" t="str">
        <x:v>—/—/—/—</x:v>
      </x:c>
      <x:c r="P224" s="48" t="str">
        <x:v>—/—/—/—</x:v>
      </x:c>
      <x:c r="Q224" s="48" t="str">
        <x:v>—/—/—/—</x:v>
      </x:c>
      <x:c r="R224" s="48" t="str">
        <x:v>—/—/—/—</x:v>
      </x:c>
      <x:c r="S224" s="48" t="str">
        <x:v>1 / 16 / 2 / 24 / 3 / 32 / 4 / 40 / 35</x:v>
      </x:c>
      <x:c r="T224" s="48" t="str">
        <x:v>“—”表示 6.48b 对象表该级字段为空；脚本型技能需结合证据说明与来源冲突表。</x:v>
      </x:c>
    </x:row>
    <x:row r="225" ht="34" customHeight="1">
      <x:c r="A225" s="18" t="str">
        <x:v>Ntin-4</x:v>
      </x:c>
      <x:c r="B225" s="18" t="str">
        <x:v>修补匠</x:v>
      </x:c>
      <x:c r="C225" s="18" t="str">
        <x:v>Tinker</x:v>
      </x:c>
      <x:c r="D225" s="18" t="str">
        <x:v>Rearm</x:v>
      </x:c>
      <x:c r="E225" s="18" t="str">
        <x:v>A065</x:v>
      </x:c>
      <x:c r="F225" s="18" t="str">
        <x:v>ANcl</x:v>
      </x:c>
      <x:c r="G225" s="48" t="str">
        <x:v>3/2/1</x:v>
      </x:c>
      <x:c r="H225" s="48" t="str">
        <x:v>—/—/—</x:v>
      </x:c>
      <x:c r="I225" s="48" t="str">
        <x:v>1/1/1</x:v>
      </x:c>
      <x:c r="J225" s="48" t="str">
        <x:v>0.98/0.98/0.98</x:v>
      </x:c>
      <x:c r="K225" s="48" t="str">
        <x:v>—/—/—</x:v>
      </x:c>
      <x:c r="L225" s="48" t="str">
        <x:v>channel/channel/channel</x:v>
      </x:c>
      <x:c r="M225" s="48" t="str">
        <x:v>—/—/—</x:v>
      </x:c>
      <x:c r="N225" s="48" t="str">
        <x:v>—/—/—</x:v>
      </x:c>
      <x:c r="O225" s="48" t="str">
        <x:v>—/—/—</x:v>
      </x:c>
      <x:c r="P225" s="48" t="str">
        <x:v>—/—/—</x:v>
      </x:c>
      <x:c r="Q225" s="48" t="str">
        <x:v>—/—/—</x:v>
      </x:c>
      <x:c r="R225" s="48" t="str">
        <x:v>—/—/—</x:v>
      </x:c>
      <x:c r="S225" s="48" t="str">
        <x:v>1 / 3 / 2</x:v>
      </x:c>
      <x:c r="T225" s="48" t="str">
        <x:v>“—”表示 6.48b 对象表该级字段为空；脚本型技能需结合证据说明与来源冲突表。</x:v>
      </x:c>
    </x:row>
    <x:row r="226" ht="34" customHeight="1">
      <x:c r="A226" s="18" t="str">
        <x:v>Ogrh-1</x:v>
      </x:c>
      <x:c r="B226" s="18" t="str">
        <x:v>幻影长矛手</x:v>
      </x:c>
      <x:c r="C226" s="18" t="str">
        <x:v>Phantom Lancer</x:v>
      </x:c>
      <x:c r="D226" s="18" t="str">
        <x:v>Spirit Lance</x:v>
      </x:c>
      <x:c r="E226" s="18" t="str">
        <x:v>A0DA</x:v>
      </x:c>
      <x:c r="F226" s="18" t="str">
        <x:v>AHtb</x:v>
      </x:c>
      <x:c r="G226" s="48" t="str">
        <x:v>110/150/215/310</x:v>
      </x:c>
      <x:c r="H226" s="48" t="str">
        <x:v>—/—/—/—</x:v>
      </x:c>
      <x:c r="I226" s="48" t="str">
        <x:v>—/—/—/—</x:v>
      </x:c>
      <x:c r="J226" s="48" t="str">
        <x:v>—/—/—/—</x:v>
      </x:c>
      <x:c r="K226" s="48" t="str">
        <x:v>—/—/—/—</x:v>
      </x:c>
      <x:c r="L226" s="48" t="str">
        <x:v>—/—/—/—</x:v>
      </x:c>
      <x:c r="M226" s="48" t="str">
        <x:v>—/—/—/—</x:v>
      </x:c>
      <x:c r="N226" s="48" t="str">
        <x:v>—/—/—/—</x:v>
      </x:c>
      <x:c r="O226" s="48" t="str">
        <x:v>—/—/—/—</x:v>
      </x:c>
      <x:c r="P226" s="48" t="str">
        <x:v>—/—/—/—</x:v>
      </x:c>
      <x:c r="Q226" s="48" t="str">
        <x:v>BPSE/BPSE/BPSE/BPSE</x:v>
      </x:c>
      <x:c r="R226" s="48" t="str">
        <x:v>—/—/—/—</x:v>
      </x:c>
      <x:c r="S226" s="48" t="str">
        <x:v>3 / 1 / 110 / 10% / 2 / 150 / 20% / 215 / 30% / 4 / 310 / 40% / 9</x:v>
      </x:c>
      <x:c r="T226" s="48" t="str">
        <x:v>“—”表示 6.48b 对象表该级字段为空；脚本型技能需结合证据说明与来源冲突表。</x:v>
      </x:c>
    </x:row>
    <x:row r="227" ht="34" customHeight="1">
      <x:c r="A227" s="18" t="str">
        <x:v>Ogrh-2</x:v>
      </x:c>
      <x:c r="B227" s="18" t="str">
        <x:v>幻影长矛手</x:v>
      </x:c>
      <x:c r="C227" s="18" t="str">
        <x:v>Phantom Lancer</x:v>
      </x:c>
      <x:c r="D227" s="18" t="str">
        <x:v>Doppelwalk</x:v>
      </x:c>
      <x:c r="E227" s="18" t="str">
        <x:v>A0D7</x:v>
      </x:c>
      <x:c r="F227" s="18" t="str">
        <x:v>AOwk</x:v>
      </x:c>
      <x:c r="G227" s="48" t="str">
        <x:v>0.001/0.001/0.001/0.001</x:v>
      </x:c>
      <x:c r="H227" s="48" t="str">
        <x:v>0.1/0.1/0.1/0.1</x:v>
      </x:c>
      <x:c r="I227" s="48" t="str">
        <x:v>—/—/—/—</x:v>
      </x:c>
      <x:c r="J227" s="48" t="str">
        <x:v>—/—/—/—</x:v>
      </x:c>
      <x:c r="K227" s="48" t="str">
        <x:v>—/—/—/—</x:v>
      </x:c>
      <x:c r="L227" s="48" t="str">
        <x:v>—/—/—/—</x:v>
      </x:c>
      <x:c r="M227" s="48" t="str">
        <x:v>—/—/—/—</x:v>
      </x:c>
      <x:c r="N227" s="48" t="str">
        <x:v>—/—/—/—</x:v>
      </x:c>
      <x:c r="O227" s="48" t="str">
        <x:v>—/—/—/—</x:v>
      </x:c>
      <x:c r="P227" s="48" t="str">
        <x:v>—/—/—/—</x:v>
      </x:c>
      <x:c r="Q227" s="48" t="str">
        <x:v>B039/B039/B039/B039</x:v>
      </x:c>
      <x:c r="R227" s="48" t="str">
        <x:v>—/—/—/—</x:v>
      </x:c>
      <x:c r="S227" s="48" t="str">
        <x:v>10% / 12 / 1 / 150 / 2 / 120 / 3 / 90 / 4 / 60 / 30 / 25 / 20 / 15 / 25% / 300%</x:v>
      </x:c>
      <x:c r="T227" s="48" t="str">
        <x:v>“—”表示 6.48b 对象表该级字段为空；脚本型技能需结合证据说明与来源冲突表。</x:v>
      </x:c>
    </x:row>
    <x:row r="228" ht="34" customHeight="1">
      <x:c r="A228" s="18" t="str">
        <x:v>Ogrh-3</x:v>
      </x:c>
      <x:c r="B228" s="18" t="str">
        <x:v>幻影长矛手</x:v>
      </x:c>
      <x:c r="C228" s="18" t="str">
        <x:v>Phantom Lancer</x:v>
      </x:c>
      <x:c r="D228" s="18" t="str">
        <x:v>Juxtapose</x:v>
      </x:c>
      <x:c r="E228" s="18" t="str">
        <x:v>A0DB</x:v>
      </x:c>
      <x:c r="F228" s="18" t="str">
        <x:v>AHab</x:v>
      </x:c>
      <x:c r="G228" s="48" t="str">
        <x:v>—/—/—/—</x:v>
      </x:c>
      <x:c r="H228" s="48" t="str">
        <x:v>—/—/—/—</x:v>
      </x:c>
      <x:c r="I228" s="48" t="str">
        <x:v>—/—/—/—</x:v>
      </x:c>
      <x:c r="J228" s="48" t="str">
        <x:v>—/—/—/—</x:v>
      </x:c>
      <x:c r="K228" s="48" t="str">
        <x:v>—/—/—/—</x:v>
      </x:c>
      <x:c r="L228" s="48" t="str">
        <x:v>—/—/—/—</x:v>
      </x:c>
      <x:c r="M228" s="48" t="str">
        <x:v>—/—/—/—</x:v>
      </x:c>
      <x:c r="N228" s="48" t="str">
        <x:v>—/—/—/—</x:v>
      </x:c>
      <x:c r="O228" s="48" t="str">
        <x:v>—/—/—/—</x:v>
      </x:c>
      <x:c r="P228" s="48" t="str">
        <x:v>—/—/—/—</x:v>
      </x:c>
      <x:c r="Q228" s="48" t="str">
        <x:v>B03B/B03B/B03B/B03B</x:v>
      </x:c>
      <x:c r="R228" s="48" t="str">
        <x:v>—/—/—/—</x:v>
      </x:c>
      <x:c r="S228" s="48" t="str">
        <x:v>8 / 15 / 1 / 3% / 2 / 6% / 3 / 9% / 4 / 12% / 25% / 300%</x:v>
      </x:c>
      <x:c r="T228" s="48" t="str">
        <x:v>“—”表示 6.48b 对象表该级字段为空；脚本型技能需结合证据说明与来源冲突表。</x:v>
      </x:c>
    </x:row>
    <x:row r="229" ht="34" customHeight="1">
      <x:c r="A229" s="18" t="str">
        <x:v>Ogrh-4</x:v>
      </x:c>
      <x:c r="B229" s="18" t="str">
        <x:v>幻影长矛手</x:v>
      </x:c>
      <x:c r="C229" s="18" t="str">
        <x:v>Phantom Lancer</x:v>
      </x:c>
      <x:c r="D229" s="18" t="str">
        <x:v>Phantom Edge</x:v>
      </x:c>
      <x:c r="E229" s="18" t="str">
        <x:v>A0D9</x:v>
      </x:c>
      <x:c r="F229" s="18" t="str">
        <x:v>AEev</x:v>
      </x:c>
      <x:c r="G229" s="48" t="str">
        <x:v>0.05/0.1/0.15</x:v>
      </x:c>
      <x:c r="H229" s="48" t="str">
        <x:v>—/—/—</x:v>
      </x:c>
      <x:c r="I229" s="48" t="str">
        <x:v>—/—/—</x:v>
      </x:c>
      <x:c r="J229" s="48" t="str">
        <x:v>—/—/—</x:v>
      </x:c>
      <x:c r="K229" s="48" t="str">
        <x:v>—/—/—</x:v>
      </x:c>
      <x:c r="L229" s="48" t="str">
        <x:v>—/—/—</x:v>
      </x:c>
      <x:c r="M229" s="48" t="str">
        <x:v>—/—/—</x:v>
      </x:c>
      <x:c r="N229" s="48" t="str">
        <x:v>—/—/—</x:v>
      </x:c>
      <x:c r="O229" s="48" t="str">
        <x:v>—/—/—</x:v>
      </x:c>
      <x:c r="P229" s="48" t="str">
        <x:v>—/—/—</x:v>
      </x:c>
      <x:c r="Q229" s="48" t="str">
        <x:v>—/—/—</x:v>
      </x:c>
      <x:c r="R229" s="48" t="str">
        <x:v>—/—/—</x:v>
      </x:c>
      <x:c r="S229" s="48" t="str">
        <x:v>1 / 5% / 3% / 2% / 2 / 10% / 4% / 3 / 15% / 7% / 6%</x:v>
      </x:c>
      <x:c r="T229" s="48" t="str">
        <x:v>“—”表示 6.48b 对象表该级字段为空；脚本型技能需结合证据说明与来源冲突表。</x:v>
      </x:c>
    </x:row>
    <x:row r="230" ht="34" customHeight="1">
      <x:c r="A230" s="18" t="str">
        <x:v>Hamg-1</x:v>
      </x:c>
      <x:c r="B230" s="18" t="str">
        <x:v>树精卫士</x:v>
      </x:c>
      <x:c r="C230" s="18" t="str">
        <x:v>Treant Protector</x:v>
      </x:c>
      <x:c r="D230" s="18" t="str">
        <x:v>Eyes in the Forest</x:v>
      </x:c>
      <x:c r="E230" s="18" t="str">
        <x:v>A01V</x:v>
      </x:c>
      <x:c r="F230" s="18" t="str">
        <x:v>Aesn</x:v>
      </x:c>
      <x:c r="G230" s="48" t="str">
        <x:v>600/630/660/—</x:v>
      </x:c>
      <x:c r="H230" s="48" t="str">
        <x:v>600/630/660/—</x:v>
      </x:c>
      <x:c r="I230" s="48" t="str">
        <x:v>450/450/450/—</x:v>
      </x:c>
      <x:c r="J230" s="48" t="str">
        <x:v>—/—/—/—</x:v>
      </x:c>
      <x:c r="K230" s="48" t="str">
        <x:v>—/—/—/—</x:v>
      </x:c>
      <x:c r="L230" s="48" t="str">
        <x:v>—/—/—/—</x:v>
      </x:c>
      <x:c r="M230" s="48" t="str">
        <x:v>—/—/—/—</x:v>
      </x:c>
      <x:c r="N230" s="48" t="str">
        <x:v>—/—/—/—</x:v>
      </x:c>
      <x:c r="O230" s="48" t="str">
        <x:v>—/—/—/—</x:v>
      </x:c>
      <x:c r="P230" s="48" t="str">
        <x:v>—/—/—/—</x:v>
      </x:c>
      <x:c r="Q230" s="48" t="str">
        <x:v>—/—/—/—</x:v>
      </x:c>
      <x:c r="R230" s="48" t="str">
        <x:v>XEsn/XEsn/XEsn/—</x:v>
      </x:c>
      <x:c r="S230" s="48" t="str">
        <x:v>1 / 100 / 2 / 75 / 3 / 50 / 4 / 25 / 300 / 225 / 150</x:v>
      </x:c>
      <x:c r="T230" s="48" t="str">
        <x:v>“—”表示 6.48b 对象表该级字段为空；脚本型技能需结合证据说明与来源冲突表。</x:v>
      </x:c>
    </x:row>
    <x:row r="231" ht="34" customHeight="1">
      <x:c r="A231" s="18" t="str">
        <x:v>Hamg-2</x:v>
      </x:c>
      <x:c r="B231" s="18" t="str">
        <x:v>树精卫士</x:v>
      </x:c>
      <x:c r="C231" s="18" t="str">
        <x:v>Treant Protector</x:v>
      </x:c>
      <x:c r="D231" s="18" t="str">
        <x:v>Living Armor</x:v>
      </x:c>
      <x:c r="E231" s="18" t="str">
        <x:v>A01U</x:v>
      </x:c>
      <x:c r="F231" s="18" t="str">
        <x:v>Ainf</x:v>
      </x:c>
      <x:c r="G231" s="48" t="str">
        <x:v>—/—/—/—</x:v>
      </x:c>
      <x:c r="H231" s="48" t="str">
        <x:v>3/6/9/—</x:v>
      </x:c>
      <x:c r="I231" s="48" t="str">
        <x:v>500/500/500/—</x:v>
      </x:c>
      <x:c r="J231" s="48" t="str">
        <x:v>1/2/3/—</x:v>
      </x:c>
      <x:c r="K231" s="48" t="str">
        <x:v>—/—/—/—</x:v>
      </x:c>
      <x:c r="L231" s="48" t="str">
        <x:v>—/—/—/—</x:v>
      </x:c>
      <x:c r="M231" s="48" t="str">
        <x:v>—/—/—/—</x:v>
      </x:c>
      <x:c r="N231" s="48" t="str">
        <x:v>—/—/—/—</x:v>
      </x:c>
      <x:c r="O231" s="48" t="str">
        <x:v>—/—/—/—</x:v>
      </x:c>
      <x:c r="P231" s="48" t="str">
        <x:v>—/—/—/—</x:v>
      </x:c>
      <x:c r="Q231" s="48" t="str">
        <x:v>B020/B020/B020/—</x:v>
      </x:c>
      <x:c r="R231" s="48" t="str">
        <x:v>—/—/—/—</x:v>
      </x:c>
      <x:c r="S231" s="48" t="str">
        <x:v>1 / 3 / 2 / 6 / 9 / 4 / 12 / 7 / 30</x:v>
      </x:c>
      <x:c r="T231" s="48" t="str">
        <x:v>“—”表示 6.48b 对象表该级字段为空；脚本型技能需结合证据说明与来源冲突表。</x:v>
      </x:c>
    </x:row>
    <x:row r="232" ht="34" customHeight="1">
      <x:c r="A232" s="18" t="str">
        <x:v>Hamg-3</x:v>
      </x:c>
      <x:c r="B232" s="18" t="str">
        <x:v>树精卫士</x:v>
      </x:c>
      <x:c r="C232" s="18" t="str">
        <x:v>Treant Protector</x:v>
      </x:c>
      <x:c r="D232" s="18" t="str">
        <x:v>Overgrowth</x:v>
      </x:c>
      <x:c r="E232" s="18" t="str">
        <x:v>A07Z</x:v>
      </x:c>
      <x:c r="F232" s="18" t="str">
        <x:v>ANcl</x:v>
      </x:c>
      <x:c r="G232" s="48" t="str">
        <x:v>—/—/—</x:v>
      </x:c>
      <x:c r="H232" s="48" t="str">
        <x:v>—/—/—</x:v>
      </x:c>
      <x:c r="I232" s="48" t="str">
        <x:v>1/1/1</x:v>
      </x:c>
      <x:c r="J232" s="48" t="str">
        <x:v>0.98/0.98/0.98</x:v>
      </x:c>
      <x:c r="K232" s="48" t="str">
        <x:v>—/—/—</x:v>
      </x:c>
      <x:c r="L232" s="48" t="str">
        <x:v>channel/channel/channel</x:v>
      </x:c>
      <x:c r="M232" s="48" t="str">
        <x:v>—/—/—</x:v>
      </x:c>
      <x:c r="N232" s="48" t="str">
        <x:v>—/—/—</x:v>
      </x:c>
      <x:c r="O232" s="48" t="str">
        <x:v>—/—/—</x:v>
      </x:c>
      <x:c r="P232" s="48" t="str">
        <x:v>—/—/—</x:v>
      </x:c>
      <x:c r="Q232" s="48" t="str">
        <x:v>—/—/—</x:v>
      </x:c>
      <x:c r="R232" s="48" t="str">
        <x:v>—/—/—</x:v>
      </x:c>
      <x:c r="S232" s="48" t="str">
        <x:v>85 / 1 / 3 / 2 / 4 / 5 / 160</x:v>
      </x:c>
      <x:c r="T232" s="48" t="str">
        <x:v>“—”表示 6.48b 对象表该级字段为空；脚本型技能需结合证据说明与来源冲突表。</x:v>
      </x:c>
    </x:row>
    <x:row r="233" ht="34" customHeight="1">
      <x:c r="A233" s="18" t="str">
        <x:v>Hamg-4</x:v>
      </x:c>
      <x:c r="B233" s="18" t="str">
        <x:v>树精卫士</x:v>
      </x:c>
      <x:c r="C233" s="18" t="str">
        <x:v>Treant Protector</x:v>
      </x:c>
      <x:c r="D233" s="18" t="str">
        <x:v>Nature's Guise</x:v>
      </x:c>
      <x:c r="E233" s="18" t="str">
        <x:v>A01Z</x:v>
      </x:c>
      <x:c r="F233" s="18" t="str">
        <x:v>Aivs</x:v>
      </x:c>
      <x:c r="G233" s="48" t="str">
        <x:v>—/—/—/—</x:v>
      </x:c>
      <x:c r="H233" s="48" t="str">
        <x:v>—/—/—/—</x:v>
      </x:c>
      <x:c r="I233" s="48" t="str">
        <x:v>—/—/—/—</x:v>
      </x:c>
      <x:c r="J233" s="48" t="str">
        <x:v>—/—/—/—</x:v>
      </x:c>
      <x:c r="K233" s="48" t="str">
        <x:v>—/—/—/—</x:v>
      </x:c>
      <x:c r="L233" s="48" t="str">
        <x:v>—/—/—/—</x:v>
      </x:c>
      <x:c r="M233" s="48" t="str">
        <x:v>—/—/—/—</x:v>
      </x:c>
      <x:c r="N233" s="48" t="str">
        <x:v>—/—/—/—</x:v>
      </x:c>
      <x:c r="O233" s="48" t="str">
        <x:v>—/—/—/—</x:v>
      </x:c>
      <x:c r="P233" s="48" t="str">
        <x:v>—/—/—/—</x:v>
      </x:c>
      <x:c r="Q233" s="48" t="str">
        <x:v>B021/B021/B021/—</x:v>
      </x:c>
      <x:c r="R233" s="48" t="str">
        <x:v>—/—/—/—</x:v>
      </x:c>
      <x:c r="S233" s="48" t="str">
        <x:v>1 / 15 / 2 / 30 / 3 / 45 / 4 / 60</x:v>
      </x:c>
      <x:c r="T233" s="48" t="str">
        <x:v>“—”表示 6.48b 对象表该级字段为空；脚本型技能需结合证据说明与来源冲突表。</x:v>
      </x:c>
    </x:row>
    <x:row r="234" ht="34" customHeight="1">
      <x:c r="A234" s="18" t="str">
        <x:v>H00A-1</x:v>
      </x:c>
      <x:c r="B234" s="18" t="str">
        <x:v>圣骑士</x:v>
      </x:c>
      <x:c r="C234" s="18" t="str">
        <x:v>Holy Knight</x:v>
      </x:c>
      <x:c r="D234" s="18" t="str">
        <x:v>Penitence</x:v>
      </x:c>
      <x:c r="E234" s="18" t="str">
        <x:v>A0KM</x:v>
      </x:c>
      <x:c r="F234" s="18" t="str">
        <x:v>ANdh</x:v>
      </x:c>
      <x:c r="G234" s="48" t="str">
        <x:v>—/—/—/—</x:v>
      </x:c>
      <x:c r="H234" s="48" t="str">
        <x:v>—/—/—/—</x:v>
      </x:c>
      <x:c r="I234" s="48" t="str">
        <x:v>0.08/0.16/0.24/0.32</x:v>
      </x:c>
      <x:c r="J234" s="48" t="str">
        <x:v>—/—/—/—</x:v>
      </x:c>
      <x:c r="K234" s="48" t="str">
        <x:v>—/—/—/—</x:v>
      </x:c>
      <x:c r="L234" s="48" t="str">
        <x:v>—/—/—/—</x:v>
      </x:c>
      <x:c r="M234" s="48" t="str">
        <x:v>—/—/—/—</x:v>
      </x:c>
      <x:c r="N234" s="48" t="str">
        <x:v>—/—/—/—</x:v>
      </x:c>
      <x:c r="O234" s="48" t="str">
        <x:v>—/—/—/—</x:v>
      </x:c>
      <x:c r="P234" s="48" t="str">
        <x:v>—/—/—/—</x:v>
      </x:c>
      <x:c r="Q234" s="48" t="str">
        <x:v>B05H/B05H/B05H/B05H</x:v>
      </x:c>
      <x:c r="R234" s="48" t="str">
        <x:v>—/—/—/—</x:v>
      </x:c>
      <x:c r="S234" s="48" t="str">
        <x:v>7 / 1 / 8% / 7% / 2 / 16% / 14% / 3 / 24% / 21% / 4 / 32% / 28% / 14</x:v>
      </x:c>
      <x:c r="T234" s="48" t="str">
        <x:v>“—”表示 6.48b 对象表该级字段为空；脚本型技能需结合证据说明与来源冲突表。</x:v>
      </x:c>
    </x:row>
    <x:row r="235" ht="34" customHeight="1">
      <x:c r="A235" s="18" t="str">
        <x:v>H00A-2</x:v>
      </x:c>
      <x:c r="B235" s="18" t="str">
        <x:v>圣骑士</x:v>
      </x:c>
      <x:c r="C235" s="18" t="str">
        <x:v>Holy Knight</x:v>
      </x:c>
      <x:c r="D235" s="18" t="str">
        <x:v>Test of Faith</x:v>
      </x:c>
      <x:c r="E235" s="18" t="str">
        <x:v>A0LV</x:v>
      </x:c>
      <x:c r="F235" s="18" t="str">
        <x:v>ANcl</x:v>
      </x:c>
      <x:c r="G235" s="48" t="str">
        <x:v>—/—/—/—</x:v>
      </x:c>
      <x:c r="H235" s="48" t="str">
        <x:v>1/1/1/1</x:v>
      </x:c>
      <x:c r="I235" s="48" t="str">
        <x:v>1/1/1/1</x:v>
      </x:c>
      <x:c r="J235" s="48" t="str">
        <x:v>0.98/0.98/0.98/0.98</x:v>
      </x:c>
      <x:c r="K235" s="48" t="str">
        <x:v>—/—/—/—</x:v>
      </x:c>
      <x:c r="L235" s="48" t="str">
        <x:v>thunderbolt/thunderbolt/thunderbolt/thunderbolt</x:v>
      </x:c>
      <x:c r="M235" s="48" t="str">
        <x:v>—/—/—/—</x:v>
      </x:c>
      <x:c r="N235" s="48" t="str">
        <x:v>—/—/—/—</x:v>
      </x:c>
      <x:c r="O235" s="48" t="str">
        <x:v>—/—/—/—</x:v>
      </x:c>
      <x:c r="P235" s="48" t="str">
        <x:v>—/—/—/—</x:v>
      </x:c>
      <x:c r="Q235" s="48" t="str">
        <x:v>—/—/—/—</x:v>
      </x:c>
      <x:c r="R235" s="48" t="str">
        <x:v>—/—/—/—</x:v>
      </x:c>
      <x:c r="S235" s="48" t="str">
        <x:v>1 / 50 / -100 / 6 / 2 / 100 / -200 / 5 / 3 / 150 / -300 / 4 / 200 / -400 / 30</x:v>
      </x:c>
      <x:c r="T235" s="48" t="str">
        <x:v>“—”表示 6.48b 对象表该级字段为空；脚本型技能需结合证据说明与来源冲突表。</x:v>
      </x:c>
    </x:row>
    <x:row r="236" ht="34" customHeight="1">
      <x:c r="A236" s="18" t="str">
        <x:v>H00A-3</x:v>
      </x:c>
      <x:c r="B236" s="18" t="str">
        <x:v>圣骑士</x:v>
      </x:c>
      <x:c r="C236" s="18" t="str">
        <x:v>Holy Knight</x:v>
      </x:c>
      <x:c r="D236" s="18" t="str">
        <x:v>Holy Persuasion</x:v>
      </x:c>
      <x:c r="E236" s="18" t="str">
        <x:v>A069</x:v>
      </x:c>
      <x:c r="F236" s="18" t="str">
        <x:v>ANch</x:v>
      </x:c>
      <x:c r="G236" s="48" t="str">
        <x:v>6/6/6/5</x:v>
      </x:c>
      <x:c r="H236" s="48" t="str">
        <x:v>—/—/—/—</x:v>
      </x:c>
      <x:c r="I236" s="48" t="str">
        <x:v>—/—/—/—</x:v>
      </x:c>
      <x:c r="J236" s="48" t="str">
        <x:v>—/—/—/—</x:v>
      </x:c>
      <x:c r="K236" s="48" t="str">
        <x:v>—/—/—/—</x:v>
      </x:c>
      <x:c r="L236" s="48" t="str">
        <x:v>—/—/—/—</x:v>
      </x:c>
      <x:c r="M236" s="48" t="str">
        <x:v>—/—/—/—</x:v>
      </x:c>
      <x:c r="N236" s="48" t="str">
        <x:v>—/—/—/—</x:v>
      </x:c>
      <x:c r="O236" s="48" t="str">
        <x:v>—/—/—/—</x:v>
      </x:c>
      <x:c r="P236" s="48" t="str">
        <x:v>—/—/—/—</x:v>
      </x:c>
      <x:c r="Q236" s="48" t="str">
        <x:v>—/—/—/—</x:v>
      </x:c>
      <x:c r="R236" s="48" t="str">
        <x:v>—/—/—/—</x:v>
      </x:c>
      <x:c r="S236" s="48" t="str">
        <x:v>1 / 75 / 2 / 150 / 3 / 225 / 4 / 300 / 30</x:v>
      </x:c>
      <x:c r="T236" s="48" t="str">
        <x:v>“—”表示 6.48b 对象表该级字段为空；脚本型技能需结合证据说明与来源冲突表。</x:v>
      </x:c>
    </x:row>
    <x:row r="237" ht="34" customHeight="1">
      <x:c r="A237" s="18" t="str">
        <x:v>H00A-4</x:v>
      </x:c>
      <x:c r="B237" s="18" t="str">
        <x:v>圣骑士</x:v>
      </x:c>
      <x:c r="C237" s="18" t="str">
        <x:v>Holy Knight</x:v>
      </x:c>
      <x:c r="D237" s="18" t="str">
        <x:v>Hand of God</x:v>
      </x:c>
      <x:c r="E237" s="18" t="str">
        <x:v>A0LT</x:v>
      </x:c>
      <x:c r="F237" s="18" t="str">
        <x:v>ANcl</x:v>
      </x:c>
      <x:c r="G237" s="48" t="str">
        <x:v>—/—/—</x:v>
      </x:c>
      <x:c r="H237" s="48" t="str">
        <x:v>—/—/—</x:v>
      </x:c>
      <x:c r="I237" s="48" t="str">
        <x:v>1/1/1</x:v>
      </x:c>
      <x:c r="J237" s="48" t="str">
        <x:v>0.98/0.98/0.98</x:v>
      </x:c>
      <x:c r="K237" s="48" t="str">
        <x:v>—/—/—</x:v>
      </x:c>
      <x:c r="L237" s="48" t="str">
        <x:v>channel/channel/channel</x:v>
      </x:c>
      <x:c r="M237" s="48" t="str">
        <x:v>—/—/—</x:v>
      </x:c>
      <x:c r="N237" s="48" t="str">
        <x:v>—/—/—</x:v>
      </x:c>
      <x:c r="O237" s="48" t="str">
        <x:v>—/—/—</x:v>
      </x:c>
      <x:c r="P237" s="48" t="str">
        <x:v>—/—/—</x:v>
      </x:c>
      <x:c r="Q237" s="48" t="str">
        <x:v>—/—/—</x:v>
      </x:c>
      <x:c r="R237" s="48" t="str">
        <x:v>—/—/—</x:v>
      </x:c>
      <x:c r="S237" s="48" t="str">
        <x:v>1 / 200 / 2 / 300 / 3 / 400 / 120</x:v>
      </x:c>
      <x:c r="T237" s="48" t="str">
        <x:v>“—”表示 6.48b 对象表该级字段为空；脚本型技能需结合证据说明与来源冲突表。</x:v>
      </x:c>
    </x:row>
    <x:row r="238" ht="34" customHeight="1">
      <x:c r="A238" s="18" t="str">
        <x:v>N01A-1</x:v>
      </x:c>
      <x:c r="B238" s="18" t="str">
        <x:v>沉默术士</x:v>
      </x:c>
      <x:c r="C238" s="18" t="str">
        <x:v>Silencer</x:v>
      </x:c>
      <x:c r="D238" s="18" t="str">
        <x:v>Curse of the Silent</x:v>
      </x:c>
      <x:c r="E238" s="18" t="str">
        <x:v>A0KD</x:v>
      </x:c>
      <x:c r="F238" s="18" t="str">
        <x:v>ANab</x:v>
      </x:c>
      <x:c r="G238" s="48" t="str">
        <x:v>—/—/—/—</x:v>
      </x:c>
      <x:c r="H238" s="48" t="str">
        <x:v>—/—/—/—</x:v>
      </x:c>
      <x:c r="I238" s="48" t="str">
        <x:v>—/—/—/—</x:v>
      </x:c>
      <x:c r="J238" s="48" t="str">
        <x:v>10/20/30/40</x:v>
      </x:c>
      <x:c r="K238" s="48" t="str">
        <x:v>10/20/30/40</x:v>
      </x:c>
      <x:c r="L238" s="48" t="str">
        <x:v>1/1/1/1</x:v>
      </x:c>
      <x:c r="M238" s="48" t="str">
        <x:v>—/—/—/—</x:v>
      </x:c>
      <x:c r="N238" s="48" t="str">
        <x:v>—/—/—/—</x:v>
      </x:c>
      <x:c r="O238" s="48" t="str">
        <x:v>—/—/—/—</x:v>
      </x:c>
      <x:c r="P238" s="48" t="str">
        <x:v>—/—/—/—</x:v>
      </x:c>
      <x:c r="Q238" s="48" t="str">
        <x:v>B05D/B05M/B05N/B05O</x:v>
      </x:c>
      <x:c r="R238" s="48" t="str">
        <x:v>—/—/—/—</x:v>
      </x:c>
      <x:c r="S238" s="48" t="str">
        <x:v>10 / 1 / 5 / 2 / 20 / 3 / 30 / 15 / 4 / 40 / 25</x:v>
      </x:c>
      <x:c r="T238" s="48" t="str">
        <x:v>“—”表示 6.48b 对象表该级字段为空；脚本型技能需结合证据说明与来源冲突表。</x:v>
      </x:c>
    </x:row>
    <x:row r="239" ht="34" customHeight="1">
      <x:c r="A239" s="18" t="str">
        <x:v>N01A-2</x:v>
      </x:c>
      <x:c r="B239" s="18" t="str">
        <x:v>沉默术士</x:v>
      </x:c>
      <x:c r="C239" s="18" t="str">
        <x:v>Silencer</x:v>
      </x:c>
      <x:c r="D239" s="18" t="str">
        <x:v>Glaives of Wisdom</x:v>
      </x:c>
      <x:c r="E239" s="18" t="str">
        <x:v>A0LZ</x:v>
      </x:c>
      <x:c r="F239" s="18" t="str">
        <x:v>AEpa</x:v>
      </x:c>
      <x:c r="G239" s="48" t="str">
        <x:v>—/—/—/—</x:v>
      </x:c>
      <x:c r="H239" s="48" t="str">
        <x:v>—/—/—/—</x:v>
      </x:c>
      <x:c r="I239" s="48" t="str">
        <x:v>—/—/—/—</x:v>
      </x:c>
      <x:c r="J239" s="48" t="str">
        <x:v>—/—/—/—</x:v>
      </x:c>
      <x:c r="K239" s="48" t="str">
        <x:v>1/1/1/1</x:v>
      </x:c>
      <x:c r="L239" s="48" t="str">
        <x:v>—/—/—/—</x:v>
      </x:c>
      <x:c r="M239" s="48" t="str">
        <x:v>—/—/—/—</x:v>
      </x:c>
      <x:c r="N239" s="48" t="str">
        <x:v>—/—/—/—</x:v>
      </x:c>
      <x:c r="O239" s="48" t="str">
        <x:v>—/—/—/—</x:v>
      </x:c>
      <x:c r="P239" s="48" t="str">
        <x:v>—/—/—/—</x:v>
      </x:c>
      <x:c r="Q239" s="48" t="str">
        <x:v>B05X,B05X,B05X/B05X,B05X,B05X/B05X,B05X,B05X/B05X,B05X,B05X</x:v>
      </x:c>
      <x:c r="R239" s="48" t="str">
        <x:v>—/—/—/—</x:v>
      </x:c>
      <x:c r="S239" s="48" t="str">
        <x:v>1 / 15% / 2 / 30% / 3 / 45% / 4 / 60% / 0</x:v>
      </x:c>
      <x:c r="T239" s="48" t="str">
        <x:v>“—”表示 6.48b 对象表该级字段为空；脚本型技能需结合证据说明与来源冲突表。</x:v>
      </x:c>
    </x:row>
    <x:row r="240" ht="34" customHeight="1">
      <x:c r="A240" s="18" t="str">
        <x:v>N01A-3</x:v>
      </x:c>
      <x:c r="B240" s="18" t="str">
        <x:v>沉默术士</x:v>
      </x:c>
      <x:c r="C240" s="18" t="str">
        <x:v>Silencer</x:v>
      </x:c>
      <x:c r="D240" s="18" t="str">
        <x:v>Last Word</x:v>
      </x:c>
      <x:c r="E240" s="18" t="str">
        <x:v>A0LR</x:v>
      </x:c>
      <x:c r="F240" s="18" t="str">
        <x:v>—</x:v>
      </x:c>
      <x:c r="G240" s="48" t="str">
        <x:v>—/—/—/—</x:v>
      </x:c>
      <x:c r="H240" s="48" t="str">
        <x:v>—/—/—/—</x:v>
      </x:c>
      <x:c r="I240" s="48" t="str">
        <x:v>—/—/—/—</x:v>
      </x:c>
      <x:c r="J240" s="48" t="str">
        <x:v>—/—/—/—</x:v>
      </x:c>
      <x:c r="K240" s="48" t="str">
        <x:v>—/—/—/—</x:v>
      </x:c>
      <x:c r="L240" s="48" t="str">
        <x:v>—/—/—/—</x:v>
      </x:c>
      <x:c r="M240" s="48" t="str">
        <x:v>—/—/—/—</x:v>
      </x:c>
      <x:c r="N240" s="48" t="str">
        <x:v>—/—/—/—</x:v>
      </x:c>
      <x:c r="O240" s="48" t="str">
        <x:v>—/—/—/—</x:v>
      </x:c>
      <x:c r="P240" s="48" t="str">
        <x:v>—/—/—/—</x:v>
      </x:c>
      <x:c r="Q240" s="48" t="str">
        <x:v>—/—/—/—</x:v>
      </x:c>
      <x:c r="R240" s="48" t="str">
        <x:v>—/—/—/—</x:v>
      </x:c>
      <x:c r="S240" s="48" t="str">
        <x:v>700 / 1 / 2 / 3 / 4</x:v>
      </x:c>
      <x:c r="T240" s="48" t="str">
        <x:v>“—”表示 6.48b 对象表该级字段为空；脚本型技能需结合证据说明与来源冲突表。</x:v>
      </x:c>
    </x:row>
    <x:row r="241" ht="34" customHeight="1">
      <x:c r="A241" s="18" t="str">
        <x:v>N01A-4</x:v>
      </x:c>
      <x:c r="B241" s="18" t="str">
        <x:v>沉默术士</x:v>
      </x:c>
      <x:c r="C241" s="18" t="str">
        <x:v>Silencer</x:v>
      </x:c>
      <x:c r="D241" s="18" t="str">
        <x:v>Global Silence</x:v>
      </x:c>
      <x:c r="E241" s="18" t="str">
        <x:v>A0L3</x:v>
      </x:c>
      <x:c r="F241" s="18" t="str">
        <x:v>ANcl</x:v>
      </x:c>
      <x:c r="G241" s="48" t="str">
        <x:v>—/—/—</x:v>
      </x:c>
      <x:c r="H241" s="48" t="str">
        <x:v>—/—/—</x:v>
      </x:c>
      <x:c r="I241" s="48" t="str">
        <x:v>1/1/1</x:v>
      </x:c>
      <x:c r="J241" s="48" t="str">
        <x:v>0.98/0.98/0.98</x:v>
      </x:c>
      <x:c r="K241" s="48" t="str">
        <x:v>—/—/—</x:v>
      </x:c>
      <x:c r="L241" s="48" t="str">
        <x:v>channel/channel/channel</x:v>
      </x:c>
      <x:c r="M241" s="48" t="str">
        <x:v>—/—/—</x:v>
      </x:c>
      <x:c r="N241" s="48" t="str">
        <x:v>—/—/—</x:v>
      </x:c>
      <x:c r="O241" s="48" t="str">
        <x:v>—/—/—</x:v>
      </x:c>
      <x:c r="P241" s="48" t="str">
        <x:v>—/—/—</x:v>
      </x:c>
      <x:c r="Q241" s="48" t="str">
        <x:v>B07U/B07U/B07U</x:v>
      </x:c>
      <x:c r="R241" s="48" t="str">
        <x:v>—/—/—</x:v>
      </x:c>
      <x:c r="S241" s="48" t="str">
        <x:v>1 / 3 / 2 / 4 / 5 / 160</x:v>
      </x:c>
      <x:c r="T241" s="48" t="str">
        <x:v>“—”表示 6.48b 对象表该级字段为空；脚本型技能需结合证据说明与来源冲突表。</x:v>
      </x:c>
    </x:row>
    <x:row r="242" ht="34" customHeight="1">
      <x:c r="A242" s="18" t="str">
        <x:v>E002-1</x:v>
      </x:c>
      <x:c r="B242" s="18" t="str">
        <x:v>闪电幽魂</x:v>
      </x:c>
      <x:c r="C242" s="18" t="str">
        <x:v>Lightning Revenant</x:v>
      </x:c>
      <x:c r="D242" s="18" t="str">
        <x:v>Chain Lightning</x:v>
      </x:c>
      <x:c r="E242" s="18" t="str">
        <x:v>A00Y</x:v>
      </x:c>
      <x:c r="F242" s="18" t="str">
        <x:v>AOcl</x:v>
      </x:c>
      <x:c r="G242" s="48" t="str">
        <x:v>75/150/225/300</x:v>
      </x:c>
      <x:c r="H242" s="48" t="str">
        <x:v>3/5/7/9</x:v>
      </x:c>
      <x:c r="I242" s="48" t="str">
        <x:v>0.15/0.15/0.15/0.15</x:v>
      </x:c>
      <x:c r="J242" s="48" t="str">
        <x:v>—/—/—/—</x:v>
      </x:c>
      <x:c r="K242" s="48" t="str">
        <x:v>—/—/—/—</x:v>
      </x:c>
      <x:c r="L242" s="48" t="str">
        <x:v>—/—/—/—</x:v>
      </x:c>
      <x:c r="M242" s="48" t="str">
        <x:v>—/—/—/—</x:v>
      </x:c>
      <x:c r="N242" s="48" t="str">
        <x:v>—/—/—/—</x:v>
      </x:c>
      <x:c r="O242" s="48" t="str">
        <x:v>—/—/—/—</x:v>
      </x:c>
      <x:c r="P242" s="48" t="str">
        <x:v>—/—/—/—</x:v>
      </x:c>
      <x:c r="Q242" s="48" t="str">
        <x:v>—/—/—/—</x:v>
      </x:c>
      <x:c r="R242" s="48" t="str">
        <x:v>—/—/—/—</x:v>
      </x:c>
      <x:c r="S242" s="48" t="str">
        <x:v>1 / 75 / 3 / 2 / 150 / 5 / 225 / 7 / 4 / 300 / 9 / 11</x:v>
      </x:c>
      <x:c r="T242" s="48" t="str">
        <x:v>“—”表示 6.48b 对象表该级字段为空；脚本型技能需结合证据说明与来源冲突表。</x:v>
      </x:c>
    </x:row>
    <x:row r="243" ht="34" customHeight="1">
      <x:c r="A243" s="18" t="str">
        <x:v>E002-2</x:v>
      </x:c>
      <x:c r="B243" s="18" t="str">
        <x:v>闪电幽魂</x:v>
      </x:c>
      <x:c r="C243" s="18" t="str">
        <x:v>Lightning Revenant</x:v>
      </x:c>
      <x:c r="D243" s="18" t="str">
        <x:v>Unholy Fervor</x:v>
      </x:c>
      <x:c r="E243" s="18" t="str">
        <x:v>A00N</x:v>
      </x:c>
      <x:c r="F243" s="18" t="str">
        <x:v>AUau</x:v>
      </x:c>
      <x:c r="G243" s="48" t="str">
        <x:v>0.03/0.05/0.08/0.1</x:v>
      </x:c>
      <x:c r="H243" s="48" t="str">
        <x:v>0.5/1/1.5/2</x:v>
      </x:c>
      <x:c r="I243" s="48" t="str">
        <x:v>—/—/—/—</x:v>
      </x:c>
      <x:c r="J243" s="48" t="str">
        <x:v>—/—/—/—</x:v>
      </x:c>
      <x:c r="K243" s="48" t="str">
        <x:v>—/—/—/—</x:v>
      </x:c>
      <x:c r="L243" s="48" t="str">
        <x:v>—/—/—/—</x:v>
      </x:c>
      <x:c r="M243" s="48" t="str">
        <x:v>—/—/—/—</x:v>
      </x:c>
      <x:c r="N243" s="48" t="str">
        <x:v>—/—/—/—</x:v>
      </x:c>
      <x:c r="O243" s="48" t="str">
        <x:v>—/—/—/—</x:v>
      </x:c>
      <x:c r="P243" s="48" t="str">
        <x:v>—/—/—/—</x:v>
      </x:c>
      <x:c r="Q243" s="48" t="str">
        <x:v>B03X/B03X/B03X/B03X</x:v>
      </x:c>
      <x:c r="R243" s="48" t="str">
        <x:v>—/—/—/—</x:v>
      </x:c>
      <x:c r="S243" s="48" t="str">
        <x:v>1 / 3% / 0.5 / 2 / 5% / 1.0 / 3 / 8% / 1.5 / 4 / 10% / 2.0</x:v>
      </x:c>
      <x:c r="T243" s="48" t="str">
        <x:v>“—”表示 6.48b 对象表该级字段为空；脚本型技能需结合证据说明与来源冲突表。</x:v>
      </x:c>
    </x:row>
    <x:row r="244" ht="34" customHeight="1">
      <x:c r="A244" s="18" t="str">
        <x:v>E002-3</x:v>
      </x:c>
      <x:c r="B244" s="18" t="str">
        <x:v>闪电幽魂</x:v>
      </x:c>
      <x:c r="C244" s="18" t="str">
        <x:v>Lightning Revenant</x:v>
      </x:c>
      <x:c r="D244" s="18" t="str">
        <x:v>Storm Seeker</x:v>
      </x:c>
      <x:c r="E244" s="18" t="str">
        <x:v>A04B</x:v>
      </x:c>
      <x:c r="F244" s="18" t="str">
        <x:v>ANpi</x:v>
      </x:c>
      <x:c r="G244" s="48" t="str">
        <x:v>60/90/120</x:v>
      </x:c>
      <x:c r="H244" s="48" t="str">
        <x:v>—/—/—</x:v>
      </x:c>
      <x:c r="I244" s="48" t="str">
        <x:v>—/—/—</x:v>
      </x:c>
      <x:c r="J244" s="48" t="str">
        <x:v>—/—/—</x:v>
      </x:c>
      <x:c r="K244" s="48" t="str">
        <x:v>—/—/—</x:v>
      </x:c>
      <x:c r="L244" s="48" t="str">
        <x:v>—/—/—</x:v>
      </x:c>
      <x:c r="M244" s="48" t="str">
        <x:v>—/—/—</x:v>
      </x:c>
      <x:c r="N244" s="48" t="str">
        <x:v>—/—/—</x:v>
      </x:c>
      <x:c r="O244" s="48" t="str">
        <x:v>—/—/—</x:v>
      </x:c>
      <x:c r="P244" s="48" t="str">
        <x:v>—/—/—</x:v>
      </x:c>
      <x:c r="Q244" s="48" t="str">
        <x:v>BNpi/BNpi/BNpi</x:v>
      </x:c>
      <x:c r="R244" s="48" t="str">
        <x:v>—/—/—</x:v>
      </x:c>
      <x:c r="S244" s="48" t="str">
        <x:v>0.01 / 1 / 60 / 2 / 90 / 3 / 120</x:v>
      </x:c>
      <x:c r="T244" s="48" t="str">
        <x:v>“—”表示 6.48b 对象表该级字段为空；脚本型技能需结合证据说明与来源冲突表。</x:v>
      </x:c>
    </x:row>
    <x:row r="245" ht="34" customHeight="1">
      <x:c r="A245" s="18" t="str">
        <x:v>E002-4</x:v>
      </x:c>
      <x:c r="B245" s="18" t="str">
        <x:v>闪电幽魂</x:v>
      </x:c>
      <x:c r="C245" s="18" t="str">
        <x:v>Lightning Revenant</x:v>
      </x:c>
      <x:c r="D245" s="18" t="str">
        <x:v>Frenzy</x:v>
      </x:c>
      <x:c r="E245" s="18" t="str">
        <x:v>A0RY</x:v>
      </x:c>
      <x:c r="F245" s="18" t="str">
        <x:v>Absk</x:v>
      </x:c>
      <x:c r="G245" s="48" t="str">
        <x:v>—/—/—/—</x:v>
      </x:c>
      <x:c r="H245" s="48" t="str">
        <x:v>0.25/0.5/0.75/—</x:v>
      </x:c>
      <x:c r="I245" s="48" t="str">
        <x:v>0.05/0.1/0.15/—</x:v>
      </x:c>
      <x:c r="J245" s="48" t="str">
        <x:v>—/—/—/—</x:v>
      </x:c>
      <x:c r="K245" s="48" t="str">
        <x:v>—/—/—/—</x:v>
      </x:c>
      <x:c r="L245" s="48" t="str">
        <x:v>—/—/—/—</x:v>
      </x:c>
      <x:c r="M245" s="48" t="str">
        <x:v>—/—/—/—</x:v>
      </x:c>
      <x:c r="N245" s="48" t="str">
        <x:v>—/—/—/—</x:v>
      </x:c>
      <x:c r="O245" s="48" t="str">
        <x:v>—/—/—/—</x:v>
      </x:c>
      <x:c r="P245" s="48" t="str">
        <x:v>—/—/—/—</x:v>
      </x:c>
      <x:c r="Q245" s="48" t="str">
        <x:v>BUhf/BUhf/BUhf/—</x:v>
      </x:c>
      <x:c r="R245" s="48" t="str">
        <x:v>—/—/—/—</x:v>
      </x:c>
      <x:c r="S245" s="48" t="str">
        <x:v>20 / 1 / 25% / 5% / 2 / 50% / 10% / 3 / 75% / 15% / 4 / 100% / 20% / 40</x:v>
      </x:c>
      <x:c r="T245" s="48" t="str">
        <x:v>“—”表示 6.48b 对象表该级字段为空；脚本型技能需结合证据说明与来源冲突表。</x:v>
      </x:c>
    </x:row>
    <x:row r="246" ht="34" customHeight="1">
      <x:c r="A246" s="18" t="str">
        <x:v>H00V-1</x:v>
      </x:c>
      <x:c r="B246" s="18" t="str">
        <x:v>蛇发女妖</x:v>
      </x:c>
      <x:c r="C246" s="18" t="str">
        <x:v>Gorgon</x:v>
      </x:c>
      <x:c r="D246" s="18" t="str">
        <x:v>Chain Lightning</x:v>
      </x:c>
      <x:c r="E246" s="18" t="str">
        <x:v>A0G2</x:v>
      </x:c>
      <x:c r="F246" s="18" t="str">
        <x:v>AOcl</x:v>
      </x:c>
      <x:c r="G246" s="48" t="str">
        <x:v>75/150/225/300</x:v>
      </x:c>
      <x:c r="H246" s="48" t="str">
        <x:v>3/5/7/9</x:v>
      </x:c>
      <x:c r="I246" s="48" t="str">
        <x:v>0.15/0.15/0.15/0.15</x:v>
      </x:c>
      <x:c r="J246" s="48" t="str">
        <x:v>—/—/—/—</x:v>
      </x:c>
      <x:c r="K246" s="48" t="str">
        <x:v>—/—/—/—</x:v>
      </x:c>
      <x:c r="L246" s="48" t="str">
        <x:v>—/—/—/—</x:v>
      </x:c>
      <x:c r="M246" s="48" t="str">
        <x:v>—/—/—/—</x:v>
      </x:c>
      <x:c r="N246" s="48" t="str">
        <x:v>—/—/—/—</x:v>
      </x:c>
      <x:c r="O246" s="48" t="str">
        <x:v>—/—/—/—</x:v>
      </x:c>
      <x:c r="P246" s="48" t="str">
        <x:v>—/—/—/—</x:v>
      </x:c>
      <x:c r="Q246" s="48" t="str">
        <x:v>—/—/—/—</x:v>
      </x:c>
      <x:c r="R246" s="48" t="str">
        <x:v>—/—/—/—</x:v>
      </x:c>
      <x:c r="S246" s="48" t="str">
        <x:v>1 / 75 / 3 / 2 / 150 / 5 / 225 / 7 / 4 / 300 / 9 / 11</x:v>
      </x:c>
      <x:c r="T246" s="48" t="str">
        <x:v>“—”表示 6.48b 对象表该级字段为空；脚本型技能需结合证据说明与来源冲突表。</x:v>
      </x:c>
    </x:row>
    <x:row r="247" ht="34" customHeight="1">
      <x:c r="A247" s="18" t="str">
        <x:v>H00V-2</x:v>
      </x:c>
      <x:c r="B247" s="18" t="str">
        <x:v>蛇发女妖</x:v>
      </x:c>
      <x:c r="C247" s="18" t="str">
        <x:v>Gorgon</x:v>
      </x:c>
      <x:c r="D247" s="18" t="str">
        <x:v>Mana Shield</x:v>
      </x:c>
      <x:c r="E247" s="18" t="str">
        <x:v>A0MP</x:v>
      </x:c>
      <x:c r="F247" s="18" t="str">
        <x:v>ANms</x:v>
      </x:c>
      <x:c r="G247" s="48" t="str">
        <x:v>0.75/1.25/1.5/2</x:v>
      </x:c>
      <x:c r="H247" s="48" t="str">
        <x:v>0.5/0.5/0.5/0.5</x:v>
      </x:c>
      <x:c r="I247" s="48" t="str">
        <x:v>—/—/—/—</x:v>
      </x:c>
      <x:c r="J247" s="48" t="str">
        <x:v>—/—/—/—</x:v>
      </x:c>
      <x:c r="K247" s="48" t="str">
        <x:v>—/—/—/—</x:v>
      </x:c>
      <x:c r="L247" s="48" t="str">
        <x:v>—/—/—/—</x:v>
      </x:c>
      <x:c r="M247" s="48" t="str">
        <x:v>—/—/—/—</x:v>
      </x:c>
      <x:c r="N247" s="48" t="str">
        <x:v>—/—/—/—</x:v>
      </x:c>
      <x:c r="O247" s="48" t="str">
        <x:v>—/—/—/—</x:v>
      </x:c>
      <x:c r="P247" s="48" t="str">
        <x:v>—/—/—/—</x:v>
      </x:c>
      <x:c r="Q247" s="48" t="str">
        <x:v>BNms/BNms/BNms/BNms</x:v>
      </x:c>
      <x:c r="R247" s="48" t="str">
        <x:v>—/—/—/—</x:v>
      </x:c>
      <x:c r="S247" s="48" t="str">
        <x:v>50% / 1 / 75 / 2 / 1.25 / 3 / 1.5 / 4</x:v>
      </x:c>
      <x:c r="T247" s="48" t="str">
        <x:v>“—”表示 6.48b 对象表该级字段为空；脚本型技能需结合证据说明与来源冲突表。</x:v>
      </x:c>
    </x:row>
    <x:row r="248" ht="34" customHeight="1">
      <x:c r="A248" s="18" t="str">
        <x:v>H00V-3</x:v>
      </x:c>
      <x:c r="B248" s="18" t="str">
        <x:v>蛇发女妖</x:v>
      </x:c>
      <x:c r="C248" s="18" t="str">
        <x:v>Gorgon</x:v>
      </x:c>
      <x:c r="D248" s="18" t="str">
        <x:v>Purge</x:v>
      </x:c>
      <x:c r="E248" s="18" t="str">
        <x:v>A02V</x:v>
      </x:c>
      <x:c r="F248" s="18" t="str">
        <x:v>Aprg</x:v>
      </x:c>
      <x:c r="G248" s="48" t="str">
        <x:v>2/3/5</x:v>
      </x:c>
      <x:c r="H248" s="48" t="str">
        <x:v>2/3/5</x:v>
      </x:c>
      <x:c r="I248" s="48" t="str">
        <x:v>600/600/600</x:v>
      </x:c>
      <x:c r="J248" s="48" t="str">
        <x:v>3/3/3</x:v>
      </x:c>
      <x:c r="K248" s="48" t="str">
        <x:v>—/—/—</x:v>
      </x:c>
      <x:c r="L248" s="48" t="str">
        <x:v>—/—/—</x:v>
      </x:c>
      <x:c r="M248" s="48" t="str">
        <x:v>—/—/—</x:v>
      </x:c>
      <x:c r="N248" s="48" t="str">
        <x:v>—/—/—</x:v>
      </x:c>
      <x:c r="O248" s="48" t="str">
        <x:v>—/—/—</x:v>
      </x:c>
      <x:c r="P248" s="48" t="str">
        <x:v>—/—/—</x:v>
      </x:c>
      <x:c r="Q248" s="48" t="str">
        <x:v>Bprg/Bprg/Bprg</x:v>
      </x:c>
      <x:c r="R248" s="48" t="str">
        <x:v>—/—/—</x:v>
      </x:c>
      <x:c r="S248" s="48" t="str">
        <x:v>5 / 1 / 2 / 3 / 600 / 12</x:v>
      </x:c>
      <x:c r="T248" s="48" t="str">
        <x:v>“—”表示 6.48b 对象表该级字段为空；脚本型技能需结合证据说明与来源冲突表。</x:v>
      </x:c>
    </x:row>
    <x:row r="249" ht="34" customHeight="1">
      <x:c r="A249" s="18" t="str">
        <x:v>H00V-4</x:v>
      </x:c>
      <x:c r="B249" s="18" t="str">
        <x:v>蛇发女妖</x:v>
      </x:c>
      <x:c r="C249" s="18" t="str">
        <x:v>Gorgon</x:v>
      </x:c>
      <x:c r="D249" s="18" t="str">
        <x:v>Split Shot</x:v>
      </x:c>
      <x:c r="E249" s="18" t="str">
        <x:v>A012</x:v>
      </x:c>
      <x:c r="F249" s="18" t="str">
        <x:v>Adef</x:v>
      </x:c>
      <x:c r="G249" s="48" t="str">
        <x:v>1/1/1/—</x:v>
      </x:c>
      <x:c r="H249" s="48" t="str">
        <x:v>0.45/0.55/0.65/—</x:v>
      </x:c>
      <x:c r="I249" s="48" t="str">
        <x:v>—/—/—/—</x:v>
      </x:c>
      <x:c r="J249" s="48" t="str">
        <x:v>—/—/—/—</x:v>
      </x:c>
      <x:c r="K249" s="48" t="str">
        <x:v>1/1/1/—</x:v>
      </x:c>
      <x:c r="L249" s="48" t="str">
        <x:v>—/—/—/—</x:v>
      </x:c>
      <x:c r="M249" s="48" t="str">
        <x:v>—/—/—/—</x:v>
      </x:c>
      <x:c r="N249" s="48" t="str">
        <x:v>1/1/1/—</x:v>
      </x:c>
      <x:c r="O249" s="48" t="str">
        <x:v>—/—/—/—</x:v>
      </x:c>
      <x:c r="P249" s="48" t="str">
        <x:v>—/—/—/—</x:v>
      </x:c>
      <x:c r="Q249" s="48" t="str">
        <x:v>BOvd/BOvd/BOvd/—</x:v>
      </x:c>
      <x:c r="R249" s="48" t="str">
        <x:v>—/—/—/—</x:v>
      </x:c>
      <x:c r="S249" s="48" t="str">
        <x:v>1 / 45% / 2 / 55% / 3 / 65% / 4 / 75%</x:v>
      </x:c>
      <x:c r="T249" s="48" t="str">
        <x:v>“—”表示 6.48b 对象表该级字段为空；脚本型技能需结合证据说明与来源冲突表。</x:v>
      </x:c>
    </x:row>
    <x:row r="250" ht="34" customHeight="1">
      <x:c r="A250" s="18" t="str">
        <x:v>U007-1</x:v>
      </x:c>
      <x:c r="B250" s="18" t="str">
        <x:v>食尸鬼</x:v>
      </x:c>
      <x:c r="C250" s="18" t="str">
        <x:v>Lifestealer</x:v>
      </x:c>
      <x:c r="D250" s="18" t="str">
        <x:v>Feast</x:v>
      </x:c>
      <x:c r="E250" s="18" t="str">
        <x:v>A0JQ</x:v>
      </x:c>
      <x:c r="F250" s="18" t="str">
        <x:v>AUav</x:v>
      </x:c>
      <x:c r="G250" s="48" t="str">
        <x:v>0.1/0.2/0.3/0.4</x:v>
      </x:c>
      <x:c r="H250" s="48" t="str">
        <x:v>—/—/—/—</x:v>
      </x:c>
      <x:c r="I250" s="48" t="str">
        <x:v>—/—/—/—</x:v>
      </x:c>
      <x:c r="J250" s="48" t="str">
        <x:v>—/—/—/—</x:v>
      </x:c>
      <x:c r="K250" s="48" t="str">
        <x:v>—/—/—/—</x:v>
      </x:c>
      <x:c r="L250" s="48" t="str">
        <x:v>—/—/—/—</x:v>
      </x:c>
      <x:c r="M250" s="48" t="str">
        <x:v>—/—/—/—</x:v>
      </x:c>
      <x:c r="N250" s="48" t="str">
        <x:v>—/—/—/—</x:v>
      </x:c>
      <x:c r="O250" s="48" t="str">
        <x:v>—/—/—/—</x:v>
      </x:c>
      <x:c r="P250" s="48" t="str">
        <x:v>—/—/—/—</x:v>
      </x:c>
      <x:c r="Q250" s="48" t="str">
        <x:v>B026/B026/B026/B026</x:v>
      </x:c>
      <x:c r="R250" s="48" t="str">
        <x:v>—/—/—/—</x:v>
      </x:c>
      <x:c r="S250" s="48" t="str">
        <x:v>1 / 10% / 2 / 20% / 3 / 30% / 4 / 40%</x:v>
      </x:c>
      <x:c r="T250" s="48" t="str">
        <x:v>“—”表示 6.48b 对象表该级字段为空；脚本型技能需结合证据说明与来源冲突表。</x:v>
      </x:c>
    </x:row>
    <x:row r="251" ht="34" customHeight="1">
      <x:c r="A251" s="18" t="str">
        <x:v>U007-2</x:v>
      </x:c>
      <x:c r="B251" s="18" t="str">
        <x:v>食尸鬼</x:v>
      </x:c>
      <x:c r="C251" s="18" t="str">
        <x:v>Lifestealer</x:v>
      </x:c>
      <x:c r="D251" s="18" t="str">
        <x:v>Poison Sting</x:v>
      </x:c>
      <x:c r="E251" s="18" t="str">
        <x:v>A01E</x:v>
      </x:c>
      <x:c r="F251" s="18" t="str">
        <x:v>Aspo</x:v>
      </x:c>
      <x:c r="G251" s="48" t="str">
        <x:v>2/4/7/—</x:v>
      </x:c>
      <x:c r="H251" s="48" t="str">
        <x:v>0.1/0.2/0.3/—</x:v>
      </x:c>
      <x:c r="I251" s="48" t="str">
        <x:v>—/—/—/—</x:v>
      </x:c>
      <x:c r="J251" s="48" t="str">
        <x:v>1/1/1/—</x:v>
      </x:c>
      <x:c r="K251" s="48" t="str">
        <x:v>—/—/—/—</x:v>
      </x:c>
      <x:c r="L251" s="48" t="str">
        <x:v>—/—/—/—</x:v>
      </x:c>
      <x:c r="M251" s="48" t="str">
        <x:v>—/—/—/—</x:v>
      </x:c>
      <x:c r="N251" s="48" t="str">
        <x:v>—/—/—/—</x:v>
      </x:c>
      <x:c r="O251" s="48" t="str">
        <x:v>—/—/—/—</x:v>
      </x:c>
      <x:c r="P251" s="48" t="str">
        <x:v>—/—/—/—</x:v>
      </x:c>
      <x:c r="Q251" s="48" t="str">
        <x:v>B04O,B04O/B04O,B04O/B04O,B04O/—</x:v>
      </x:c>
      <x:c r="R251" s="48" t="str">
        <x:v>—/—/—/—</x:v>
      </x:c>
      <x:c r="S251" s="48" t="str">
        <x:v>2 / 1 / 10% / 4 / 20% / 3 / 7 / 30% / 10 / 40%</x:v>
      </x:c>
      <x:c r="T251" s="48" t="str">
        <x:v>“—”表示 6.48b 对象表该级字段为空；脚本型技能需结合证据说明与来源冲突表。</x:v>
      </x:c>
    </x:row>
    <x:row r="252" ht="34" customHeight="1">
      <x:c r="A252" s="18" t="str">
        <x:v>U007-3</x:v>
      </x:c>
      <x:c r="B252" s="18" t="str">
        <x:v>食尸鬼</x:v>
      </x:c>
      <x:c r="C252" s="18" t="str">
        <x:v>Lifestealer</x:v>
      </x:c>
      <x:c r="D252" s="18" t="str">
        <x:v>Anabolic Frenzy</x:v>
      </x:c>
      <x:c r="E252" s="18" t="str">
        <x:v>A06Y</x:v>
      </x:c>
      <x:c r="F252" s="18" t="str">
        <x:v>AOae</x:v>
      </x:c>
      <x:c r="G252" s="48" t="str">
        <x:v>0.03/0.05/0.07/0.09</x:v>
      </x:c>
      <x:c r="H252" s="48" t="str">
        <x:v>0.1/0.2/0.3/0.4</x:v>
      </x:c>
      <x:c r="I252" s="48" t="str">
        <x:v>—/—/—/—</x:v>
      </x:c>
      <x:c r="J252" s="48" t="str">
        <x:v>—/—/—/—</x:v>
      </x:c>
      <x:c r="K252" s="48" t="str">
        <x:v>—/—/—/—</x:v>
      </x:c>
      <x:c r="L252" s="48" t="str">
        <x:v>—/—/—/—</x:v>
      </x:c>
      <x:c r="M252" s="48" t="str">
        <x:v>—/—/—/—</x:v>
      </x:c>
      <x:c r="N252" s="48" t="str">
        <x:v>—/—/—/—</x:v>
      </x:c>
      <x:c r="O252" s="48" t="str">
        <x:v>—/—/—/—</x:v>
      </x:c>
      <x:c r="P252" s="48" t="str">
        <x:v>—/—/—/—</x:v>
      </x:c>
      <x:c r="Q252" s="48" t="str">
        <x:v>B025/B025/B025/B025</x:v>
      </x:c>
      <x:c r="R252" s="48" t="str">
        <x:v>—/—/—/—</x:v>
      </x:c>
      <x:c r="S252" s="48" t="str">
        <x:v>1 / 3% / 10% / 2 / 5% / 20% / 3 / 7% / 30% / 4 / 9% / 40%</x:v>
      </x:c>
      <x:c r="T252" s="48" t="str">
        <x:v>“—”表示 6.48b 对象表该级字段为空；脚本型技能需结合证据说明与来源冲突表。</x:v>
      </x:c>
    </x:row>
    <x:row r="253" ht="34" customHeight="1">
      <x:c r="A253" s="18" t="str">
        <x:v>U007-4</x:v>
      </x:c>
      <x:c r="B253" s="18" t="str">
        <x:v>食尸鬼</x:v>
      </x:c>
      <x:c r="C253" s="18" t="str">
        <x:v>Lifestealer</x:v>
      </x:c>
      <x:c r="D253" s="18" t="str">
        <x:v>Rage</x:v>
      </x:c>
      <x:c r="E253" s="18" t="str">
        <x:v>A028</x:v>
      </x:c>
      <x:c r="F253" s="18" t="str">
        <x:v>AHav</x:v>
      </x:c>
      <x:c r="G253" s="48" t="str">
        <x:v>—/—/—</x:v>
      </x:c>
      <x:c r="H253" s="48" t="str">
        <x:v>—/—/—</x:v>
      </x:c>
      <x:c r="I253" s="48" t="str">
        <x:v>10/15/20</x:v>
      </x:c>
      <x:c r="J253" s="48" t="str">
        <x:v>—/—/—</x:v>
      </x:c>
      <x:c r="K253" s="48" t="str">
        <x:v>—/—/—</x:v>
      </x:c>
      <x:c r="L253" s="48" t="str">
        <x:v>—/—/—</x:v>
      </x:c>
      <x:c r="M253" s="48" t="str">
        <x:v>—/—/—</x:v>
      </x:c>
      <x:c r="N253" s="48" t="str">
        <x:v>—/—/—</x:v>
      </x:c>
      <x:c r="O253" s="48" t="str">
        <x:v>—/—/—</x:v>
      </x:c>
      <x:c r="P253" s="48" t="str">
        <x:v>—/—/—</x:v>
      </x:c>
      <x:c r="Q253" s="48" t="str">
        <x:v>—/—/—</x:v>
      </x:c>
      <x:c r="R253" s="48" t="str">
        <x:v>—/—/—</x:v>
      </x:c>
      <x:c r="S253" s="48" t="str">
        <x:v>1 / 10 / 2 / 15 / 3 / 20 / 90</x:v>
      </x:c>
      <x:c r="T253" s="48" t="str">
        <x:v>“—”表示 6.48b 对象表该级字段为空；脚本型技能需结合证据说明与来源冲突表。</x:v>
      </x:c>
    </x:row>
    <x:row r="254" ht="34" customHeight="1">
      <x:c r="A254" s="18" t="str">
        <x:v>EC77-1</x:v>
      </x:c>
      <x:c r="B254" s="18" t="str">
        <x:v>冥界亚龙</x:v>
      </x:c>
      <x:c r="C254" s="18" t="str">
        <x:v>Netherdrake</x:v>
      </x:c>
      <x:c r="D254" s="18" t="str">
        <x:v>Poison Attack</x:v>
      </x:c>
      <x:c r="E254" s="18" t="str">
        <x:v>A09V</x:v>
      </x:c>
      <x:c r="F254" s="18" t="str">
        <x:v>AEpa</x:v>
      </x:c>
      <x:c r="G254" s="48" t="str">
        <x:v>1/1/1/1</x:v>
      </x:c>
      <x:c r="H254" s="48" t="str">
        <x:v>6/12/18/24</x:v>
      </x:c>
      <x:c r="I254" s="48" t="str">
        <x:v>0.1/0.2/0.3/0.4</x:v>
      </x:c>
      <x:c r="J254" s="48" t="str">
        <x:v>0.1/0.2/0.3/0.4</x:v>
      </x:c>
      <x:c r="K254" s="48" t="str">
        <x:v>—/—/—/—</x:v>
      </x:c>
      <x:c r="L254" s="48" t="str">
        <x:v>—/—/—/—</x:v>
      </x:c>
      <x:c r="M254" s="48" t="str">
        <x:v>—/—/—/—</x:v>
      </x:c>
      <x:c r="N254" s="48" t="str">
        <x:v>—/—/—/—</x:v>
      </x:c>
      <x:c r="O254" s="48" t="str">
        <x:v>—/—/—/—</x:v>
      </x:c>
      <x:c r="P254" s="48" t="str">
        <x:v>—/—/—/—</x:v>
      </x:c>
      <x:c r="Q254" s="48" t="str">
        <x:v>B06D/B06D/B06D/B06D</x:v>
      </x:c>
      <x:c r="R254" s="48" t="str">
        <x:v>—/—/—/—</x:v>
      </x:c>
      <x:c r="S254" s="48" t="str">
        <x:v>2 / 1 / 10% / 6 / 20% / 12 / 3 / 30% / 18 / 4 / 40% / 24 / 0</x:v>
      </x:c>
      <x:c r="T254" s="48" t="str">
        <x:v>“—”表示 6.48b 对象表该级字段为空；脚本型技能需结合证据说明与来源冲突表。</x:v>
      </x:c>
    </x:row>
    <x:row r="255" ht="34" customHeight="1">
      <x:c r="A255" s="18" t="str">
        <x:v>EC77-2</x:v>
      </x:c>
      <x:c r="B255" s="18" t="str">
        <x:v>冥界亚龙</x:v>
      </x:c>
      <x:c r="C255" s="18" t="str">
        <x:v>Netherdrake</x:v>
      </x:c>
      <x:c r="D255" s="18" t="str">
        <x:v>Corrosive Skin</x:v>
      </x:c>
      <x:c r="E255" s="18" t="str">
        <x:v>A0MM</x:v>
      </x:c>
      <x:c r="F255" s="18" t="str">
        <x:v>AIdd</x:v>
      </x:c>
      <x:c r="G255" s="48" t="str">
        <x:v>1/1/1/—</x:v>
      </x:c>
      <x:c r="H255" s="48" t="str">
        <x:v>1/1/1/—</x:v>
      </x:c>
      <x:c r="I255" s="48" t="str">
        <x:v>—/—/—/—</x:v>
      </x:c>
      <x:c r="J255" s="48" t="str">
        <x:v>—/—/—/—</x:v>
      </x:c>
      <x:c r="K255" s="48" t="str">
        <x:v>0.95/0.9/0.85/—</x:v>
      </x:c>
      <x:c r="L255" s="48" t="str">
        <x:v>—/—/—/—</x:v>
      </x:c>
      <x:c r="M255" s="48" t="str">
        <x:v>1/1/1/—</x:v>
      </x:c>
      <x:c r="N255" s="48" t="str">
        <x:v>1/1/1/—</x:v>
      </x:c>
      <x:c r="O255" s="48" t="str">
        <x:v>—/—/—/—</x:v>
      </x:c>
      <x:c r="P255" s="48" t="str">
        <x:v>—/—/—/—</x:v>
      </x:c>
      <x:c r="Q255" s="48" t="str">
        <x:v>—/—/—/—</x:v>
      </x:c>
      <x:c r="R255" s="48" t="str">
        <x:v>—/—/—/—</x:v>
      </x:c>
      <x:c r="S255" s="48" t="str">
        <x:v>3 / 1 / 5% / 5 / 2 / 10% / 10 / 15% / 15 / 4 / 20% / 20</x:v>
      </x:c>
      <x:c r="T255" s="48" t="str">
        <x:v>“—”表示 6.48b 对象表该级字段为空；脚本型技能需结合证据说明与来源冲突表。</x:v>
      </x:c>
    </x:row>
    <x:row r="256" ht="34" customHeight="1">
      <x:c r="A256" s="18" t="str">
        <x:v>EC77-3</x:v>
      </x:c>
      <x:c r="B256" s="18" t="str">
        <x:v>冥界亚龙</x:v>
      </x:c>
      <x:c r="C256" s="18" t="str">
        <x:v>Netherdrake</x:v>
      </x:c>
      <x:c r="D256" s="18" t="str">
        <x:v>Viper Strike</x:v>
      </x:c>
      <x:c r="E256" s="18" t="str">
        <x:v>A080</x:v>
      </x:c>
      <x:c r="F256" s="18" t="str">
        <x:v>AEsh</x:v>
      </x:c>
      <x:c r="G256" s="48" t="str">
        <x:v>60/100/145</x:v>
      </x:c>
      <x:c r="H256" s="48" t="str">
        <x:v>0.4/0.6/0.8</x:v>
      </x:c>
      <x:c r="I256" s="48" t="str">
        <x:v>0.4/0.6/0.8</x:v>
      </x:c>
      <x:c r="J256" s="48" t="str">
        <x:v>1/1/1</x:v>
      </x:c>
      <x:c r="K256" s="48" t="str">
        <x:v>—/—/—</x:v>
      </x:c>
      <x:c r="L256" s="48" t="str">
        <x:v>—/—/—</x:v>
      </x:c>
      <x:c r="M256" s="48" t="str">
        <x:v>—/—/—</x:v>
      </x:c>
      <x:c r="N256" s="48" t="str">
        <x:v>—/—/—</x:v>
      </x:c>
      <x:c r="O256" s="48" t="str">
        <x:v>—/—/—</x:v>
      </x:c>
      <x:c r="P256" s="48" t="str">
        <x:v>—/—/—</x:v>
      </x:c>
      <x:c r="Q256" s="48" t="str">
        <x:v>B001/B001/B001</x:v>
      </x:c>
      <x:c r="R256" s="48" t="str">
        <x:v>—/—/—</x:v>
      </x:c>
      <x:c r="S256" s="48" t="str">
        <x:v>5 / 1 / 60 / 40% / 2 / 100 / 60% / 3 / 145 / 80% / 80</x:v>
      </x:c>
      <x:c r="T256" s="48" t="str">
        <x:v>“—”表示 6.48b 对象表该级字段为空；脚本型技能需结合证据说明与来源冲突表。</x:v>
      </x:c>
    </x:row>
    <x:row r="257" ht="34" customHeight="1">
      <x:c r="A257" s="18" t="str">
        <x:v>EC77-4</x:v>
      </x:c>
      <x:c r="B257" s="18" t="str">
        <x:v>冥界亚龙</x:v>
      </x:c>
      <x:c r="C257" s="18" t="str">
        <x:v>Netherdrake</x:v>
      </x:c>
      <x:c r="D257" s="18" t="str">
        <x:v>Frenzy</x:v>
      </x:c>
      <x:c r="E257" s="18" t="str">
        <x:v>A05D</x:v>
      </x:c>
      <x:c r="F257" s="18" t="str">
        <x:v>Absk</x:v>
      </x:c>
      <x:c r="G257" s="48" t="str">
        <x:v>—/—/—/—</x:v>
      </x:c>
      <x:c r="H257" s="48" t="str">
        <x:v>0.25/0.5/0.75/—</x:v>
      </x:c>
      <x:c r="I257" s="48" t="str">
        <x:v>0.05/0.1/0.15/—</x:v>
      </x:c>
      <x:c r="J257" s="48" t="str">
        <x:v>—/—/—/—</x:v>
      </x:c>
      <x:c r="K257" s="48" t="str">
        <x:v>—/—/—/—</x:v>
      </x:c>
      <x:c r="L257" s="48" t="str">
        <x:v>—/—/—/—</x:v>
      </x:c>
      <x:c r="M257" s="48" t="str">
        <x:v>—/—/—/—</x:v>
      </x:c>
      <x:c r="N257" s="48" t="str">
        <x:v>—/—/—/—</x:v>
      </x:c>
      <x:c r="O257" s="48" t="str">
        <x:v>—/—/—/—</x:v>
      </x:c>
      <x:c r="P257" s="48" t="str">
        <x:v>—/—/—/—</x:v>
      </x:c>
      <x:c r="Q257" s="48" t="str">
        <x:v>BUhf/BUhf/BUhf/—</x:v>
      </x:c>
      <x:c r="R257" s="48" t="str">
        <x:v>—/—/—/—</x:v>
      </x:c>
      <x:c r="S257" s="48" t="str">
        <x:v>20 / 1 / 25% / 5% / 2 / 50% / 10% / 3 / 75% / 15% / 4 / 100% / 20% / 40</x:v>
      </x:c>
      <x:c r="T257" s="48" t="str">
        <x:v>“—”表示 6.48b 对象表该级字段为空；脚本型技能需结合证据说明与来源冲突表。</x:v>
      </x:c>
    </x:row>
    <x:row r="258" ht="34" customHeight="1">
      <x:c r="A258" s="18" t="str">
        <x:v>EC45-1</x:v>
      </x:c>
      <x:c r="B258" s="18" t="str">
        <x:v>虚空假面</x:v>
      </x:c>
      <x:c r="C258" s="18" t="str">
        <x:v>Faceless Void</x:v>
      </x:c>
      <x:c r="D258" s="18" t="str">
        <x:v>Time Walk</x:v>
      </x:c>
      <x:c r="E258" s="18" t="str">
        <x:v>A0LK</x:v>
      </x:c>
      <x:c r="F258" s="18" t="str">
        <x:v>AUcs</x:v>
      </x:c>
      <x:c r="G258" s="48" t="str">
        <x:v>—/—/—/—</x:v>
      </x:c>
      <x:c r="H258" s="48" t="str">
        <x:v>—/—/—/—</x:v>
      </x:c>
      <x:c r="I258" s="48" t="str">
        <x:v>—/—/—/—</x:v>
      </x:c>
      <x:c r="J258" s="48" t="str">
        <x:v>—/—/—/—</x:v>
      </x:c>
      <x:c r="K258" s="48" t="str">
        <x:v>—/—/—/—</x:v>
      </x:c>
      <x:c r="L258" s="48" t="str">
        <x:v>—/—/—/—</x:v>
      </x:c>
      <x:c r="M258" s="48" t="str">
        <x:v>—/—/—/—</x:v>
      </x:c>
      <x:c r="N258" s="48" t="str">
        <x:v>—/—/—/—</x:v>
      </x:c>
      <x:c r="O258" s="48" t="str">
        <x:v>—/—/—/—</x:v>
      </x:c>
      <x:c r="P258" s="48" t="str">
        <x:v>—/—/—/—</x:v>
      </x:c>
      <x:c r="Q258" s="48" t="str">
        <x:v>BUcs/BUcs/BUcs/—</x:v>
      </x:c>
      <x:c r="R258" s="48" t="str">
        <x:v>—/—/—/—</x:v>
      </x:c>
      <x:c r="S258" s="48" t="str">
        <x:v>3 / 1 / 700 / 10% / 2 / 900 / 20% / 1100 / 30% / 4 / 1300 / 40% / 13</x:v>
      </x:c>
      <x:c r="T258" s="48" t="str">
        <x:v>“—”表示 6.48b 对象表该级字段为空；脚本型技能需结合证据说明与来源冲突表。</x:v>
      </x:c>
    </x:row>
    <x:row r="259" ht="34" customHeight="1">
      <x:c r="A259" s="18" t="str">
        <x:v>EC45-2</x:v>
      </x:c>
      <x:c r="B259" s="18" t="str">
        <x:v>虚空假面</x:v>
      </x:c>
      <x:c r="C259" s="18" t="str">
        <x:v>Faceless Void</x:v>
      </x:c>
      <x:c r="D259" s="18" t="str">
        <x:v>Backtrack</x:v>
      </x:c>
      <x:c r="E259" s="18" t="str">
        <x:v>A0CZ</x:v>
      </x:c>
      <x:c r="F259" s="18" t="str">
        <x:v>AUts</x:v>
      </x:c>
      <x:c r="G259" s="48" t="str">
        <x:v>—/—/—/—</x:v>
      </x:c>
      <x:c r="H259" s="48" t="str">
        <x:v>1/1/1/1</x:v>
      </x:c>
      <x:c r="I259" s="48" t="str">
        <x:v>—/—/—/—</x:v>
      </x:c>
      <x:c r="J259" s="48" t="str">
        <x:v>—/—/—/—</x:v>
      </x:c>
      <x:c r="K259" s="48" t="str">
        <x:v>—/—/—/—</x:v>
      </x:c>
      <x:c r="L259" s="48" t="str">
        <x:v>—/—/—/—</x:v>
      </x:c>
      <x:c r="M259" s="48" t="str">
        <x:v>—/—/—/—</x:v>
      </x:c>
      <x:c r="N259" s="48" t="str">
        <x:v>—/—/—/—</x:v>
      </x:c>
      <x:c r="O259" s="48" t="str">
        <x:v>—/—/—/—</x:v>
      </x:c>
      <x:c r="P259" s="48" t="str">
        <x:v>—/—/—/—</x:v>
      </x:c>
      <x:c r="Q259" s="48" t="str">
        <x:v>BUts/BUts/BUts/BUts</x:v>
      </x:c>
      <x:c r="R259" s="48" t="str">
        <x:v>—/—/—/—</x:v>
      </x:c>
      <x:c r="S259" s="48" t="str">
        <x:v>1 / 10% / 2 / 15% / 3 / 20% / 4 / 25%</x:v>
      </x:c>
      <x:c r="T259" s="48" t="str">
        <x:v>“—”表示 6.48b 对象表该级字段为空；脚本型技能需结合证据说明与来源冲突表。</x:v>
      </x:c>
    </x:row>
    <x:row r="260" ht="34" customHeight="1">
      <x:c r="A260" s="18" t="str">
        <x:v>EC45-3</x:v>
      </x:c>
      <x:c r="B260" s="18" t="str">
        <x:v>虚空假面</x:v>
      </x:c>
      <x:c r="C260" s="18" t="str">
        <x:v>Faceless Void</x:v>
      </x:c>
      <x:c r="D260" s="18" t="str">
        <x:v>Time Lock</x:v>
      </x:c>
      <x:c r="E260" s="18" t="str">
        <x:v>A081</x:v>
      </x:c>
      <x:c r="F260" s="18" t="str">
        <x:v>AHbh</x:v>
      </x:c>
      <x:c r="G260" s="48" t="str">
        <x:v>10/15/20/25</x:v>
      </x:c>
      <x:c r="H260" s="48" t="str">
        <x:v>—/—/—/—</x:v>
      </x:c>
      <x:c r="I260" s="48" t="str">
        <x:v>40/50/60/70</x:v>
      </x:c>
      <x:c r="J260" s="48" t="str">
        <x:v>—/—/—/—</x:v>
      </x:c>
      <x:c r="K260" s="48" t="str">
        <x:v>—/—/—/—</x:v>
      </x:c>
      <x:c r="L260" s="48" t="str">
        <x:v>—/—/—/—</x:v>
      </x:c>
      <x:c r="M260" s="48" t="str">
        <x:v>—/—/—/—</x:v>
      </x:c>
      <x:c r="N260" s="48" t="str">
        <x:v>—/—/—/—</x:v>
      </x:c>
      <x:c r="O260" s="48" t="str">
        <x:v>—/—/—/—</x:v>
      </x:c>
      <x:c r="P260" s="48" t="str">
        <x:v>—/—/—/—</x:v>
      </x:c>
      <x:c r="Q260" s="48" t="str">
        <x:v>BPSE/BPSE/BPSE/BPSE</x:v>
      </x:c>
      <x:c r="R260" s="48" t="str">
        <x:v>—/—/—/—</x:v>
      </x:c>
      <x:c r="S260" s="48" t="str">
        <x:v>1 / 10% / 2 / 15% / 3 / 20% / 4 / 25% / 40 / 50 / 60 / 70</x:v>
      </x:c>
      <x:c r="T260" s="48" t="str">
        <x:v>“—”表示 6.48b 对象表该级字段为空；脚本型技能需结合证据说明与来源冲突表。</x:v>
      </x:c>
    </x:row>
    <x:row r="261" ht="34" customHeight="1">
      <x:c r="A261" s="18" t="str">
        <x:v>EC45-4</x:v>
      </x:c>
      <x:c r="B261" s="18" t="str">
        <x:v>虚空假面</x:v>
      </x:c>
      <x:c r="C261" s="18" t="str">
        <x:v>Faceless Void</x:v>
      </x:c>
      <x:c r="D261" s="18" t="str">
        <x:v>Chronosphere</x:v>
      </x:c>
      <x:c r="E261" s="18" t="str">
        <x:v>A0J1</x:v>
      </x:c>
      <x:c r="F261" s="18" t="str">
        <x:v>ANcs</x:v>
      </x:c>
      <x:c r="G261" s="48" t="str">
        <x:v>—/—/—</x:v>
      </x:c>
      <x:c r="H261" s="48" t="str">
        <x:v>0.25/0.25/0.25</x:v>
      </x:c>
      <x:c r="I261" s="48" t="str">
        <x:v>3/3/3</x:v>
      </x:c>
      <x:c r="J261" s="48" t="str">
        <x:v>—/—/—</x:v>
      </x:c>
      <x:c r="K261" s="48" t="str">
        <x:v>1/1/1</x:v>
      </x:c>
      <x:c r="L261" s="48" t="str">
        <x:v>1.01/1.01/1.01</x:v>
      </x:c>
      <x:c r="M261" s="48" t="str">
        <x:v>—/—/—</x:v>
      </x:c>
      <x:c r="N261" s="48" t="str">
        <x:v>—/—/—</x:v>
      </x:c>
      <x:c r="O261" s="48" t="str">
        <x:v>—/—/—</x:v>
      </x:c>
      <x:c r="P261" s="48" t="str">
        <x:v>—/—/—</x:v>
      </x:c>
      <x:c r="Q261" s="48" t="str">
        <x:v>BNcs/BNcs/BNcs</x:v>
      </x:c>
      <x:c r="R261" s="48" t="str">
        <x:v>—/—/—</x:v>
      </x:c>
      <x:c r="S261" s="48" t="str">
        <x:v>1 / 3 / 2 / 4 / 5 / 165 / 500 / 550 / 600</x:v>
      </x:c>
      <x:c r="T261" s="48" t="str">
        <x:v>“—”表示 6.48b 对象表该级字段为空；脚本型技能需结合证据说明与来源冲突表。</x:v>
      </x:c>
    </x:row>
    <x:row r="262" ht="34" customHeight="1">
      <x:c r="A262" s="18" t="str">
        <x:v>U000-1</x:v>
      </x:c>
      <x:c r="B262" s="18" t="str">
        <x:v>地穴刺客</x:v>
      </x:c>
      <x:c r="C262" s="18" t="str">
        <x:v>Nerubian Assassin</x:v>
      </x:c>
      <x:c r="D262" s="18" t="str">
        <x:v>Impale</x:v>
      </x:c>
      <x:c r="E262" s="18" t="str">
        <x:v>A09K</x:v>
      </x:c>
      <x:c r="F262" s="18" t="str">
        <x:v>AUim</x:v>
      </x:c>
      <x:c r="G262" s="48" t="str">
        <x:v>500/500/500/500</x:v>
      </x:c>
      <x:c r="H262" s="48" t="str">
        <x:v>0.2/0.2/0.2/0.2</x:v>
      </x:c>
      <x:c r="I262" s="48" t="str">
        <x:v>80/160/230/300</x:v>
      </x:c>
      <x:c r="J262" s="48" t="str">
        <x:v>1/1/1/1</x:v>
      </x:c>
      <x:c r="K262" s="48" t="str">
        <x:v>—/—/—/—</x:v>
      </x:c>
      <x:c r="L262" s="48" t="str">
        <x:v>—/—/—/—</x:v>
      </x:c>
      <x:c r="M262" s="48" t="str">
        <x:v>—/—/—/—</x:v>
      </x:c>
      <x:c r="N262" s="48" t="str">
        <x:v>—/—/—/—</x:v>
      </x:c>
      <x:c r="O262" s="48" t="str">
        <x:v>—/—/—/—</x:v>
      </x:c>
      <x:c r="P262" s="48" t="str">
        <x:v>—/—/—/—</x:v>
      </x:c>
      <x:c r="Q262" s="48" t="str">
        <x:v>BUim/BUim/BUim/BUim</x:v>
      </x:c>
      <x:c r="R262" s="48" t="str">
        <x:v>—/—/—/—</x:v>
      </x:c>
      <x:c r="S262" s="48" t="str">
        <x:v>1 / 80 / 75 / 2 / 160 / 1.25 / 3 / 230 / 1.75 / 4 / 300 / 2.25 / 11</x:v>
      </x:c>
      <x:c r="T262" s="48" t="str">
        <x:v>“—”表示 6.48b 对象表该级字段为空；脚本型技能需结合证据说明与来源冲突表。</x:v>
      </x:c>
    </x:row>
    <x:row r="263" ht="34" customHeight="1">
      <x:c r="A263" s="18" t="str">
        <x:v>U000-2</x:v>
      </x:c>
      <x:c r="B263" s="18" t="str">
        <x:v>地穴刺客</x:v>
      </x:c>
      <x:c r="C263" s="18" t="str">
        <x:v>Nerubian Assassin</x:v>
      </x:c>
      <x:c r="D263" s="18" t="str">
        <x:v>Mana Burn</x:v>
      </x:c>
      <x:c r="E263" s="18" t="str">
        <x:v>A02K</x:v>
      </x:c>
      <x:c r="F263" s="18" t="str">
        <x:v>AEmb</x:v>
      </x:c>
      <x:c r="G263" s="48" t="str">
        <x:v>70/120/185/260</x:v>
      </x:c>
      <x:c r="H263" s="48" t="str">
        <x:v>0.25/0.25/0.25/0.25</x:v>
      </x:c>
      <x:c r="I263" s="48" t="str">
        <x:v>1/1/1/1</x:v>
      </x:c>
      <x:c r="J263" s="48" t="str">
        <x:v>—/—/—/—</x:v>
      </x:c>
      <x:c r="K263" s="48" t="str">
        <x:v>—/—/—/—</x:v>
      </x:c>
      <x:c r="L263" s="48" t="str">
        <x:v>—/—/—/—</x:v>
      </x:c>
      <x:c r="M263" s="48" t="str">
        <x:v>—/—/—/—</x:v>
      </x:c>
      <x:c r="N263" s="48" t="str">
        <x:v>—/—/—/—</x:v>
      </x:c>
      <x:c r="O263" s="48" t="str">
        <x:v>—/—/—/—</x:v>
      </x:c>
      <x:c r="P263" s="48" t="str">
        <x:v>—/—/—/—</x:v>
      </x:c>
      <x:c r="Q263" s="48" t="str">
        <x:v>—/—/—/—</x:v>
      </x:c>
      <x:c r="R263" s="48" t="str">
        <x:v>—/—/—/—</x:v>
      </x:c>
      <x:c r="S263" s="48" t="str">
        <x:v>1 / 70 / 2 / 120 / 3 / 185 / 4 / 260 / 7</x:v>
      </x:c>
      <x:c r="T263" s="48" t="str">
        <x:v>“—”表示 6.48b 对象表该级字段为空；脚本型技能需结合证据说明与来源冲突表。</x:v>
      </x:c>
    </x:row>
    <x:row r="264" ht="34" customHeight="1">
      <x:c r="A264" s="18" t="str">
        <x:v>U000-3</x:v>
      </x:c>
      <x:c r="B264" s="18" t="str">
        <x:v>地穴刺客</x:v>
      </x:c>
      <x:c r="C264" s="18" t="str">
        <x:v>Nerubian Assassin</x:v>
      </x:c>
      <x:c r="D264" s="18" t="str">
        <x:v>Spiked Carapace</x:v>
      </x:c>
      <x:c r="E264" s="18" t="str">
        <x:v>A02L</x:v>
      </x:c>
      <x:c r="F264" s="18" t="str">
        <x:v>AUts</x:v>
      </x:c>
      <x:c r="G264" s="48" t="str">
        <x:v>0.1/0.2/0.3/0.4</x:v>
      </x:c>
      <x:c r="H264" s="48" t="str">
        <x:v>1/1/1/1</x:v>
      </x:c>
      <x:c r="I264" s="48" t="str">
        <x:v>2/4/6/8</x:v>
      </x:c>
      <x:c r="J264" s="48" t="str">
        <x:v>—/—/—/—</x:v>
      </x:c>
      <x:c r="K264" s="48" t="str">
        <x:v>—/—/—/—</x:v>
      </x:c>
      <x:c r="L264" s="48" t="str">
        <x:v>—/—/—/—</x:v>
      </x:c>
      <x:c r="M264" s="48" t="str">
        <x:v>—/—/—/—</x:v>
      </x:c>
      <x:c r="N264" s="48" t="str">
        <x:v>—/—/—/—</x:v>
      </x:c>
      <x:c r="O264" s="48" t="str">
        <x:v>—/—/—/—</x:v>
      </x:c>
      <x:c r="P264" s="48" t="str">
        <x:v>—/—/—/—</x:v>
      </x:c>
      <x:c r="Q264" s="48" t="str">
        <x:v>BUts/BUts/BUts/BUts</x:v>
      </x:c>
      <x:c r="R264" s="48" t="str">
        <x:v>—/—/—/—</x:v>
      </x:c>
      <x:c r="S264" s="48" t="str">
        <x:v>1 / 10% / 2 / 20% / 4 / 3 / 30% / 6 / 40% / 8</x:v>
      </x:c>
      <x:c r="T264" s="48" t="str">
        <x:v>“—”表示 6.48b 对象表该级字段为空；脚本型技能需结合证据说明与来源冲突表。</x:v>
      </x:c>
    </x:row>
    <x:row r="265" ht="34" customHeight="1">
      <x:c r="A265" s="18" t="str">
        <x:v>U000-4</x:v>
      </x:c>
      <x:c r="B265" s="18" t="str">
        <x:v>地穴刺客</x:v>
      </x:c>
      <x:c r="C265" s="18" t="str">
        <x:v>Nerubian Assassin</x:v>
      </x:c>
      <x:c r="D265" s="18" t="str">
        <x:v>Vendetta</x:v>
      </x:c>
      <x:c r="E265" s="18" t="str">
        <x:v>A09U</x:v>
      </x:c>
      <x:c r="F265" s="18" t="str">
        <x:v>AOwk</x:v>
      </x:c>
      <x:c r="G265" s="48" t="str">
        <x:v>—/—/—</x:v>
      </x:c>
      <x:c r="H265" s="48" t="str">
        <x:v>0.1/0.15/0.2</x:v>
      </x:c>
      <x:c r="I265" s="48" t="str">
        <x:v>225/375/525</x:v>
      </x:c>
      <x:c r="J265" s="48" t="str">
        <x:v>1/1/1</x:v>
      </x:c>
      <x:c r="K265" s="48" t="str">
        <x:v>—/—/—</x:v>
      </x:c>
      <x:c r="L265" s="48" t="str">
        <x:v>—/—/—</x:v>
      </x:c>
      <x:c r="M265" s="48" t="str">
        <x:v>—/—/—</x:v>
      </x:c>
      <x:c r="N265" s="48" t="str">
        <x:v>—/—/—</x:v>
      </x:c>
      <x:c r="O265" s="48" t="str">
        <x:v>—/—/—</x:v>
      </x:c>
      <x:c r="P265" s="48" t="str">
        <x:v>—/—/—</x:v>
      </x:c>
      <x:c r="Q265" s="48" t="str">
        <x:v>B00K/B00K/B00K</x:v>
      </x:c>
      <x:c r="R265" s="48" t="str">
        <x:v>—/—/—</x:v>
      </x:c>
      <x:c r="S265" s="48" t="str">
        <x:v>1 / 225 / 10% / 2 / 375 / 15% / 3 / 525 / 20% / 90 / 75 / 60 / 20 / 35 / 50</x:v>
      </x:c>
      <x:c r="T265" s="48" t="str">
        <x:v>“—”表示 6.48b 对象表该级字段为空；脚本型技能需结合证据说明与来源冲突表。</x:v>
      </x:c>
    </x:row>
    <x:row r="266" ht="34" customHeight="1">
      <x:c r="A266" s="18" t="str">
        <x:v>E004-1</x:v>
      </x:c>
      <x:c r="B266" s="18" t="str">
        <x:v>骷髅射手</x:v>
      </x:c>
      <x:c r="C266" s="18" t="str">
        <x:v>Bone Fletcher</x:v>
      </x:c>
      <x:c r="D266" s="18" t="str">
        <x:v>Searing Arrows</x:v>
      </x:c>
      <x:c r="E266" s="18" t="str">
        <x:v>AHfa</x:v>
      </x:c>
      <x:c r="F266" s="18" t="str">
        <x:v>AHfa</x:v>
      </x:c>
      <x:c r="G266" s="48" t="str">
        <x:v>10/20/30/40</x:v>
      </x:c>
      <x:c r="H266" s="48" t="str">
        <x:v>—/—/—/—</x:v>
      </x:c>
      <x:c r="I266" s="48" t="str">
        <x:v>—/—/—/—</x:v>
      </x:c>
      <x:c r="J266" s="48" t="str">
        <x:v>—/—/—/—</x:v>
      </x:c>
      <x:c r="K266" s="48" t="str">
        <x:v>—/—/—/—</x:v>
      </x:c>
      <x:c r="L266" s="48" t="str">
        <x:v>—/—/—/—</x:v>
      </x:c>
      <x:c r="M266" s="48" t="str">
        <x:v>—/—/—/—</x:v>
      </x:c>
      <x:c r="N266" s="48" t="str">
        <x:v>—/—/—/—</x:v>
      </x:c>
      <x:c r="O266" s="48" t="str">
        <x:v>—/—/—/—</x:v>
      </x:c>
      <x:c r="P266" s="48" t="str">
        <x:v>—/—/—/—</x:v>
      </x:c>
      <x:c r="Q266" s="48" t="str">
        <x:v>—/—/—/—</x:v>
      </x:c>
      <x:c r="R266" s="48" t="str">
        <x:v>—/—/—/—</x:v>
      </x:c>
      <x:c r="S266" s="48" t="str">
        <x:v>1 / 10 / 2 / 20 / 3 / 30 / 4 / 40 / 0</x:v>
      </x:c>
      <x:c r="T266" s="48" t="str">
        <x:v>“—”表示 6.48b 对象表该级字段为空；脚本型技能需结合证据说明与来源冲突表。</x:v>
      </x:c>
    </x:row>
    <x:row r="267" ht="34" customHeight="1">
      <x:c r="A267" s="18" t="str">
        <x:v>E004-2</x:v>
      </x:c>
      <x:c r="B267" s="18" t="str">
        <x:v>骷髅射手</x:v>
      </x:c>
      <x:c r="C267" s="18" t="str">
        <x:v>Bone Fletcher</x:v>
      </x:c>
      <x:c r="D267" s="18" t="str">
        <x:v>Wind Walk</x:v>
      </x:c>
      <x:c r="E267" s="18" t="str">
        <x:v>A025</x:v>
      </x:c>
      <x:c r="F267" s="18" t="str">
        <x:v>AOwk</x:v>
      </x:c>
      <x:c r="G267" s="48" t="str">
        <x:v>0.6/0.6/0.6/0.6</x:v>
      </x:c>
      <x:c r="H267" s="48" t="str">
        <x:v>0.07/0.14/0.21/0.28</x:v>
      </x:c>
      <x:c r="I267" s="48" t="str">
        <x:v>—/—/—/—</x:v>
      </x:c>
      <x:c r="J267" s="48" t="str">
        <x:v>1/1/1/1</x:v>
      </x:c>
      <x:c r="K267" s="48" t="str">
        <x:v>—/—/—/—</x:v>
      </x:c>
      <x:c r="L267" s="48" t="str">
        <x:v>—/—/—/—</x:v>
      </x:c>
      <x:c r="M267" s="48" t="str">
        <x:v>—/—/—/—</x:v>
      </x:c>
      <x:c r="N267" s="48" t="str">
        <x:v>—/—/—/—</x:v>
      </x:c>
      <x:c r="O267" s="48" t="str">
        <x:v>—/—/—/—</x:v>
      </x:c>
      <x:c r="P267" s="48" t="str">
        <x:v>—/—/—/—</x:v>
      </x:c>
      <x:c r="Q267" s="48" t="str">
        <x:v>B076/B076/B076/B076</x:v>
      </x:c>
      <x:c r="R267" s="48" t="str">
        <x:v>—/—/—/—</x:v>
      </x:c>
      <x:c r="S267" s="48" t="str">
        <x:v>1 / 7% / 20 / 2 / 14% / 25 / 3 / 21% / 30 / 4 / 28% / 35</x:v>
      </x:c>
      <x:c r="T267" s="48" t="str">
        <x:v>“—”表示 6.48b 对象表该级字段为空；脚本型技能需结合证据说明与来源冲突表。</x:v>
      </x:c>
    </x:row>
    <x:row r="268" ht="34" customHeight="1">
      <x:c r="A268" s="18" t="str">
        <x:v>E004-3</x:v>
      </x:c>
      <x:c r="B268" s="18" t="str">
        <x:v>骷髅射手</x:v>
      </x:c>
      <x:c r="C268" s="18" t="str">
        <x:v>Bone Fletcher</x:v>
      </x:c>
      <x:c r="D268" s="18" t="str">
        <x:v>Death Pact</x:v>
      </x:c>
      <x:c r="E268" s="18" t="str">
        <x:v>A04Q</x:v>
      </x:c>
      <x:c r="F268" s="18" t="str">
        <x:v>Ainf</x:v>
      </x:c>
      <x:c r="G268" s="48" t="str">
        <x:v>—/—/—</x:v>
      </x:c>
      <x:c r="H268" s="48" t="str">
        <x:v>—/—/—</x:v>
      </x:c>
      <x:c r="I268" s="48" t="str">
        <x:v>50/50/50</x:v>
      </x:c>
      <x:c r="J268" s="48" t="str">
        <x:v>—/—/—</x:v>
      </x:c>
      <x:c r="K268" s="48" t="str">
        <x:v>—/—/—</x:v>
      </x:c>
      <x:c r="L268" s="48" t="str">
        <x:v>—/—/—</x:v>
      </x:c>
      <x:c r="M268" s="48" t="str">
        <x:v>—/—/—</x:v>
      </x:c>
      <x:c r="N268" s="48" t="str">
        <x:v>—/—/—</x:v>
      </x:c>
      <x:c r="O268" s="48" t="str">
        <x:v>—/—/—</x:v>
      </x:c>
      <x:c r="P268" s="48" t="str">
        <x:v>—/—/—</x:v>
      </x:c>
      <x:c r="Q268" s="48" t="str">
        <x:v>B00R/B00R/B00R</x:v>
      </x:c>
      <x:c r="R268" s="48" t="str">
        <x:v>—/—/—</x:v>
      </x:c>
      <x:c r="S268" s="48" t="str">
        <x:v>1 / 55% / 2 / 95% / 3 / 135% / 20</x:v>
      </x:c>
      <x:c r="T268" s="48" t="str">
        <x:v>“—”表示 6.48b 对象表该级字段为空；脚本型技能需结合证据说明与来源冲突表。</x:v>
      </x:c>
    </x:row>
    <x:row r="269" ht="34" customHeight="1">
      <x:c r="A269" s="18" t="str">
        <x:v>E004-4</x:v>
      </x:c>
      <x:c r="B269" s="18" t="str">
        <x:v>骷髅射手</x:v>
      </x:c>
      <x:c r="C269" s="18" t="str">
        <x:v>Bone Fletcher</x:v>
      </x:c>
      <x:c r="D269" s="18" t="str">
        <x:v>Strafe</x:v>
      </x:c>
      <x:c r="E269" s="18" t="str">
        <x:v>A030</x:v>
      </x:c>
      <x:c r="F269" s="18" t="str">
        <x:v>Absk</x:v>
      </x:c>
      <x:c r="G269" s="48" t="str">
        <x:v>—/—/—/—</x:v>
      </x:c>
      <x:c r="H269" s="48" t="str">
        <x:v>0.2/0.4/0.6/—</x:v>
      </x:c>
      <x:c r="I269" s="48" t="str">
        <x:v>—/—/—/—</x:v>
      </x:c>
      <x:c r="J269" s="48" t="str">
        <x:v>—/—/—/—</x:v>
      </x:c>
      <x:c r="K269" s="48" t="str">
        <x:v>—/—/—/—</x:v>
      </x:c>
      <x:c r="L269" s="48" t="str">
        <x:v>—/—/—/—</x:v>
      </x:c>
      <x:c r="M269" s="48" t="str">
        <x:v>—/—/—/—</x:v>
      </x:c>
      <x:c r="N269" s="48" t="str">
        <x:v>—/—/—/—</x:v>
      </x:c>
      <x:c r="O269" s="48" t="str">
        <x:v>—/—/—/—</x:v>
      </x:c>
      <x:c r="P269" s="48" t="str">
        <x:v>—/—/—/—</x:v>
      </x:c>
      <x:c r="Q269" s="48" t="str">
        <x:v>B00S/B00S/B00S/—</x:v>
      </x:c>
      <x:c r="R269" s="48" t="str">
        <x:v>—/—/—/—</x:v>
      </x:c>
      <x:c r="S269" s="48" t="str">
        <x:v>10 / 1 / 20% / 2 / 40% / 3 / 60% / 4 / 80% / 30</x:v>
      </x:c>
      <x:c r="T269" s="48" t="str">
        <x:v>“—”表示 6.48b 对象表该级字段为空；脚本型技能需结合证据说明与来源冲突表。</x:v>
      </x:c>
    </x:row>
    <x:row r="270" ht="34" customHeight="1">
      <x:c r="A270" s="18" t="str">
        <x:v>Udre-1</x:v>
      </x:c>
      <x:c r="B270" s="18" t="str">
        <x:v>暗夜魔王</x:v>
      </x:c>
      <x:c r="C270" s="18" t="str">
        <x:v>Night Stalker</x:v>
      </x:c>
      <x:c r="D270" s="18" t="str">
        <x:v>Void</x:v>
      </x:c>
      <x:c r="E270" s="18" t="str">
        <x:v>A02H</x:v>
      </x:c>
      <x:c r="F270" s="18" t="str">
        <x:v>AHtb</x:v>
      </x:c>
      <x:c r="G270" s="48" t="str">
        <x:v>90/160/255/335</x:v>
      </x:c>
      <x:c r="H270" s="48" t="str">
        <x:v>—/—/—/—</x:v>
      </x:c>
      <x:c r="I270" s="48" t="str">
        <x:v>—/—/—/—</x:v>
      </x:c>
      <x:c r="J270" s="48" t="str">
        <x:v>—/—/—/—</x:v>
      </x:c>
      <x:c r="K270" s="48" t="str">
        <x:v>—/—/—/—</x:v>
      </x:c>
      <x:c r="L270" s="48" t="str">
        <x:v>—/—/—/—</x:v>
      </x:c>
      <x:c r="M270" s="48" t="str">
        <x:v>—/—/—/—</x:v>
      </x:c>
      <x:c r="N270" s="48" t="str">
        <x:v>—/—/—/—</x:v>
      </x:c>
      <x:c r="O270" s="48" t="str">
        <x:v>—/—/—/—</x:v>
      </x:c>
      <x:c r="P270" s="48" t="str">
        <x:v>—/—/—/—</x:v>
      </x:c>
      <x:c r="Q270" s="48" t="str">
        <x:v>—/—/—/—</x:v>
      </x:c>
      <x:c r="R270" s="48" t="str">
        <x:v>B00P/B00P/B00P/B00P</x:v>
      </x:c>
      <x:c r="S270" s="48" t="str">
        <x:v>4 / 1 / 90 / 2 / 160 / 3 / 255 / 335 / 8</x:v>
      </x:c>
      <x:c r="T270" s="48" t="str">
        <x:v>“—”表示 6.48b 对象表该级字段为空；脚本型技能需结合证据说明与来源冲突表。</x:v>
      </x:c>
    </x:row>
    <x:row r="271" ht="34" customHeight="1">
      <x:c r="A271" s="18" t="str">
        <x:v>Udre-2</x:v>
      </x:c>
      <x:c r="B271" s="18" t="str">
        <x:v>暗夜魔王</x:v>
      </x:c>
      <x:c r="C271" s="18" t="str">
        <x:v>Night Stalker</x:v>
      </x:c>
      <x:c r="D271" s="18" t="str">
        <x:v>Crippling Fear</x:v>
      </x:c>
      <x:c r="E271" s="18" t="str">
        <x:v>A08E</x:v>
      </x:c>
      <x:c r="F271" s="18" t="str">
        <x:v>ANcl</x:v>
      </x:c>
      <x:c r="G271" s="48" t="str">
        <x:v>180/180/180/180</x:v>
      </x:c>
      <x:c r="H271" s="48" t="str">
        <x:v>—/—/—/—</x:v>
      </x:c>
      <x:c r="I271" s="48" t="str">
        <x:v>—/—/—/—</x:v>
      </x:c>
      <x:c r="J271" s="48" t="str">
        <x:v>0.98/0.98/0.98/0.98</x:v>
      </x:c>
      <x:c r="K271" s="48" t="str">
        <x:v>—/—/—/—</x:v>
      </x:c>
      <x:c r="L271" s="48" t="str">
        <x:v>channel/channel/channel/channel</x:v>
      </x:c>
      <x:c r="M271" s="48" t="str">
        <x:v>—/—/—/—</x:v>
      </x:c>
      <x:c r="N271" s="48" t="str">
        <x:v>—/—/—/—</x:v>
      </x:c>
      <x:c r="O271" s="48" t="str">
        <x:v>—/—/—/—</x:v>
      </x:c>
      <x:c r="P271" s="48" t="str">
        <x:v>—/—/—/—</x:v>
      </x:c>
      <x:c r="Q271" s="48" t="str">
        <x:v>—/—/—/—</x:v>
      </x:c>
      <x:c r="R271" s="48" t="str">
        <x:v>—/—/—/—</x:v>
      </x:c>
      <x:c r="S271" s="48" t="str">
        <x:v>1 / 10% / 5 / 2 / 20% / 6 / 3 / 30% / 7 / 4 / 40% / 8 / 12</x:v>
      </x:c>
      <x:c r="T271" s="48" t="str">
        <x:v>“—”表示 6.48b 对象表该级字段为空；脚本型技能需结合证据说明与来源冲突表。</x:v>
      </x:c>
    </x:row>
    <x:row r="272" ht="34" customHeight="1">
      <x:c r="A272" s="18" t="str">
        <x:v>Udre-3</x:v>
      </x:c>
      <x:c r="B272" s="18" t="str">
        <x:v>暗夜魔王</x:v>
      </x:c>
      <x:c r="C272" s="18" t="str">
        <x:v>Night Stalker</x:v>
      </x:c>
      <x:c r="D272" s="18" t="str">
        <x:v>Hunter in the Night</x:v>
      </x:c>
      <x:c r="E272" s="18" t="str">
        <x:v>A086</x:v>
      </x:c>
      <x:c r="F272" s="18" t="str">
        <x:v>ANcl</x:v>
      </x:c>
      <x:c r="G272" s="48" t="str">
        <x:v>180/180/180/180</x:v>
      </x:c>
      <x:c r="H272" s="48" t="str">
        <x:v>—/—/—/—</x:v>
      </x:c>
      <x:c r="I272" s="48" t="str">
        <x:v>—/—/—/—</x:v>
      </x:c>
      <x:c r="J272" s="48" t="str">
        <x:v>0.98/0.98/0.98/0.98</x:v>
      </x:c>
      <x:c r="K272" s="48" t="str">
        <x:v>—/—/—/—</x:v>
      </x:c>
      <x:c r="L272" s="48" t="str">
        <x:v>channel/channel/channel/channel</x:v>
      </x:c>
      <x:c r="M272" s="48" t="str">
        <x:v>—/—/—/—</x:v>
      </x:c>
      <x:c r="N272" s="48" t="str">
        <x:v>—/—/—/—</x:v>
      </x:c>
      <x:c r="O272" s="48" t="str">
        <x:v>—/—/—/—</x:v>
      </x:c>
      <x:c r="P272" s="48" t="str">
        <x:v>—/—/—/—</x:v>
      </x:c>
      <x:c r="Q272" s="48" t="str">
        <x:v>—/—/—/—</x:v>
      </x:c>
      <x:c r="R272" s="48" t="str">
        <x:v>—/—/—/—</x:v>
      </x:c>
      <x:c r="S272" s="48" t="str">
        <x:v>1 / 15% / 20% / 2 / 35% / 3 / 30% / 55% / 4 / 75%</x:v>
      </x:c>
      <x:c r="T272" s="48" t="str">
        <x:v>“—”表示 6.48b 对象表该级字段为空；脚本型技能需结合证据说明与来源冲突表。</x:v>
      </x:c>
    </x:row>
    <x:row r="273" ht="34" customHeight="1">
      <x:c r="A273" s="18" t="str">
        <x:v>Udre-4</x:v>
      </x:c>
      <x:c r="B273" s="18" t="str">
        <x:v>暗夜魔王</x:v>
      </x:c>
      <x:c r="C273" s="18" t="str">
        <x:v>Night Stalker</x:v>
      </x:c>
      <x:c r="D273" s="18" t="str">
        <x:v>Darkness</x:v>
      </x:c>
      <x:c r="E273" s="18" t="str">
        <x:v>A03K</x:v>
      </x:c>
      <x:c r="F273" s="18" t="str">
        <x:v>AIct</x:v>
      </x:c>
      <x:c r="G273" s="48" t="str">
        <x:v>—/—/—</x:v>
      </x:c>
      <x:c r="H273" s="48" t="str">
        <x:v>—/—/—</x:v>
      </x:c>
      <x:c r="I273" s="48" t="str">
        <x:v>—/—/—</x:v>
      </x:c>
      <x:c r="J273" s="48" t="str">
        <x:v>—/—/—</x:v>
      </x:c>
      <x:c r="K273" s="48" t="str">
        <x:v>—/—/—</x:v>
      </x:c>
      <x:c r="L273" s="48" t="str">
        <x:v>—/—/—</x:v>
      </x:c>
      <x:c r="M273" s="48" t="str">
        <x:v>—/—/—</x:v>
      </x:c>
      <x:c r="N273" s="48" t="str">
        <x:v>—/—/—</x:v>
      </x:c>
      <x:c r="O273" s="48" t="str">
        <x:v>—/—/—</x:v>
      </x:c>
      <x:c r="P273" s="48" t="str">
        <x:v>—/—/—</x:v>
      </x:c>
      <x:c r="Q273" s="48" t="str">
        <x:v>—/—/—</x:v>
      </x:c>
      <x:c r="R273" s="48" t="str">
        <x:v>XIct/XIct/XIct</x:v>
      </x:c>
      <x:c r="S273" s="48" t="str">
        <x:v>25 / 50 / 80 / 1 / 240 / 2 / 180 / 3 / 125</x:v>
      </x:c>
      <x:c r="T273" s="48" t="str">
        <x:v>“—”表示 6.48b 对象表该级字段为空；脚本型技能需结合证据说明与来源冲突表。</x:v>
      </x:c>
    </x:row>
    <x:row r="274" ht="34" customHeight="1">
      <x:c r="A274" s="18" t="str">
        <x:v>UC01-1</x:v>
      </x:c>
      <x:c r="B274" s="18" t="str">
        <x:v>痛苦女王</x:v>
      </x:c>
      <x:c r="C274" s="18" t="str">
        <x:v>Queen of Pain</x:v>
      </x:c>
      <x:c r="D274" s="18" t="str">
        <x:v>Shadow Strike</x:v>
      </x:c>
      <x:c r="E274" s="18" t="str">
        <x:v>A0Q7</x:v>
      </x:c>
      <x:c r="F274" s="18" t="str">
        <x:v>AEsh</x:v>
      </x:c>
      <x:c r="G274" s="48" t="str">
        <x:v>10/20/40/50</x:v>
      </x:c>
      <x:c r="H274" s="48" t="str">
        <x:v>0.2/0.3/0.4/0.5</x:v>
      </x:c>
      <x:c r="I274" s="48" t="str">
        <x:v>—/—/—/—</x:v>
      </x:c>
      <x:c r="J274" s="48" t="str">
        <x:v>3/3/3/3</x:v>
      </x:c>
      <x:c r="K274" s="48" t="str">
        <x:v>50/70/70/100</x:v>
      </x:c>
      <x:c r="L274" s="48" t="str">
        <x:v>—/—/—/—</x:v>
      </x:c>
      <x:c r="M274" s="48" t="str">
        <x:v>—/—/—/—</x:v>
      </x:c>
      <x:c r="N274" s="48" t="str">
        <x:v>—/—/—/—</x:v>
      </x:c>
      <x:c r="O274" s="48" t="str">
        <x:v>—/—/—/—</x:v>
      </x:c>
      <x:c r="P274" s="48" t="str">
        <x:v>—/—/—/—</x:v>
      </x:c>
      <x:c r="Q274" s="48" t="str">
        <x:v>BEsh/BEsh/BEsh/BEsh</x:v>
      </x:c>
      <x:c r="R274" s="48" t="str">
        <x:v>—/—/—/—</x:v>
      </x:c>
      <x:c r="S274" s="48" t="str">
        <x:v>1 / 50 / 10 / 2 / 70 / 20 / 3 / 40 / 4 / 100 / 22 / 21 / 16 / 15</x:v>
      </x:c>
      <x:c r="T274" s="48" t="str">
        <x:v>“—”表示 6.48b 对象表该级字段为空；脚本型技能需结合证据说明与来源冲突表。</x:v>
      </x:c>
    </x:row>
    <x:row r="275" ht="34" customHeight="1">
      <x:c r="A275" s="18" t="str">
        <x:v>UC01-2</x:v>
      </x:c>
      <x:c r="B275" s="18" t="str">
        <x:v>痛苦女王</x:v>
      </x:c>
      <x:c r="C275" s="18" t="str">
        <x:v>Queen of Pain</x:v>
      </x:c>
      <x:c r="D275" s="18" t="str">
        <x:v>Blink</x:v>
      </x:c>
      <x:c r="E275" s="18" t="str">
        <x:v>A0ME</x:v>
      </x:c>
      <x:c r="F275" s="18" t="str">
        <x:v>AEbl</x:v>
      </x:c>
      <x:c r="G275" s="48" t="str">
        <x:v>1000/1075/1150/1150</x:v>
      </x:c>
      <x:c r="H275" s="48" t="str">
        <x:v>200/200/200/200</x:v>
      </x:c>
      <x:c r="I275" s="48" t="str">
        <x:v>—/—/—/—</x:v>
      </x:c>
      <x:c r="J275" s="48" t="str">
        <x:v>—/—/—/—</x:v>
      </x:c>
      <x:c r="K275" s="48" t="str">
        <x:v>—/—/—/—</x:v>
      </x:c>
      <x:c r="L275" s="48" t="str">
        <x:v>—/—/—/—</x:v>
      </x:c>
      <x:c r="M275" s="48" t="str">
        <x:v>—/—/—/—</x:v>
      </x:c>
      <x:c r="N275" s="48" t="str">
        <x:v>—/—/—/—</x:v>
      </x:c>
      <x:c r="O275" s="48" t="str">
        <x:v>—/—/—/—</x:v>
      </x:c>
      <x:c r="P275" s="48" t="str">
        <x:v>—/—/—/—</x:v>
      </x:c>
      <x:c r="Q275" s="48" t="str">
        <x:v>—/—/—/—</x:v>
      </x:c>
      <x:c r="R275" s="48" t="str">
        <x:v>—/—/—/—</x:v>
      </x:c>
      <x:c r="S275" s="48" t="str">
        <x:v>60 / 1 / 12 / 2 / 9 / 3 / 7 / 4 / 5</x:v>
      </x:c>
      <x:c r="T275" s="48" t="str">
        <x:v>“—”表示 6.48b 对象表该级字段为空；脚本型技能需结合证据说明与来源冲突表。</x:v>
      </x:c>
    </x:row>
    <x:row r="276" ht="34" customHeight="1">
      <x:c r="A276" s="18" t="str">
        <x:v>UC01-3</x:v>
      </x:c>
      <x:c r="B276" s="18" t="str">
        <x:v>痛苦女王</x:v>
      </x:c>
      <x:c r="C276" s="18" t="str">
        <x:v>Queen of Pain</x:v>
      </x:c>
      <x:c r="D276" s="18" t="str">
        <x:v>Scream of Pain</x:v>
      </x:c>
      <x:c r="E276" s="18" t="str">
        <x:v>A04A</x:v>
      </x:c>
      <x:c r="F276" s="18" t="str">
        <x:v>AEfk</x:v>
      </x:c>
      <x:c r="G276" s="48" t="str">
        <x:v>85/165/225/300</x:v>
      </x:c>
      <x:c r="H276" s="48" t="str">
        <x:v>9999/9999/9999/9999</x:v>
      </x:c>
      <x:c r="I276" s="48" t="str">
        <x:v>—/—/—/—</x:v>
      </x:c>
      <x:c r="J276" s="48" t="str">
        <x:v>100/100/100/100</x:v>
      </x:c>
      <x:c r="K276" s="48" t="str">
        <x:v>—/—/—/—</x:v>
      </x:c>
      <x:c r="L276" s="48" t="str">
        <x:v>—/—/—/—</x:v>
      </x:c>
      <x:c r="M276" s="48" t="str">
        <x:v>—/—/—/—</x:v>
      </x:c>
      <x:c r="N276" s="48" t="str">
        <x:v>—/—/—/—</x:v>
      </x:c>
      <x:c r="O276" s="48" t="str">
        <x:v>—/—/—/—</x:v>
      </x:c>
      <x:c r="P276" s="48" t="str">
        <x:v>—/—/—/—</x:v>
      </x:c>
      <x:c r="Q276" s="48" t="str">
        <x:v>—/—/—/—</x:v>
      </x:c>
      <x:c r="R276" s="48" t="str">
        <x:v>—/—/—/—</x:v>
      </x:c>
      <x:c r="S276" s="48" t="str">
        <x:v>1 / 85 / 2 / 165 / 3 / 225 / 4 / 300 / 10</x:v>
      </x:c>
      <x:c r="T276" s="48" t="str">
        <x:v>“—”表示 6.48b 对象表该级字段为空；脚本型技能需结合证据说明与来源冲突表。</x:v>
      </x:c>
    </x:row>
    <x:row r="277" ht="34" customHeight="1">
      <x:c r="A277" s="18" t="str">
        <x:v>UC01-4</x:v>
      </x:c>
      <x:c r="B277" s="18" t="str">
        <x:v>痛苦女王</x:v>
      </x:c>
      <x:c r="C277" s="18" t="str">
        <x:v>Queen of Pain</x:v>
      </x:c>
      <x:c r="D277" s="18" t="str">
        <x:v>Sonic Wave</x:v>
      </x:c>
      <x:c r="E277" s="18" t="str">
        <x:v>A00O</x:v>
      </x:c>
      <x:c r="F277" s="18" t="str">
        <x:v>AUcs</x:v>
      </x:c>
      <x:c r="G277" s="48" t="str">
        <x:v>290/430/600</x:v>
      </x:c>
      <x:c r="H277" s="48" t="str">
        <x:v>9000/9000/9000</x:v>
      </x:c>
      <x:c r="I277" s="48" t="str">
        <x:v>800/800/800</x:v>
      </x:c>
      <x:c r="J277" s="48" t="str">
        <x:v>300/300/300</x:v>
      </x:c>
      <x:c r="K277" s="48" t="str">
        <x:v>—/—/—</x:v>
      </x:c>
      <x:c r="L277" s="48" t="str">
        <x:v>—/—/—</x:v>
      </x:c>
      <x:c r="M277" s="48" t="str">
        <x:v>—/—/—</x:v>
      </x:c>
      <x:c r="N277" s="48" t="str">
        <x:v>—/—/—</x:v>
      </x:c>
      <x:c r="O277" s="48" t="str">
        <x:v>—/—/—</x:v>
      </x:c>
      <x:c r="P277" s="48" t="str">
        <x:v>—/—/—</x:v>
      </x:c>
      <x:c r="Q277" s="48" t="str">
        <x:v>BUcs/BUcs/BUcs</x:v>
      </x:c>
      <x:c r="R277" s="48" t="str">
        <x:v>—/—/—</x:v>
      </x:c>
      <x:c r="S277" s="48" t="str">
        <x:v>1 / 290 / 2 / 430 / 3 / 600 / 120 / 100 / 75</x:v>
      </x:c>
      <x:c r="T277" s="48" t="str">
        <x:v>“—”表示 6.48b 对象表该级字段为空；脚本型技能需结合证据说明与来源冲突表。</x:v>
      </x:c>
    </x:row>
    <x:row r="278" ht="34" customHeight="1">
      <x:c r="A278" s="18" t="str">
        <x:v>UC91-1</x:v>
      </x:c>
      <x:c r="B278" s="18" t="str">
        <x:v>鱼人守卫</x:v>
      </x:c>
      <x:c r="C278" s="18" t="str">
        <x:v>Slithereen Guard</x:v>
      </x:c>
      <x:c r="D278" s="18" t="str">
        <x:v>Slithereen Crush</x:v>
      </x:c>
      <x:c r="E278" s="18" t="str">
        <x:v>A01W</x:v>
      </x:c>
      <x:c r="F278" s="18" t="str">
        <x:v>AOws</x:v>
      </x:c>
      <x:c r="G278" s="48" t="str">
        <x:v>50/75/100/150</x:v>
      </x:c>
      <x:c r="H278" s="48" t="str">
        <x:v>—/—/—/—</x:v>
      </x:c>
      <x:c r="I278" s="48" t="str">
        <x:v>—/—/—/—</x:v>
      </x:c>
      <x:c r="J278" s="48" t="str">
        <x:v>—/—/—/—</x:v>
      </x:c>
      <x:c r="K278" s="48" t="str">
        <x:v>—/—/—/—</x:v>
      </x:c>
      <x:c r="L278" s="48" t="str">
        <x:v>—/—/—/—</x:v>
      </x:c>
      <x:c r="M278" s="48" t="str">
        <x:v>—/—/—/—</x:v>
      </x:c>
      <x:c r="N278" s="48" t="str">
        <x:v>—/—/—/—</x:v>
      </x:c>
      <x:c r="O278" s="48" t="str">
        <x:v>—/—/—/—</x:v>
      </x:c>
      <x:c r="P278" s="48" t="str">
        <x:v>—/—/—/—</x:v>
      </x:c>
      <x:c r="Q278" s="48" t="str">
        <x:v>BPSE/BPSE/BPSE/BPSE</x:v>
      </x:c>
      <x:c r="R278" s="48" t="str">
        <x:v>—/—/—/—</x:v>
      </x:c>
      <x:c r="S278" s="48" t="str">
        <x:v>20% / 2 / 1 / 50 / 75 / 1.5 / 3 / 100 / 4 / 150 / 2.5 / 8</x:v>
      </x:c>
      <x:c r="T278" s="48" t="str">
        <x:v>“—”表示 6.48b 对象表该级字段为空；脚本型技能需结合证据说明与来源冲突表。</x:v>
      </x:c>
    </x:row>
    <x:row r="279" ht="34" customHeight="1">
      <x:c r="A279" s="18" t="str">
        <x:v>UC91-2</x:v>
      </x:c>
      <x:c r="B279" s="18" t="str">
        <x:v>鱼人守卫</x:v>
      </x:c>
      <x:c r="C279" s="18" t="str">
        <x:v>Slithereen Guard</x:v>
      </x:c>
      <x:c r="D279" s="18" t="str">
        <x:v>Bash</x:v>
      </x:c>
      <x:c r="E279" s="18" t="str">
        <x:v>A0JJ</x:v>
      </x:c>
      <x:c r="F279" s="18" t="str">
        <x:v>AHbh</x:v>
      </x:c>
      <x:c r="G279" s="48" t="str">
        <x:v>10/15/20/25</x:v>
      </x:c>
      <x:c r="H279" s="48" t="str">
        <x:v>—/—/—/—</x:v>
      </x:c>
      <x:c r="I279" s="48" t="str">
        <x:v>40/50/60/70</x:v>
      </x:c>
      <x:c r="J279" s="48" t="str">
        <x:v>—/—/—/—</x:v>
      </x:c>
      <x:c r="K279" s="48" t="str">
        <x:v>—/—/—/—</x:v>
      </x:c>
      <x:c r="L279" s="48" t="str">
        <x:v>—/—/—/—</x:v>
      </x:c>
      <x:c r="M279" s="48" t="str">
        <x:v>—/—/—/—</x:v>
      </x:c>
      <x:c r="N279" s="48" t="str">
        <x:v>—/—/—/—</x:v>
      </x:c>
      <x:c r="O279" s="48" t="str">
        <x:v>—/—/—/—</x:v>
      </x:c>
      <x:c r="P279" s="48" t="str">
        <x:v>—/—/—/—</x:v>
      </x:c>
      <x:c r="Q279" s="48" t="str">
        <x:v>BPSE/BPSE/BPSE/BPSE</x:v>
      </x:c>
      <x:c r="R279" s="48" t="str">
        <x:v>—/—/—/—</x:v>
      </x:c>
      <x:c r="S279" s="48" t="str">
        <x:v>1 / 10% / 2 / 15% / 3 / 20% / 4 / 25% / 40 / 50 / 60 / 70</x:v>
      </x:c>
      <x:c r="T279" s="48" t="str">
        <x:v>“—”表示 6.48b 对象表该级字段为空；脚本型技能需结合证据说明与来源冲突表。</x:v>
      </x:c>
    </x:row>
    <x:row r="280" ht="34" customHeight="1">
      <x:c r="A280" s="18" t="str">
        <x:v>UC91-3</x:v>
      </x:c>
      <x:c r="B280" s="18" t="str">
        <x:v>鱼人守卫</x:v>
      </x:c>
      <x:c r="C280" s="18" t="str">
        <x:v>Slithereen Guard</x:v>
      </x:c>
      <x:c r="D280" s="18" t="str">
        <x:v>Amplify Damage</x:v>
      </x:c>
      <x:c r="E280" s="18" t="str">
        <x:v>A034</x:v>
      </x:c>
      <x:c r="F280" s="18" t="str">
        <x:v>Afae</x:v>
      </x:c>
      <x:c r="G280" s="48" t="str">
        <x:v>5/10/15</x:v>
      </x:c>
      <x:c r="H280" s="48" t="str">
        <x:v>—/—/—</x:v>
      </x:c>
      <x:c r="I280" s="48" t="str">
        <x:v>—/—/—</x:v>
      </x:c>
      <x:c r="J280" s="48" t="str">
        <x:v>—/—/—</x:v>
      </x:c>
      <x:c r="K280" s="48" t="str">
        <x:v>—/—/—</x:v>
      </x:c>
      <x:c r="L280" s="48" t="str">
        <x:v>—/—/—</x:v>
      </x:c>
      <x:c r="M280" s="48" t="str">
        <x:v>—/—/—</x:v>
      </x:c>
      <x:c r="N280" s="48" t="str">
        <x:v>—/—/—</x:v>
      </x:c>
      <x:c r="O280" s="48" t="str">
        <x:v>—/—/—</x:v>
      </x:c>
      <x:c r="P280" s="48" t="str">
        <x:v>—/—/—</x:v>
      </x:c>
      <x:c r="Q280" s="48" t="str">
        <x:v>B00T/B00T/B00T</x:v>
      </x:c>
      <x:c r="R280" s="48" t="str">
        <x:v>—/—/—</x:v>
      </x:c>
      <x:c r="S280" s="48" t="str">
        <x:v>1 / 5 / 2 / 10 / 3 / 15</x:v>
      </x:c>
      <x:c r="T280" s="48" t="str">
        <x:v>“—”表示 6.48b 对象表该级字段为空；脚本型技能需结合证据说明与来源冲突表。</x:v>
      </x:c>
    </x:row>
    <x:row r="281" ht="34" customHeight="1">
      <x:c r="A281" s="18" t="str">
        <x:v>UC91-4</x:v>
      </x:c>
      <x:c r="B281" s="18" t="str">
        <x:v>鱼人守卫</x:v>
      </x:c>
      <x:c r="C281" s="18" t="str">
        <x:v>Slithereen Guard</x:v>
      </x:c>
      <x:c r="D281" s="18" t="str">
        <x:v>Sprint</x:v>
      </x:c>
      <x:c r="E281" s="18" t="str">
        <x:v>A05C</x:v>
      </x:c>
      <x:c r="F281" s="18" t="str">
        <x:v>Absk</x:v>
      </x:c>
      <x:c r="G281" s="48" t="str">
        <x:v>0.1/0.2/0.3/—</x:v>
      </x:c>
      <x:c r="H281" s="48" t="str">
        <x:v>—/—/—/—</x:v>
      </x:c>
      <x:c r="I281" s="48" t="str">
        <x:v>0.2/0.2/0.2/—</x:v>
      </x:c>
      <x:c r="J281" s="48" t="str">
        <x:v>—/—/—/—</x:v>
      </x:c>
      <x:c r="K281" s="48" t="str">
        <x:v>—/—/—/—</x:v>
      </x:c>
      <x:c r="L281" s="48" t="str">
        <x:v>—/—/—/—</x:v>
      </x:c>
      <x:c r="M281" s="48" t="str">
        <x:v>—/—/—/—</x:v>
      </x:c>
      <x:c r="N281" s="48" t="str">
        <x:v>—/—/—/—</x:v>
      </x:c>
      <x:c r="O281" s="48" t="str">
        <x:v>—/—/—/—</x:v>
      </x:c>
      <x:c r="P281" s="48" t="str">
        <x:v>—/—/—/—</x:v>
      </x:c>
      <x:c r="Q281" s="48" t="str">
        <x:v>B013/B013/B013/—</x:v>
      </x:c>
      <x:c r="R281" s="48" t="str">
        <x:v>—/—/—/—</x:v>
      </x:c>
      <x:c r="S281" s="48" t="str">
        <x:v>20% / 25 / 1 / 10% / 2 / 3 / 30% / 4 / 40% / 45</x:v>
      </x:c>
      <x:c r="T281" s="48" t="str">
        <x:v>“—”表示 6.48b 对象表该级字段为空；脚本型技能需结合证据说明与来源冲突表。</x:v>
      </x:c>
    </x:row>
    <x:row r="282" ht="34" customHeight="1">
      <x:c r="A282" s="18" t="str">
        <x:v>UC42-1</x:v>
      </x:c>
      <x:c r="B282" s="18" t="str">
        <x:v>末日使者</x:v>
      </x:c>
      <x:c r="C282" s="18" t="str">
        <x:v>Doom Bringer</x:v>
      </x:c>
      <x:c r="D282" s="18" t="str">
        <x:v>Scorched Earth</x:v>
      </x:c>
      <x:c r="E282" s="18" t="str">
        <x:v>A0FE</x:v>
      </x:c>
      <x:c r="F282" s="18" t="str">
        <x:v>AHfs</x:v>
      </x:c>
      <x:c r="G282" s="48" t="str">
        <x:v>—/—/—/—</x:v>
      </x:c>
      <x:c r="H282" s="48" t="str">
        <x:v>—/—/—/—</x:v>
      </x:c>
      <x:c r="I282" s="48" t="str">
        <x:v>1/2/3/4</x:v>
      </x:c>
      <x:c r="J282" s="48" t="str">
        <x:v>1/1/1/1</x:v>
      </x:c>
      <x:c r="K282" s="48" t="str">
        <x:v>—/—/—/—</x:v>
      </x:c>
      <x:c r="L282" s="48" t="str">
        <x:v>99999/99999/99999/99999</x:v>
      </x:c>
      <x:c r="M282" s="48" t="str">
        <x:v>—/—/—/—</x:v>
      </x:c>
      <x:c r="N282" s="48" t="str">
        <x:v>—/—/—/—</x:v>
      </x:c>
      <x:c r="O282" s="48" t="str">
        <x:v>—/—/—/—</x:v>
      </x:c>
      <x:c r="P282" s="48" t="str">
        <x:v>—/—/—/—</x:v>
      </x:c>
      <x:c r="Q282" s="48" t="str">
        <x:v>B04K/B04K/B04K/B04K</x:v>
      </x:c>
      <x:c r="R282" s="48" t="str">
        <x:v>XHfs/XHfs/XHfs/XHfs</x:v>
      </x:c>
      <x:c r="S282" s="48" t="str">
        <x:v>20 / 1 / 10% / 2 / 15% / 3 / 20% / 4 / 30% / 10</x:v>
      </x:c>
      <x:c r="T282" s="48" t="str">
        <x:v>“—”表示 6.48b 对象表该级字段为空；脚本型技能需结合证据说明与来源冲突表。</x:v>
      </x:c>
    </x:row>
    <x:row r="283" ht="34" customHeight="1">
      <x:c r="A283" s="18" t="str">
        <x:v>UC42-2</x:v>
      </x:c>
      <x:c r="B283" s="18" t="str">
        <x:v>末日使者</x:v>
      </x:c>
      <x:c r="C283" s="18" t="str">
        <x:v>Doom Bringer</x:v>
      </x:c>
      <x:c r="D283" s="18" t="str">
        <x:v>LVL? Death</x:v>
      </x:c>
      <x:c r="E283" s="18" t="str">
        <x:v>A094</x:v>
      </x:c>
      <x:c r="F283" s="18" t="str">
        <x:v>ANfb</x:v>
      </x:c>
      <x:c r="G283" s="48" t="str">
        <x:v>100/150/200/250</x:v>
      </x:c>
      <x:c r="H283" s="48" t="str">
        <x:v>—/—/—/—</x:v>
      </x:c>
      <x:c r="I283" s="48" t="str">
        <x:v>—/—/—/—</x:v>
      </x:c>
      <x:c r="J283" s="48" t="str">
        <x:v>—/—/—/—</x:v>
      </x:c>
      <x:c r="K283" s="48" t="str">
        <x:v>—/—/—/—</x:v>
      </x:c>
      <x:c r="L283" s="48" t="str">
        <x:v>—/—/—/—</x:v>
      </x:c>
      <x:c r="M283" s="48" t="str">
        <x:v>—/—/—/—</x:v>
      </x:c>
      <x:c r="N283" s="48" t="str">
        <x:v>—/—/—/—</x:v>
      </x:c>
      <x:c r="O283" s="48" t="str">
        <x:v>—/—/—/—</x:v>
      </x:c>
      <x:c r="P283" s="48" t="str">
        <x:v>—/—/—/—</x:v>
      </x:c>
      <x:c r="Q283" s="48" t="str">
        <x:v>—/—/—/—</x:v>
      </x:c>
      <x:c r="R283" s="48" t="str">
        <x:v>—/—/—/—</x:v>
      </x:c>
      <x:c r="S283" s="48" t="str">
        <x:v>250 / 25 / 1 / 100 / 6 / 2 / 150 / 5 / 3 / 200 / 4 / 8</x:v>
      </x:c>
      <x:c r="T283" s="48" t="str">
        <x:v>“—”表示 6.48b 对象表该级字段为空；脚本型技能需结合证据说明与来源冲突表。</x:v>
      </x:c>
    </x:row>
    <x:row r="284" ht="34" customHeight="1">
      <x:c r="A284" s="18" t="str">
        <x:v>UC42-3</x:v>
      </x:c>
      <x:c r="B284" s="18" t="str">
        <x:v>末日使者</x:v>
      </x:c>
      <x:c r="C284" s="18" t="str">
        <x:v>Doom Bringer</x:v>
      </x:c>
      <x:c r="D284" s="18" t="str">
        <x:v>Doom</x:v>
      </x:c>
      <x:c r="E284" s="18" t="str">
        <x:v>A0MU</x:v>
      </x:c>
      <x:c r="F284" s="18" t="str">
        <x:v>ANdo</x:v>
      </x:c>
      <x:c r="G284" s="48" t="str">
        <x:v>40/60/80</x:v>
      </x:c>
      <x:c r="H284" s="48" t="str">
        <x:v>—/—/—</x:v>
      </x:c>
      <x:c r="I284" s="48" t="str">
        <x:v>120/120/120</x:v>
      </x:c>
      <x:c r="J284" s="48" t="str">
        <x:v>5/—/—</x:v>
      </x:c>
      <x:c r="K284" s="48" t="str">
        <x:v>—/—/—</x:v>
      </x:c>
      <x:c r="L284" s="48" t="str">
        <x:v>—/—/—</x:v>
      </x:c>
      <x:c r="M284" s="48" t="str">
        <x:v>—/—/—</x:v>
      </x:c>
      <x:c r="N284" s="48" t="str">
        <x:v>—/—/—</x:v>
      </x:c>
      <x:c r="O284" s="48" t="str">
        <x:v>—/—/—</x:v>
      </x:c>
      <x:c r="P284" s="48" t="str">
        <x:v>nbal/nbal/nbal</x:v>
      </x:c>
      <x:c r="Q284" s="48" t="str">
        <x:v>BNdo/BNdo/BNdo</x:v>
      </x:c>
      <x:c r="R284" s="48" t="str">
        <x:v>—/—/—</x:v>
      </x:c>
      <x:c r="S284" s="48" t="str">
        <x:v>1 / 40 / 12 / 2 / 60 / 14 / 3 / 80 / 16 / 180 / 150 / 120</x:v>
      </x:c>
      <x:c r="T284" s="48" t="str">
        <x:v>“—”表示 6.48b 对象表该级字段为空；脚本型技能需结合证据说明与来源冲突表。</x:v>
      </x:c>
    </x:row>
    <x:row r="285" ht="34" customHeight="1">
      <x:c r="A285" s="18" t="str">
        <x:v>UC42-4</x:v>
      </x:c>
      <x:c r="B285" s="18" t="str">
        <x:v>末日使者</x:v>
      </x:c>
      <x:c r="C285" s="18" t="str">
        <x:v>Doom Bringer</x:v>
      </x:c>
      <x:c r="D285" s="18" t="str">
        <x:v>Devour</x:v>
      </x:c>
      <x:c r="E285" s="18" t="str">
        <x:v>A05Y</x:v>
      </x:c>
      <x:c r="F285" s="18" t="str">
        <x:v>Adev</x:v>
      </x:c>
      <x:c r="G285" s="48" t="str">
        <x:v>1/2/4/—</x:v>
      </x:c>
      <x:c r="H285" s="48" t="str">
        <x:v>—/—/—/—</x:v>
      </x:c>
      <x:c r="I285" s="48" t="str">
        <x:v>—/—/—/—</x:v>
      </x:c>
      <x:c r="J285" s="48" t="str">
        <x:v>—/—/—/—</x:v>
      </x:c>
      <x:c r="K285" s="48" t="str">
        <x:v>—/—/—/—</x:v>
      </x:c>
      <x:c r="L285" s="48" t="str">
        <x:v>—/—/—/—</x:v>
      </x:c>
      <x:c r="M285" s="48" t="str">
        <x:v>—/—/—/—</x:v>
      </x:c>
      <x:c r="N285" s="48" t="str">
        <x:v>—/—/—/—</x:v>
      </x:c>
      <x:c r="O285" s="48" t="str">
        <x:v>—/—/—/—</x:v>
      </x:c>
      <x:c r="P285" s="48" t="str">
        <x:v>—/—/—/—</x:v>
      </x:c>
      <x:c r="Q285" s="48" t="str">
        <x:v>Bdig,Bdvv/Bdig,Bdvv/Bdig,Bdvv/—</x:v>
      </x:c>
      <x:c r="R285" s="48" t="str">
        <x:v>—/—/—/—</x:v>
      </x:c>
      <x:c r="S285" s="48" t="str">
        <x:v>1 / 10 / 2 / 20 / 3 / 30 / 4 / 40 / 25 / 15</x:v>
      </x:c>
      <x:c r="T285" s="48" t="str">
        <x:v>“—”表示 6.48b 对象表该级字段为空；脚本型技能需结合证据说明与来源冲突表。</x:v>
      </x:c>
    </x:row>
    <x:row r="286" ht="34" customHeight="1">
      <x:c r="A286" s="18" t="str">
        <x:v>NC00-1</x:v>
      </x:c>
      <x:c r="B286" s="18" t="str">
        <x:v>骷髅王</x:v>
      </x:c>
      <x:c r="C286" s="18" t="str">
        <x:v>Skeleton King</x:v>
      </x:c>
      <x:c r="D286" s="18" t="str">
        <x:v>Storm Bolt</x:v>
      </x:c>
      <x:c r="E286" s="18" t="str">
        <x:v>AHtb</x:v>
      </x:c>
      <x:c r="F286" s="18" t="str">
        <x:v>AHtb</x:v>
      </x:c>
      <x:c r="G286" s="48" t="str">
        <x:v>100/150/200/250</x:v>
      </x:c>
      <x:c r="H286" s="48" t="str">
        <x:v>—/—/—/—</x:v>
      </x:c>
      <x:c r="I286" s="48" t="str">
        <x:v>—/—/—/—</x:v>
      </x:c>
      <x:c r="J286" s="48" t="str">
        <x:v>—/—/—/—</x:v>
      </x:c>
      <x:c r="K286" s="48" t="str">
        <x:v>—/—/—/—</x:v>
      </x:c>
      <x:c r="L286" s="48" t="str">
        <x:v>—/—/—/—</x:v>
      </x:c>
      <x:c r="M286" s="48" t="str">
        <x:v>—/—/—/—</x:v>
      </x:c>
      <x:c r="N286" s="48" t="str">
        <x:v>—/—/—/—</x:v>
      </x:c>
      <x:c r="O286" s="48" t="str">
        <x:v>—/—/—/—</x:v>
      </x:c>
      <x:c r="P286" s="48" t="str">
        <x:v>—/—/—/—</x:v>
      </x:c>
      <x:c r="Q286" s="48" t="str">
        <x:v>BPSE/BPSE/BPSE/BPSE</x:v>
      </x:c>
      <x:c r="R286" s="48" t="str">
        <x:v>—/—/—/—</x:v>
      </x:c>
      <x:c r="S286" s="48" t="str">
        <x:v>2 / 1 / 100 / 150 / 3 / 200 / 4 / 250 / 8</x:v>
      </x:c>
      <x:c r="T286" s="48" t="str">
        <x:v>“—”表示 6.48b 对象表该级字段为空；脚本型技能需结合证据说明与来源冲突表。</x:v>
      </x:c>
    </x:row>
    <x:row r="287" ht="34" customHeight="1">
      <x:c r="A287" s="18" t="str">
        <x:v>NC00-2</x:v>
      </x:c>
      <x:c r="B287" s="18" t="str">
        <x:v>骷髅王</x:v>
      </x:c>
      <x:c r="C287" s="18" t="str">
        <x:v>Skeleton King</x:v>
      </x:c>
      <x:c r="D287" s="18" t="str">
        <x:v>Vampiric Aura</x:v>
      </x:c>
      <x:c r="E287" s="18" t="str">
        <x:v>AUav</x:v>
      </x:c>
      <x:c r="F287" s="18" t="str">
        <x:v>AUav</x:v>
      </x:c>
      <x:c r="G287" s="48" t="str">
        <x:v>0.05/0.1/0.15/0.2</x:v>
      </x:c>
      <x:c r="H287" s="48" t="str">
        <x:v>—/—/—/—</x:v>
      </x:c>
      <x:c r="I287" s="48" t="str">
        <x:v>—/—/—/—</x:v>
      </x:c>
      <x:c r="J287" s="48" t="str">
        <x:v>—/—/—/—</x:v>
      </x:c>
      <x:c r="K287" s="48" t="str">
        <x:v>—/—/—/—</x:v>
      </x:c>
      <x:c r="L287" s="48" t="str">
        <x:v>—/—/—/—</x:v>
      </x:c>
      <x:c r="M287" s="48" t="str">
        <x:v>—/—/—/—</x:v>
      </x:c>
      <x:c r="N287" s="48" t="str">
        <x:v>—/—/—/—</x:v>
      </x:c>
      <x:c r="O287" s="48" t="str">
        <x:v>—/—/—/—</x:v>
      </x:c>
      <x:c r="P287" s="48" t="str">
        <x:v>—/—/—/—</x:v>
      </x:c>
      <x:c r="Q287" s="48" t="str">
        <x:v>BUav/BUav/BUav/BUav</x:v>
      </x:c>
      <x:c r="R287" s="48" t="str">
        <x:v>—/—/—/—</x:v>
      </x:c>
      <x:c r="S287" s="48" t="str">
        <x:v>1 / 5% / 2 / 10% / 3 / 15% / 4 / 20%</x:v>
      </x:c>
      <x:c r="T287" s="48" t="str">
        <x:v>“—”表示 6.48b 对象表该级字段为空；脚本型技能需结合证据说明与来源冲突表。</x:v>
      </x:c>
    </x:row>
    <x:row r="288" ht="34" customHeight="1">
      <x:c r="A288" s="18" t="str">
        <x:v>NC00-3</x:v>
      </x:c>
      <x:c r="B288" s="18" t="str">
        <x:v>骷髅王</x:v>
      </x:c>
      <x:c r="C288" s="18" t="str">
        <x:v>Skeleton King</x:v>
      </x:c>
      <x:c r="D288" s="18" t="str">
        <x:v>Critical Strike</x:v>
      </x:c>
      <x:c r="E288" s="18" t="str">
        <x:v>AOcr</x:v>
      </x:c>
      <x:c r="F288" s="18" t="str">
        <x:v>AOcr</x:v>
      </x:c>
      <x:c r="G288" s="48" t="str">
        <x:v>15/15/15/15</x:v>
      </x:c>
      <x:c r="H288" s="48" t="str">
        <x:v>1.25/1.75/2.25/2.75</x:v>
      </x:c>
      <x:c r="I288" s="48" t="str">
        <x:v>—/—/—/—</x:v>
      </x:c>
      <x:c r="J288" s="48" t="str">
        <x:v>—/—/—/—</x:v>
      </x:c>
      <x:c r="K288" s="48" t="str">
        <x:v>—/—/—/—</x:v>
      </x:c>
      <x:c r="L288" s="48" t="str">
        <x:v>—/—/—/—</x:v>
      </x:c>
      <x:c r="M288" s="48" t="str">
        <x:v>—/—/—/—</x:v>
      </x:c>
      <x:c r="N288" s="48" t="str">
        <x:v>—/—/—/—</x:v>
      </x:c>
      <x:c r="O288" s="48" t="str">
        <x:v>—/—/—/—</x:v>
      </x:c>
      <x:c r="P288" s="48" t="str">
        <x:v>—/—/—/—</x:v>
      </x:c>
      <x:c r="Q288" s="48" t="str">
        <x:v>—/—/—/—</x:v>
      </x:c>
      <x:c r="R288" s="48" t="str">
        <x:v>—/—/—/—</x:v>
      </x:c>
      <x:c r="S288" s="48" t="str">
        <x:v>1 / 15% / 1.25 / 2 / 1.75 / 3 / 2.25 / 4 / 2.75</x:v>
      </x:c>
      <x:c r="T288" s="48" t="str">
        <x:v>“—”表示 6.48b 对象表该级字段为空；脚本型技能需结合证据说明与来源冲突表。</x:v>
      </x:c>
    </x:row>
    <x:row r="289" ht="34" customHeight="1">
      <x:c r="A289" s="18" t="str">
        <x:v>NC00-4</x:v>
      </x:c>
      <x:c r="B289" s="18" t="str">
        <x:v>骷髅王</x:v>
      </x:c>
      <x:c r="C289" s="18" t="str">
        <x:v>Skeleton King</x:v>
      </x:c>
      <x:c r="D289" s="18" t="str">
        <x:v>Reincarnation</x:v>
      </x:c>
      <x:c r="E289" s="18" t="str">
        <x:v>A01Y</x:v>
      </x:c>
      <x:c r="F289" s="18" t="str">
        <x:v>AOre</x:v>
      </x:c>
      <x:c r="G289" s="48" t="str">
        <x:v>5/4.5/4</x:v>
      </x:c>
      <x:c r="H289" s="48" t="str">
        <x:v>—/—/—</x:v>
      </x:c>
      <x:c r="I289" s="48" t="str">
        <x:v>—/—/—</x:v>
      </x:c>
      <x:c r="J289" s="48" t="str">
        <x:v>—/—/—</x:v>
      </x:c>
      <x:c r="K289" s="48" t="str">
        <x:v>—/—/—</x:v>
      </x:c>
      <x:c r="L289" s="48" t="str">
        <x:v>—/—/—</x:v>
      </x:c>
      <x:c r="M289" s="48" t="str">
        <x:v>—/—/—</x:v>
      </x:c>
      <x:c r="N289" s="48" t="str">
        <x:v>—/—/—</x:v>
      </x:c>
      <x:c r="O289" s="48" t="str">
        <x:v>—/—/—</x:v>
      </x:c>
      <x:c r="P289" s="48" t="str">
        <x:v>—/—/—</x:v>
      </x:c>
      <x:c r="Q289" s="48" t="str">
        <x:v>—/—/—</x:v>
      </x:c>
      <x:c r="R289" s="48" t="str">
        <x:v>XOre/XOre/XOre</x:v>
      </x:c>
      <x:c r="S289" s="48" t="str">
        <x:v>1 / 300 / 2 / 220 / 3 / 140</x:v>
      </x:c>
      <x:c r="T289" s="48" t="str">
        <x:v>“—”表示 6.48b 对象表该级字段为空；脚本型技能需结合证据说明与来源冲突表。</x:v>
      </x:c>
    </x:row>
    <x:row r="290" ht="34" customHeight="1">
      <x:c r="A290" s="18" t="str">
        <x:v>N00B-1</x:v>
      </x:c>
      <x:c r="B290" s="18" t="str">
        <x:v>仙女龙</x:v>
      </x:c>
      <x:c r="C290" s="18" t="str">
        <x:v>Faerie Dragon</x:v>
      </x:c>
      <x:c r="D290" s="18" t="str">
        <x:v>Waning Rift</x:v>
      </x:c>
      <x:c r="E290" s="18" t="str">
        <x:v>A0SC</x:v>
      </x:c>
      <x:c r="F290" s="18" t="str">
        <x:v>ANcl</x:v>
      </x:c>
      <x:c r="G290" s="48" t="str">
        <x:v>—/—/—/—</x:v>
      </x:c>
      <x:c r="H290" s="48" t="str">
        <x:v>—/—/—/—</x:v>
      </x:c>
      <x:c r="I290" s="48" t="str">
        <x:v>1/1/1/1</x:v>
      </x:c>
      <x:c r="J290" s="48" t="str">
        <x:v>0.98/0.98/0.98/0.98</x:v>
      </x:c>
      <x:c r="K290" s="48" t="str">
        <x:v>—/—/—/—</x:v>
      </x:c>
      <x:c r="L290" s="48" t="str">
        <x:v>channel/channel/channel/channel</x:v>
      </x:c>
      <x:c r="M290" s="48" t="str">
        <x:v>—/—/—/—</x:v>
      </x:c>
      <x:c r="N290" s="48" t="str">
        <x:v>—/—/—/—</x:v>
      </x:c>
      <x:c r="O290" s="48" t="str">
        <x:v>—/—/—/—</x:v>
      </x:c>
      <x:c r="P290" s="48" t="str">
        <x:v>—/—/—/—</x:v>
      </x:c>
      <x:c r="Q290" s="48" t="str">
        <x:v>—/—/—/—</x:v>
      </x:c>
      <x:c r="R290" s="48" t="str">
        <x:v>—/—/—/—</x:v>
      </x:c>
      <x:c r="S290" s="48" t="str">
        <x:v>400 / 1 / 60 / 0.1 / 2 / 120 / 3 / 180 / 4 / 240 / 20 / 100 / 110 / 130</x:v>
      </x:c>
      <x:c r="T290" s="48" t="str">
        <x:v>“—”表示 6.48b 对象表该级字段为空；脚本型技能需结合证据说明与来源冲突表。</x:v>
      </x:c>
    </x:row>
    <x:row r="291" ht="34" customHeight="1">
      <x:c r="A291" s="18" t="str">
        <x:v>N00B-2</x:v>
      </x:c>
      <x:c r="B291" s="18" t="str">
        <x:v>仙女龙</x:v>
      </x:c>
      <x:c r="C291" s="18" t="str">
        <x:v>Faerie Dragon</x:v>
      </x:c>
      <x:c r="D291" s="18" t="str">
        <x:v>Phase Shift</x:v>
      </x:c>
      <x:c r="E291" s="18" t="str">
        <x:v>A0SB</x:v>
      </x:c>
      <x:c r="F291" s="18" t="str">
        <x:v>Apsh</x:v>
      </x:c>
      <x:c r="G291" s="48" t="str">
        <x:v>—/—/—/—</x:v>
      </x:c>
      <x:c r="H291" s="48" t="str">
        <x:v>—/—/—/—</x:v>
      </x:c>
      <x:c r="I291" s="48" t="str">
        <x:v>—/—/—/—</x:v>
      </x:c>
      <x:c r="J291" s="48" t="str">
        <x:v>—/—/—/—</x:v>
      </x:c>
      <x:c r="K291" s="48" t="str">
        <x:v>—/—/—/—</x:v>
      </x:c>
      <x:c r="L291" s="48" t="str">
        <x:v>—/—/—/—</x:v>
      </x:c>
      <x:c r="M291" s="48" t="str">
        <x:v>—/—/—/—</x:v>
      </x:c>
      <x:c r="N291" s="48" t="str">
        <x:v>—/—/—/—</x:v>
      </x:c>
      <x:c r="O291" s="48" t="str">
        <x:v>—/—/—/—</x:v>
      </x:c>
      <x:c r="P291" s="48" t="str">
        <x:v>—/—/—/—</x:v>
      </x:c>
      <x:c r="Q291" s="48" t="str">
        <x:v>Bpsh/Bpsh/Bpsh/—</x:v>
      </x:c>
      <x:c r="R291" s="48" t="str">
        <x:v>—/—/—/—</x:v>
      </x:c>
      <x:c r="S291" s="48" t="str">
        <x:v>1 / 0.75 / 2 / 1.5 / 3 / 2.25 / 4 / 6 / 50 / 40 / 30 / 20</x:v>
      </x:c>
      <x:c r="T291" s="48" t="str">
        <x:v>“—”表示 6.48b 对象表该级字段为空；脚本型技能需结合证据说明与来源冲突表。</x:v>
      </x:c>
    </x:row>
    <x:row r="292" ht="34" customHeight="1">
      <x:c r="A292" s="18" t="str">
        <x:v>N00B-3</x:v>
      </x:c>
      <x:c r="B292" s="18" t="str">
        <x:v>仙女龙</x:v>
      </x:c>
      <x:c r="C292" s="18" t="str">
        <x:v>Faerie Dragon</x:v>
      </x:c>
      <x:c r="D292" s="18" t="str">
        <x:v>Dream Coil</x:v>
      </x:c>
      <x:c r="E292" s="18" t="str">
        <x:v>A0S8</x:v>
      </x:c>
      <x:c r="F292" s="18" t="str">
        <x:v>AHbz</x:v>
      </x:c>
      <x:c r="G292" s="48" t="str">
        <x:v>1/1/1</x:v>
      </x:c>
      <x:c r="H292" s="48" t="str">
        <x:v>—/—/—</x:v>
      </x:c>
      <x:c r="I292" s="48" t="str">
        <x:v>1/1/1</x:v>
      </x:c>
      <x:c r="J292" s="48" t="str">
        <x:v>1/1/1</x:v>
      </x:c>
      <x:c r="K292" s="48" t="str">
        <x:v>—/—/—</x:v>
      </x:c>
      <x:c r="L292" s="48" t="str">
        <x:v>—/—/—</x:v>
      </x:c>
      <x:c r="M292" s="48" t="str">
        <x:v>—/—/—</x:v>
      </x:c>
      <x:c r="N292" s="48" t="str">
        <x:v>—/—/—</x:v>
      </x:c>
      <x:c r="O292" s="48" t="str">
        <x:v>—/—/—</x:v>
      </x:c>
      <x:c r="P292" s="48" t="str">
        <x:v>—/—/—</x:v>
      </x:c>
      <x:c r="Q292" s="48" t="str">
        <x:v>—/—/—</x:v>
      </x:c>
      <x:c r="R292" s="48" t="str">
        <x:v>—/—/—</x:v>
      </x:c>
      <x:c r="S292" s="48" t="str">
        <x:v>600 / 5 / 1 / 100 / 0.5 / 1.5 / 2 / 150 / 2.25 / 3 / 200 / 85</x:v>
      </x:c>
      <x:c r="T292" s="48" t="str">
        <x:v>“—”表示 6.48b 对象表该级字段为空；脚本型技能需结合证据说明与来源冲突表。</x:v>
      </x:c>
    </x:row>
    <x:row r="293" ht="34" customHeight="1">
      <x:c r="A293" s="18" t="str">
        <x:v>N00B-4</x:v>
      </x:c>
      <x:c r="B293" s="18" t="str">
        <x:v>仙女龙</x:v>
      </x:c>
      <x:c r="C293" s="18" t="str">
        <x:v>Faerie Dragon</x:v>
      </x:c>
      <x:c r="D293" s="18" t="str">
        <x:v>Illusory Orb</x:v>
      </x:c>
      <x:c r="E293" s="18" t="str">
        <x:v>A0S9</x:v>
      </x:c>
      <x:c r="F293" s="18" t="str">
        <x:v>ANcl</x:v>
      </x:c>
      <x:c r="G293" s="48" t="str">
        <x:v>—/—/—/—</x:v>
      </x:c>
      <x:c r="H293" s="48" t="str">
        <x:v>2/2/2/2</x:v>
      </x:c>
      <x:c r="I293" s="48" t="str">
        <x:v>1/1/1/1</x:v>
      </x:c>
      <x:c r="J293" s="48" t="str">
        <x:v>0.5/0.5/0.5/0.5</x:v>
      </x:c>
      <x:c r="K293" s="48" t="str">
        <x:v>—/—/—/—</x:v>
      </x:c>
      <x:c r="L293" s="48" t="str">
        <x:v>acidbomb/acidbomb/acidbomb/acidbomb</x:v>
      </x:c>
      <x:c r="M293" s="48" t="str">
        <x:v>—/—/—/—</x:v>
      </x:c>
      <x:c r="N293" s="48" t="str">
        <x:v>—/—/—/—</x:v>
      </x:c>
      <x:c r="O293" s="48" t="str">
        <x:v>—/—/—/—</x:v>
      </x:c>
      <x:c r="P293" s="48" t="str">
        <x:v>—/—/—/—</x:v>
      </x:c>
      <x:c r="Q293" s="48" t="str">
        <x:v>—/—/—/—</x:v>
      </x:c>
      <x:c r="R293" s="48" t="str">
        <x:v>—/—/—/—</x:v>
      </x:c>
      <x:c r="S293" s="48" t="str">
        <x:v>1800 / 225 / 1 / 70 / 2 / 140 / 3 / 210 / 4 / 280 / 15</x:v>
      </x:c>
      <x:c r="T293" s="48" t="str">
        <x:v>“—”表示 6.48b 对象表该级字段为空；脚本型技能需结合证据说明与来源冲突表。</x:v>
      </x:c>
    </x:row>
    <x:row r="294" ht="34" customHeight="1">
      <x:c r="A294" s="18" t="str">
        <x:v>E01Y-1</x:v>
      </x:c>
      <x:c r="B294" s="18" t="str">
        <x:v>圣堂刺客</x:v>
      </x:c>
      <x:c r="C294" s="18" t="str">
        <x:v>Templar Assassin</x:v>
      </x:c>
      <x:c r="D294" s="18" t="str">
        <x:v>Meld</x:v>
      </x:c>
      <x:c r="E294" s="18" t="str">
        <x:v>A0RV</x:v>
      </x:c>
      <x:c r="F294" s="18" t="str">
        <x:v>AOwk</x:v>
      </x:c>
      <x:c r="G294" s="48" t="str">
        <x:v>—/0.001/0.001/0.001</x:v>
      </x:c>
      <x:c r="H294" s="48" t="str">
        <x:v>—/—/—/—</x:v>
      </x:c>
      <x:c r="I294" s="48" t="str">
        <x:v>—/—/—/—</x:v>
      </x:c>
      <x:c r="J294" s="48" t="str">
        <x:v>—/—/—/—</x:v>
      </x:c>
      <x:c r="K294" s="48" t="str">
        <x:v>—/—/—/—</x:v>
      </x:c>
      <x:c r="L294" s="48" t="str">
        <x:v>—/—/—/—</x:v>
      </x:c>
      <x:c r="M294" s="48" t="str">
        <x:v>—/—/—/—</x:v>
      </x:c>
      <x:c r="N294" s="48" t="str">
        <x:v>—/—/—/—</x:v>
      </x:c>
      <x:c r="O294" s="48" t="str">
        <x:v>—/—/—/—</x:v>
      </x:c>
      <x:c r="P294" s="48" t="str">
        <x:v>—/—/—/—</x:v>
      </x:c>
      <x:c r="Q294" s="48" t="str">
        <x:v>B08K/B08K/B08K/B08K</x:v>
      </x:c>
      <x:c r="R294" s="48" t="str">
        <x:v>—/—/—/—</x:v>
      </x:c>
      <x:c r="S294" s="48" t="str">
        <x:v>10 / 1 / 50 / -2 / 2 / 100 / -4 / 3 / 150 / -6 / 4 / 200 / -8 / 7 / 6 / 8</x:v>
      </x:c>
      <x:c r="T294" s="48" t="str">
        <x:v>“—”表示 6.48b 对象表该级字段为空；脚本型技能需结合证据说明与来源冲突表。</x:v>
      </x:c>
    </x:row>
    <x:row r="295" ht="34" customHeight="1">
      <x:c r="A295" s="18" t="str">
        <x:v>E01Y-2</x:v>
      </x:c>
      <x:c r="B295" s="18" t="str">
        <x:v>圣堂刺客</x:v>
      </x:c>
      <x:c r="C295" s="18" t="str">
        <x:v>Templar Assassin</x:v>
      </x:c>
      <x:c r="D295" s="18" t="str">
        <x:v>Psi Blades</x:v>
      </x:c>
      <x:c r="E295" s="18" t="str">
        <x:v>A0RO</x:v>
      </x:c>
      <x:c r="F295" s="18" t="str">
        <x:v>AEev</x:v>
      </x:c>
      <x:c r="G295" s="48" t="str">
        <x:v>—/—/—/—</x:v>
      </x:c>
      <x:c r="H295" s="48" t="str">
        <x:v>—/—/—/—</x:v>
      </x:c>
      <x:c r="I295" s="48" t="str">
        <x:v>—/—/—/—</x:v>
      </x:c>
      <x:c r="J295" s="48" t="str">
        <x:v>—/—/—/—</x:v>
      </x:c>
      <x:c r="K295" s="48" t="str">
        <x:v>—/—/—/—</x:v>
      </x:c>
      <x:c r="L295" s="48" t="str">
        <x:v>—/—/—/—</x:v>
      </x:c>
      <x:c r="M295" s="48" t="str">
        <x:v>—/—/—/—</x:v>
      </x:c>
      <x:c r="N295" s="48" t="str">
        <x:v>—/—/—/—</x:v>
      </x:c>
      <x:c r="O295" s="48" t="str">
        <x:v>—/—/—/—</x:v>
      </x:c>
      <x:c r="P295" s="48" t="str">
        <x:v>—/—/—/—</x:v>
      </x:c>
      <x:c r="Q295" s="48" t="str">
        <x:v>—/—/—/—</x:v>
      </x:c>
      <x:c r="R295" s="48" t="str">
        <x:v>—/—/—/—</x:v>
      </x:c>
      <x:c r="S295" s="48" t="str">
        <x:v>1 / 40 / 60 / 2 / 80 / 120 / 3 / 180 / 4 / 160 / 240</x:v>
      </x:c>
      <x:c r="T295" s="48" t="str">
        <x:v>“—”表示 6.48b 对象表该级字段为空；脚本型技能需结合证据说明与来源冲突表。</x:v>
      </x:c>
    </x:row>
    <x:row r="296" ht="34" customHeight="1">
      <x:c r="A296" s="18" t="str">
        <x:v>E01Y-3</x:v>
      </x:c>
      <x:c r="B296" s="18" t="str">
        <x:v>圣堂刺客</x:v>
      </x:c>
      <x:c r="C296" s="18" t="str">
        <x:v>Templar Assassin</x:v>
      </x:c>
      <x:c r="D296" s="18" t="str">
        <x:v>Psionic Trap</x:v>
      </x:c>
      <x:c r="E296" s="18" t="str">
        <x:v>A0RP</x:v>
      </x:c>
      <x:c r="F296" s="18" t="str">
        <x:v>ANcl</x:v>
      </x:c>
      <x:c r="G296" s="48" t="str">
        <x:v>—/—/—</x:v>
      </x:c>
      <x:c r="H296" s="48" t="str">
        <x:v>2/2/2</x:v>
      </x:c>
      <x:c r="I296" s="48" t="str">
        <x:v>1/1/1</x:v>
      </x:c>
      <x:c r="J296" s="48" t="str">
        <x:v>—/—/—</x:v>
      </x:c>
      <x:c r="K296" s="48" t="str">
        <x:v>—/—/—</x:v>
      </x:c>
      <x:c r="L296" s="48" t="str">
        <x:v>curse/curse/curse</x:v>
      </x:c>
      <x:c r="M296" s="48" t="str">
        <x:v>—/—/—</x:v>
      </x:c>
      <x:c r="N296" s="48" t="str">
        <x:v>—/—/—</x:v>
      </x:c>
      <x:c r="O296" s="48" t="str">
        <x:v>—/—/—</x:v>
      </x:c>
      <x:c r="P296" s="48" t="str">
        <x:v>—/—/—</x:v>
      </x:c>
      <x:c r="Q296" s="48" t="str">
        <x:v>—/—/—</x:v>
      </x:c>
      <x:c r="R296" s="48" t="str">
        <x:v>—/—/—</x:v>
      </x:c>
      <x:c r="S296" s="48" t="str">
        <x:v>400 / 50% / 1 / 5 / 2 / 8 / 3 / 11 / 7 / 15</x:v>
      </x:c>
      <x:c r="T296" s="48" t="str">
        <x:v>“—”表示 6.48b 对象表该级字段为空；脚本型技能需结合证据说明与来源冲突表。</x:v>
      </x:c>
    </x:row>
    <x:row r="297" ht="34" customHeight="1">
      <x:c r="A297" s="18" t="str">
        <x:v>E01Y-4</x:v>
      </x:c>
      <x:c r="B297" s="18" t="str">
        <x:v>圣堂刺客</x:v>
      </x:c>
      <x:c r="C297" s="18" t="str">
        <x:v>Templar Assassin</x:v>
      </x:c>
      <x:c r="D297" s="18" t="str">
        <x:v>Refraction</x:v>
      </x:c>
      <x:c r="E297" s="18" t="str">
        <x:v>A0RE</x:v>
      </x:c>
      <x:c r="F297" s="18" t="str">
        <x:v>ANcl</x:v>
      </x:c>
      <x:c r="G297" s="48" t="str">
        <x:v>—/—/—/—</x:v>
      </x:c>
      <x:c r="H297" s="48" t="str">
        <x:v>—/—/—/—</x:v>
      </x:c>
      <x:c r="I297" s="48" t="str">
        <x:v>1/1/1/1</x:v>
      </x:c>
      <x:c r="J297" s="48" t="str">
        <x:v>0.98/0.98/0.98/0.98</x:v>
      </x:c>
      <x:c r="K297" s="48" t="str">
        <x:v>—/—/—/—</x:v>
      </x:c>
      <x:c r="L297" s="48" t="str">
        <x:v>corrosivebreath/corrosivebreath/corrosivebreath/corrosivebreath</x:v>
      </x:c>
      <x:c r="M297" s="48" t="str">
        <x:v>—/—/—/—</x:v>
      </x:c>
      <x:c r="N297" s="48" t="str">
        <x:v>—/—/—/—</x:v>
      </x:c>
      <x:c r="O297" s="48" t="str">
        <x:v>—/—/—/—</x:v>
      </x:c>
      <x:c r="P297" s="48" t="str">
        <x:v>—/—/—/—</x:v>
      </x:c>
      <x:c r="Q297" s="48" t="str">
        <x:v>—/—/—/—</x:v>
      </x:c>
      <x:c r="R297" s="48" t="str">
        <x:v>—/—/—/—</x:v>
      </x:c>
      <x:c r="S297" s="48" t="str">
        <x:v>20 / 1 / 2 / 40 / 3 / 60 / 4 / 80 / 5 / 23 / 75</x:v>
      </x:c>
      <x:c r="T297" s="48" t="str">
        <x:v>“—”表示 6.48b 对象表该级字段为空；脚本型技能需结合证据说明与来源冲突表。</x:v>
      </x:c>
    </x:row>
    <x:row r="298" ht="34" customHeight="1">
      <x:c r="A298" s="18" t="str">
        <x:v>H00Q-1</x:v>
      </x:c>
      <x:c r="B298" s="18" t="str">
        <x:v>神灵武士</x:v>
      </x:c>
      <x:c r="C298" s="18" t="str">
        <x:v>Sacred Warrior</x:v>
      </x:c>
      <x:c r="D298" s="18" t="str">
        <x:v>Burning Spear</x:v>
      </x:c>
      <x:c r="E298" s="18" t="str">
        <x:v>A0QN</x:v>
      </x:c>
      <x:c r="F298" s="18" t="str">
        <x:v>AEpa</x:v>
      </x:c>
      <x:c r="G298" s="48" t="str">
        <x:v>—/—/—/—</x:v>
      </x:c>
      <x:c r="H298" s="48" t="str">
        <x:v>—/—/—/—</x:v>
      </x:c>
      <x:c r="I298" s="48" t="str">
        <x:v>—/—/—/—</x:v>
      </x:c>
      <x:c r="J298" s="48" t="str">
        <x:v>—/—/—/—</x:v>
      </x:c>
      <x:c r="K298" s="48" t="str">
        <x:v>1/1/1/1</x:v>
      </x:c>
      <x:c r="L298" s="48" t="str">
        <x:v>—/—/—/—</x:v>
      </x:c>
      <x:c r="M298" s="48" t="str">
        <x:v>—/—/—/—</x:v>
      </x:c>
      <x:c r="N298" s="48" t="str">
        <x:v>—/—/—/—</x:v>
      </x:c>
      <x:c r="O298" s="48" t="str">
        <x:v>—/—/—/—</x:v>
      </x:c>
      <x:c r="P298" s="48" t="str">
        <x:v>—/—/—/—</x:v>
      </x:c>
      <x:c r="Q298" s="48" t="str">
        <x:v>B081,B081,B081/B081,B081,B081/B081,B081,B081/B081,B081,B081</x:v>
      </x:c>
      <x:c r="R298" s="48" t="str">
        <x:v>—/—/—/—</x:v>
      </x:c>
      <x:c r="S298" s="48" t="str">
        <x:v>100 / 5 / 6 / 1 / 2 / 8 / 3 / 10 / 4 / 12 / 0 / 15</x:v>
      </x:c>
      <x:c r="T298" s="48" t="str">
        <x:v>“—”表示 6.48b 对象表该级字段为空；脚本型技能需结合证据说明与来源冲突表。</x:v>
      </x:c>
    </x:row>
    <x:row r="299" ht="34" customHeight="1">
      <x:c r="A299" s="18" t="str">
        <x:v>H00Q-2</x:v>
      </x:c>
      <x:c r="B299" s="18" t="str">
        <x:v>神灵武士</x:v>
      </x:c>
      <x:c r="C299" s="18" t="str">
        <x:v>Sacred Warrior</x:v>
      </x:c>
      <x:c r="D299" s="18" t="str">
        <x:v>Berserker's Blood</x:v>
      </x:c>
      <x:c r="E299" s="18" t="str">
        <x:v>A0QQ</x:v>
      </x:c>
      <x:c r="F299" s="18" t="str">
        <x:v>ANde</x:v>
      </x:c>
      <x:c r="G299" s="48" t="str">
        <x:v>—/—/—/—</x:v>
      </x:c>
      <x:c r="H299" s="48" t="str">
        <x:v>—/—/—/—</x:v>
      </x:c>
      <x:c r="I299" s="48" t="str">
        <x:v>—/—/—/—</x:v>
      </x:c>
      <x:c r="J299" s="48" t="str">
        <x:v>—/—/—/—</x:v>
      </x:c>
      <x:c r="K299" s="48" t="str">
        <x:v>—/—/—/—</x:v>
      </x:c>
      <x:c r="L299" s="48" t="str">
        <x:v>—/—/—/—</x:v>
      </x:c>
      <x:c r="M299" s="48" t="str">
        <x:v>—/—/—/—</x:v>
      </x:c>
      <x:c r="N299" s="48" t="str">
        <x:v>—/—/—/—</x:v>
      </x:c>
      <x:c r="O299" s="48" t="str">
        <x:v>—/—/—/—</x:v>
      </x:c>
      <x:c r="P299" s="48" t="str">
        <x:v>—/—/—/—</x:v>
      </x:c>
      <x:c r="Q299" s="48" t="str">
        <x:v>—/—/—/—</x:v>
      </x:c>
      <x:c r="R299" s="48" t="str">
        <x:v>—/—/—/—</x:v>
      </x:c>
      <x:c r="S299" s="48" t="str">
        <x:v>7% / 7 / 1 / 2% / 2 / 4% / 4 / 3 / 6% / 6 / 8% / 8</x:v>
      </x:c>
      <x:c r="T299" s="48" t="str">
        <x:v>“—”表示 6.48b 对象表该级字段为空；脚本型技能需结合证据说明与来源冲突表。</x:v>
      </x:c>
    </x:row>
    <x:row r="300" ht="34" customHeight="1">
      <x:c r="A300" s="18" t="str">
        <x:v>H00Q-3</x:v>
      </x:c>
      <x:c r="B300" s="18" t="str">
        <x:v>神灵武士</x:v>
      </x:c>
      <x:c r="C300" s="18" t="str">
        <x:v>Sacred Warrior</x:v>
      </x:c>
      <x:c r="D300" s="18" t="str">
        <x:v>Life Break</x:v>
      </x:c>
      <x:c r="E300" s="18" t="str">
        <x:v>A0QR</x:v>
      </x:c>
      <x:c r="F300" s="18" t="str">
        <x:v>ANcl</x:v>
      </x:c>
      <x:c r="G300" s="48" t="str">
        <x:v>—/—/—</x:v>
      </x:c>
      <x:c r="H300" s="48" t="str">
        <x:v>1/1/1</x:v>
      </x:c>
      <x:c r="I300" s="48" t="str">
        <x:v>1/1/1</x:v>
      </x:c>
      <x:c r="J300" s="48" t="str">
        <x:v>0.98/0.98/0.98</x:v>
      </x:c>
      <x:c r="K300" s="48" t="str">
        <x:v>—/—/—</x:v>
      </x:c>
      <x:c r="L300" s="48" t="str">
        <x:v>firebolt/firebolt/firebolt</x:v>
      </x:c>
      <x:c r="M300" s="48" t="str">
        <x:v>—/—/—</x:v>
      </x:c>
      <x:c r="N300" s="48" t="str">
        <x:v>—/—/—</x:v>
      </x:c>
      <x:c r="O300" s="48" t="str">
        <x:v>—/—/—</x:v>
      </x:c>
      <x:c r="P300" s="48" t="str">
        <x:v>—/—/—</x:v>
      </x:c>
      <x:c r="Q300" s="48" t="str">
        <x:v>—/—/—</x:v>
      </x:c>
      <x:c r="R300" s="48" t="str">
        <x:v>—/—/—</x:v>
      </x:c>
      <x:c r="S300" s="48" t="str">
        <x:v>40% / 50% / 5 / 1 / 2 / 33% / 3 / 25% / 45</x:v>
      </x:c>
      <x:c r="T300" s="48" t="str">
        <x:v>“—”表示 6.48b 对象表该级字段为空；脚本型技能需结合证据说明与来源冲突表。</x:v>
      </x:c>
    </x:row>
    <x:row r="301" ht="34" customHeight="1">
      <x:c r="A301" s="18" t="str">
        <x:v>H00Q-4</x:v>
      </x:c>
      <x:c r="B301" s="18" t="str">
        <x:v>神灵武士</x:v>
      </x:c>
      <x:c r="C301" s="18" t="str">
        <x:v>Sacred Warrior</x:v>
      </x:c>
      <x:c r="D301" s="18" t="str">
        <x:v>Inner Vitality</x:v>
      </x:c>
      <x:c r="E301" s="18" t="str">
        <x:v>A0QP</x:v>
      </x:c>
      <x:c r="F301" s="18" t="str">
        <x:v>ANcl</x:v>
      </x:c>
      <x:c r="G301" s="48" t="str">
        <x:v>—/—/—/—</x:v>
      </x:c>
      <x:c r="H301" s="48" t="str">
        <x:v>1/1/1/1</x:v>
      </x:c>
      <x:c r="I301" s="48" t="str">
        <x:v>1/1/1/1</x:v>
      </x:c>
      <x:c r="J301" s="48" t="str">
        <x:v>0.98/0.98/0.98/0.98</x:v>
      </x:c>
      <x:c r="K301" s="48" t="str">
        <x:v>—/—/—/—</x:v>
      </x:c>
      <x:c r="L301" s="48" t="str">
        <x:v>thunderbolt/thunderbolt/thunderbolt/thunderbolt</x:v>
      </x:c>
      <x:c r="M301" s="48" t="str">
        <x:v>—/—/—/—</x:v>
      </x:c>
      <x:c r="N301" s="48" t="str">
        <x:v>—/—/—/—</x:v>
      </x:c>
      <x:c r="O301" s="48" t="str">
        <x:v>—/—/—/—</x:v>
      </x:c>
      <x:c r="P301" s="48" t="str">
        <x:v>—/—/—/—</x:v>
      </x:c>
      <x:c r="Q301" s="48" t="str">
        <x:v>—/—/—/—</x:v>
      </x:c>
      <x:c r="R301" s="48" t="str">
        <x:v>—/—/—/—</x:v>
      </x:c>
      <x:c r="S301" s="48" t="str">
        <x:v>40% / 16 / 1 / 5 / 15 / 2 / 10 / 30 / 4 / 3 / 45 / 6 / 20 / 60 / 8 / 170</x:v>
      </x:c>
      <x:c r="T301" s="48" t="str">
        <x:v>“—”表示 6.48b 对象表该级字段为空；脚本型技能需结合证据说明与来源冲突表。</x:v>
      </x:c>
    </x:row>
    <x:row r="302" ht="34" customHeight="1">
      <x:c r="A302" s="18" t="str">
        <x:v>H00S-1</x:v>
      </x:c>
      <x:c r="B302" s="18" t="str">
        <x:v>风暴之灵</x:v>
      </x:c>
      <x:c r="C302" s="18" t="str">
        <x:v>Storm Spirit</x:v>
      </x:c>
      <x:c r="D302" s="18" t="str">
        <x:v>Electric Rave</x:v>
      </x:c>
      <x:c r="E302" s="18" t="str">
        <x:v>A0QY</x:v>
      </x:c>
      <x:c r="F302" s="18" t="str">
        <x:v>AEim</x:v>
      </x:c>
      <x:c r="G302" s="48" t="str">
        <x:v>—/—/—/—</x:v>
      </x:c>
      <x:c r="H302" s="48" t="str">
        <x:v>—/—/—/—</x:v>
      </x:c>
      <x:c r="I302" s="48" t="str">
        <x:v>—/—/—/—</x:v>
      </x:c>
      <x:c r="J302" s="48" t="str">
        <x:v>—/—/—/—</x:v>
      </x:c>
      <x:c r="K302" s="48" t="str">
        <x:v>—/—/—/—</x:v>
      </x:c>
      <x:c r="L302" s="48" t="str">
        <x:v>—/—/—/—</x:v>
      </x:c>
      <x:c r="M302" s="48" t="str">
        <x:v>—/—/—/—</x:v>
      </x:c>
      <x:c r="N302" s="48" t="str">
        <x:v>—/—/—/—</x:v>
      </x:c>
      <x:c r="O302" s="48" t="str">
        <x:v>—/—/—/—</x:v>
      </x:c>
      <x:c r="P302" s="48" t="str">
        <x:v>—/—/—/—</x:v>
      </x:c>
      <x:c r="Q302" s="48" t="str">
        <x:v>B08A,B089/B08A,B089/B08A,B089/B08A,B089</x:v>
      </x:c>
      <x:c r="R302" s="48" t="str">
        <x:v>—/—/—/—</x:v>
      </x:c>
      <x:c r="S302" s="48" t="str">
        <x:v>1 / 20% / 2 / 40% / 3 / 60% / 4 / 80% / 6 / 9 / 12 / 15</x:v>
      </x:c>
      <x:c r="T302" s="48" t="str">
        <x:v>“—”表示 6.48b 对象表该级字段为空；脚本型技能需结合证据说明与来源冲突表。</x:v>
      </x:c>
    </x:row>
    <x:row r="303" ht="34" customHeight="1">
      <x:c r="A303" s="18" t="str">
        <x:v>H00S-2</x:v>
      </x:c>
      <x:c r="B303" s="18" t="str">
        <x:v>风暴之灵</x:v>
      </x:c>
      <x:c r="C303" s="18" t="str">
        <x:v>Storm Spirit</x:v>
      </x:c>
      <x:c r="D303" s="18" t="str">
        <x:v>Barrier</x:v>
      </x:c>
      <x:c r="E303" s="18" t="str">
        <x:v>A0R6</x:v>
      </x:c>
      <x:c r="F303" s="18" t="str">
        <x:v>Aams</x:v>
      </x:c>
      <x:c r="G303" s="48" t="str">
        <x:v>—/—/—/—</x:v>
      </x:c>
      <x:c r="H303" s="48" t="str">
        <x:v>—/—/—/—</x:v>
      </x:c>
      <x:c r="I303" s="48" t="str">
        <x:v>150/300/450/—</x:v>
      </x:c>
      <x:c r="J303" s="48" t="str">
        <x:v>—/—/—/—</x:v>
      </x:c>
      <x:c r="K303" s="48" t="str">
        <x:v>—/—/—/—</x:v>
      </x:c>
      <x:c r="L303" s="48" t="str">
        <x:v>—/—/—/—</x:v>
      </x:c>
      <x:c r="M303" s="48" t="str">
        <x:v>—/—/—/—</x:v>
      </x:c>
      <x:c r="N303" s="48" t="str">
        <x:v>—/—/—/—</x:v>
      </x:c>
      <x:c r="O303" s="48" t="str">
        <x:v>—/—/—/—</x:v>
      </x:c>
      <x:c r="P303" s="48" t="str">
        <x:v>—/—/—/—</x:v>
      </x:c>
      <x:c r="Q303" s="48" t="str">
        <x:v>B086,B087/B086,B087/B086,B087/—</x:v>
      </x:c>
      <x:c r="R303" s="48" t="str">
        <x:v>—/—/—/—</x:v>
      </x:c>
      <x:c r="S303" s="48" t="str">
        <x:v>20 / 1 / 150 / 2 / 300 / 3 / 450 / 4 / 600 / 75</x:v>
      </x:c>
      <x:c r="T303" s="48" t="str">
        <x:v>“—”表示 6.48b 对象表该级字段为空；脚本型技能需结合证据说明与来源冲突表。</x:v>
      </x:c>
    </x:row>
    <x:row r="304" ht="34" customHeight="1">
      <x:c r="A304" s="18" t="str">
        <x:v>H00S-3</x:v>
      </x:c>
      <x:c r="B304" s="18" t="str">
        <x:v>风暴之灵</x:v>
      </x:c>
      <x:c r="C304" s="18" t="str">
        <x:v>Storm Spirit</x:v>
      </x:c>
      <x:c r="D304" s="18" t="str">
        <x:v>Overload</x:v>
      </x:c>
      <x:c r="E304" s="18" t="str">
        <x:v>A0QW</x:v>
      </x:c>
      <x:c r="F304" s="18" t="str">
        <x:v>AEev</x:v>
      </x:c>
      <x:c r="G304" s="48" t="str">
        <x:v>—/—/—/—</x:v>
      </x:c>
      <x:c r="H304" s="48" t="str">
        <x:v>—/—/—/—</x:v>
      </x:c>
      <x:c r="I304" s="48" t="str">
        <x:v>—/—/—/—</x:v>
      </x:c>
      <x:c r="J304" s="48" t="str">
        <x:v>—/—/—/—</x:v>
      </x:c>
      <x:c r="K304" s="48" t="str">
        <x:v>—/—/—/—</x:v>
      </x:c>
      <x:c r="L304" s="48" t="str">
        <x:v>—/—/—/—</x:v>
      </x:c>
      <x:c r="M304" s="48" t="str">
        <x:v>—/—/—/—</x:v>
      </x:c>
      <x:c r="N304" s="48" t="str">
        <x:v>—/—/—/—</x:v>
      </x:c>
      <x:c r="O304" s="48" t="str">
        <x:v>—/—/—/—</x:v>
      </x:c>
      <x:c r="P304" s="48" t="str">
        <x:v>—/—/—/—</x:v>
      </x:c>
      <x:c r="Q304" s="48" t="str">
        <x:v>—/—/—/—</x:v>
      </x:c>
      <x:c r="R304" s="48" t="str">
        <x:v>—/—/—/—</x:v>
      </x:c>
      <x:c r="S304" s="48" t="str">
        <x:v>1 / 8 / 30 / 2 / 7 / 45 / 3 / 6 / 60 / 4 / 5 / 75</x:v>
      </x:c>
      <x:c r="T304" s="48" t="str">
        <x:v>“—”表示 6.48b 对象表该级字段为空；脚本型技能需结合证据说明与来源冲突表。</x:v>
      </x:c>
    </x:row>
    <x:row r="305" ht="34" customHeight="1">
      <x:c r="A305" s="18" t="str">
        <x:v>H00S-4</x:v>
      </x:c>
      <x:c r="B305" s="18" t="str">
        <x:v>风暴之灵</x:v>
      </x:c>
      <x:c r="C305" s="18" t="str">
        <x:v>Storm Spirit</x:v>
      </x:c>
      <x:c r="D305" s="18" t="str">
        <x:v>Lightning Grapple</x:v>
      </x:c>
      <x:c r="E305" s="18" t="str">
        <x:v>A0R1</x:v>
      </x:c>
      <x:c r="F305" s="18" t="str">
        <x:v>AUcs</x:v>
      </x:c>
      <x:c r="G305" s="48" t="str">
        <x:v>—/—/—</x:v>
      </x:c>
      <x:c r="H305" s="48" t="str">
        <x:v>—/—/—</x:v>
      </x:c>
      <x:c r="I305" s="48" t="str">
        <x:v>—/—/—</x:v>
      </x:c>
      <x:c r="J305" s="48" t="str">
        <x:v>—/—/—</x:v>
      </x:c>
      <x:c r="K305" s="48" t="str">
        <x:v>—/—/—</x:v>
      </x:c>
      <x:c r="L305" s="48" t="str">
        <x:v>—/—/—</x:v>
      </x:c>
      <x:c r="M305" s="48" t="str">
        <x:v>—/—/—</x:v>
      </x:c>
      <x:c r="N305" s="48" t="str">
        <x:v>—/—/—</x:v>
      </x:c>
      <x:c r="O305" s="48" t="str">
        <x:v>—/—/—</x:v>
      </x:c>
      <x:c r="P305" s="48" t="str">
        <x:v>—/—/—</x:v>
      </x:c>
      <x:c r="Q305" s="48" t="str">
        <x:v>BUcs/BUcs/BUcs</x:v>
      </x:c>
      <x:c r="R305" s="48" t="str">
        <x:v>—/—/—</x:v>
      </x:c>
      <x:c r="S305" s="48" t="str">
        <x:v>1 / 700 / 2 / 1050 / 3 / 1400 / 35 / 100</x:v>
      </x:c>
      <x:c r="T305" s="48" t="str">
        <x:v>“—”表示 6.48b 对象表该级字段为空；脚本型技能需结合证据说明与来源冲突表。</x:v>
      </x:c>
    </x:row>
    <x:row r="306" ht="34" customHeight="1">
      <x:c r="A306" s="18" t="str">
        <x:v>N01V-1</x:v>
      </x:c>
      <x:c r="B306" s="18" t="str">
        <x:v>月之女祭司</x:v>
      </x:c>
      <x:c r="C306" s="18" t="str">
        <x:v>Priestess of the Moon</x:v>
      </x:c>
      <x:c r="D306" s="18" t="str">
        <x:v>Elune's Arrow</x:v>
      </x:c>
      <x:c r="E306" s="18" t="str">
        <x:v>A0L8</x:v>
      </x:c>
      <x:c r="F306" s="18" t="str">
        <x:v>ANcl</x:v>
      </x:c>
      <x:c r="G306" s="48" t="str">
        <x:v>—/—/—/—</x:v>
      </x:c>
      <x:c r="H306" s="48" t="str">
        <x:v>2/2/2/2</x:v>
      </x:c>
      <x:c r="I306" s="48" t="str">
        <x:v>1/1/1/1</x:v>
      </x:c>
      <x:c r="J306" s="48" t="str">
        <x:v>0.5/0.5/0.5/0.5</x:v>
      </x:c>
      <x:c r="K306" s="48" t="str">
        <x:v>—/—/—/—</x:v>
      </x:c>
      <x:c r="L306" s="48" t="str">
        <x:v>acidbomb/acidbomb/acidbomb/acidbomb</x:v>
      </x:c>
      <x:c r="M306" s="48" t="str">
        <x:v>—/—/—/—</x:v>
      </x:c>
      <x:c r="N306" s="48" t="str">
        <x:v>—/—/—/—</x:v>
      </x:c>
      <x:c r="O306" s="48" t="str">
        <x:v>—/—/—/—</x:v>
      </x:c>
      <x:c r="P306" s="48" t="str">
        <x:v>—/—/—/—</x:v>
      </x:c>
      <x:c r="Q306" s="48" t="str">
        <x:v>—/—/—/—</x:v>
      </x:c>
      <x:c r="R306" s="48" t="str">
        <x:v>—/—/—/—</x:v>
      </x:c>
      <x:c r="S306" s="48" t="str">
        <x:v>0.5 / 5 / 1 / 90 / 2 / 180 / 3 / 270 / 4 / 360 / 25</x:v>
      </x:c>
      <x:c r="T306" s="48" t="str">
        <x:v>“—”表示 6.48b 对象表该级字段为空；脚本型技能需结合证据说明与来源冲突表。</x:v>
      </x:c>
    </x:row>
    <x:row r="307" ht="34" customHeight="1">
      <x:c r="A307" s="18" t="str">
        <x:v>N01V-2</x:v>
      </x:c>
      <x:c r="B307" s="18" t="str">
        <x:v>月之女祭司</x:v>
      </x:c>
      <x:c r="C307" s="18" t="str">
        <x:v>Priestess of the Moon</x:v>
      </x:c>
      <x:c r="D307" s="18" t="str">
        <x:v>Leap</x:v>
      </x:c>
      <x:c r="E307" s="18" t="str">
        <x:v>A0LN</x:v>
      </x:c>
      <x:c r="F307" s="18" t="str">
        <x:v>AOwk</x:v>
      </x:c>
      <x:c r="G307" s="48" t="str">
        <x:v>—/—/—/—</x:v>
      </x:c>
      <x:c r="H307" s="48" t="str">
        <x:v>—/—/—/—</x:v>
      </x:c>
      <x:c r="I307" s="48" t="str">
        <x:v>—/—/—/—</x:v>
      </x:c>
      <x:c r="J307" s="48" t="str">
        <x:v>—/—/—/—</x:v>
      </x:c>
      <x:c r="K307" s="48" t="str">
        <x:v>—/—/—/—</x:v>
      </x:c>
      <x:c r="L307" s="48" t="str">
        <x:v>—/—/—/—</x:v>
      </x:c>
      <x:c r="M307" s="48" t="str">
        <x:v>—/—/—/—</x:v>
      </x:c>
      <x:c r="N307" s="48" t="str">
        <x:v>—/—/—/—</x:v>
      </x:c>
      <x:c r="O307" s="48" t="str">
        <x:v>—/—/—/—</x:v>
      </x:c>
      <x:c r="P307" s="48" t="str">
        <x:v>—/—/—/—</x:v>
      </x:c>
      <x:c r="Q307" s="48" t="str">
        <x:v>BOwk/BOwk/BOwk/BOwk</x:v>
      </x:c>
      <x:c r="R307" s="48" t="str">
        <x:v>—/—/—/—</x:v>
      </x:c>
      <x:c r="S307" s="48" t="str">
        <x:v>10 / 1 / 400 / 4% / 2 / 450 / 8% / 3 / 500 / 12% / 4 / 550 / 16% / 20</x:v>
      </x:c>
      <x:c r="T307" s="48" t="str">
        <x:v>“—”表示 6.48b 对象表该级字段为空；脚本型技能需结合证据说明与来源冲突表。</x:v>
      </x:c>
    </x:row>
    <x:row r="308" ht="34" customHeight="1">
      <x:c r="A308" s="18" t="str">
        <x:v>N01V-3</x:v>
      </x:c>
      <x:c r="B308" s="18" t="str">
        <x:v>月之女祭司</x:v>
      </x:c>
      <x:c r="C308" s="18" t="str">
        <x:v>Priestess of the Moon</x:v>
      </x:c>
      <x:c r="D308" s="18" t="str">
        <x:v>Moonlight Shadow</x:v>
      </x:c>
      <x:c r="E308" s="18" t="str">
        <x:v>A0KU</x:v>
      </x:c>
      <x:c r="F308" s="18" t="str">
        <x:v>ANcl</x:v>
      </x:c>
      <x:c r="G308" s="48" t="str">
        <x:v>—/—/—</x:v>
      </x:c>
      <x:c r="H308" s="48" t="str">
        <x:v>—/—/—</x:v>
      </x:c>
      <x:c r="I308" s="48" t="str">
        <x:v>1/1/1</x:v>
      </x:c>
      <x:c r="J308" s="48" t="str">
        <x:v>0.98/0.98/0.98</x:v>
      </x:c>
      <x:c r="K308" s="48" t="str">
        <x:v>—/—/—</x:v>
      </x:c>
      <x:c r="L308" s="48" t="str">
        <x:v>corporealform/corporealform/corporealform</x:v>
      </x:c>
      <x:c r="M308" s="48" t="str">
        <x:v>—/—/—</x:v>
      </x:c>
      <x:c r="N308" s="48" t="str">
        <x:v>—/—/—</x:v>
      </x:c>
      <x:c r="O308" s="48" t="str">
        <x:v>—/—/—</x:v>
      </x:c>
      <x:c r="P308" s="48" t="str">
        <x:v>—/—/—</x:v>
      </x:c>
      <x:c r="Q308" s="48" t="str">
        <x:v>—/—/—</x:v>
      </x:c>
      <x:c r="R308" s="48" t="str">
        <x:v>—/—/—</x:v>
      </x:c>
      <x:c r="S308" s="48" t="str">
        <x:v>1 / 7 / 2.5 / 2 / 9 / 3 / 11 / 1.5 / 160</x:v>
      </x:c>
      <x:c r="T308" s="48" t="str">
        <x:v>“—”表示 6.48b 对象表该级字段为空；脚本型技能需结合证据说明与来源冲突表。</x:v>
      </x:c>
    </x:row>
    <x:row r="309" ht="34" customHeight="1">
      <x:c r="A309" s="18" t="str">
        <x:v>N01V-4</x:v>
      </x:c>
      <x:c r="B309" s="18" t="str">
        <x:v>月之女祭司</x:v>
      </x:c>
      <x:c r="C309" s="18" t="str">
        <x:v>Priestess of the Moon</x:v>
      </x:c>
      <x:c r="D309" s="18" t="str">
        <x:v>Starfall</x:v>
      </x:c>
      <x:c r="E309" s="18" t="str">
        <x:v>A0KV</x:v>
      </x:c>
      <x:c r="F309" s="18" t="str">
        <x:v>ANcl</x:v>
      </x:c>
      <x:c r="G309" s="48" t="str">
        <x:v>—/—/—/—</x:v>
      </x:c>
      <x:c r="H309" s="48" t="str">
        <x:v>—/—/—/—</x:v>
      </x:c>
      <x:c r="I309" s="48" t="str">
        <x:v>1/1/1/1</x:v>
      </x:c>
      <x:c r="J309" s="48" t="str">
        <x:v>0.98/0.98/0.98/0.98</x:v>
      </x:c>
      <x:c r="K309" s="48" t="str">
        <x:v>—/—/—/—</x:v>
      </x:c>
      <x:c r="L309" s="48" t="str">
        <x:v>channel/channel/channel/channel</x:v>
      </x:c>
      <x:c r="M309" s="48" t="str">
        <x:v>—/—/—/—</x:v>
      </x:c>
      <x:c r="N309" s="48" t="str">
        <x:v>—/—/—/—</x:v>
      </x:c>
      <x:c r="O309" s="48" t="str">
        <x:v>—/—/—/—</x:v>
      </x:c>
      <x:c r="P309" s="48" t="str">
        <x:v>—/—/—/—</x:v>
      </x:c>
      <x:c r="Q309" s="48" t="str">
        <x:v>—/—/—/—</x:v>
      </x:c>
      <x:c r="R309" s="48" t="str">
        <x:v>—/—/—/—</x:v>
      </x:c>
      <x:c r="S309" s="48" t="str">
        <x:v>600 / 60% / 200 / 1 / 75 / 2 / 150 / 3 / 225 / 4 / 300 / 12 / 900</x:v>
      </x:c>
      <x:c r="T309" s="48" t="str">
        <x:v>“—”表示 6.48b 对象表该级字段为空；脚本型技能需结合证据说明与来源冲突表。</x:v>
      </x:c>
    </x:row>
    <x:row r="310" ht="34" customHeight="1">
      <x:c r="A310" s="18" t="str">
        <x:v>N01I-1</x:v>
      </x:c>
      <x:c r="B310" s="18" t="str">
        <x:v>炼金术士</x:v>
      </x:c>
      <x:c r="C310" s="18" t="str">
        <x:v>Alchemist</x:v>
      </x:c>
      <x:c r="D310" s="18" t="str">
        <x:v>Unstable Concoction</x:v>
      </x:c>
      <x:c r="E310" s="18" t="str">
        <x:v>A0J6</x:v>
      </x:c>
      <x:c r="F310" s="18" t="str">
        <x:v>ANcl</x:v>
      </x:c>
      <x:c r="G310" s="48" t="str">
        <x:v>2.2/3.2/4.2/5.2</x:v>
      </x:c>
      <x:c r="H310" s="48" t="str">
        <x:v>1/1/1/1</x:v>
      </x:c>
      <x:c r="I310" s="48" t="str">
        <x:v>1/1/1/1</x:v>
      </x:c>
      <x:c r="J310" s="48" t="str">
        <x:v>0.98/0.98/0.98/0.98</x:v>
      </x:c>
      <x:c r="K310" s="48" t="str">
        <x:v>—/—/—/—</x:v>
      </x:c>
      <x:c r="L310" s="48" t="str">
        <x:v>channel/channel/channel/channel</x:v>
      </x:c>
      <x:c r="M310" s="48" t="str">
        <x:v>—/—/—/—</x:v>
      </x:c>
      <x:c r="N310" s="48" t="str">
        <x:v>—/—/—/—</x:v>
      </x:c>
      <x:c r="O310" s="48" t="str">
        <x:v>—/—/—/—</x:v>
      </x:c>
      <x:c r="P310" s="48" t="str">
        <x:v>—/—/—/—</x:v>
      </x:c>
      <x:c r="Q310" s="48" t="str">
        <x:v>—/—/—/—</x:v>
      </x:c>
      <x:c r="R310" s="48" t="str">
        <x:v>—/—/—/—</x:v>
      </x:c>
      <x:c r="S310" s="48" t="str">
        <x:v>60 / 1 / 2 / 3 / 4 / 5 / 16 / 600 / 650 / 700 / 750</x:v>
      </x:c>
      <x:c r="T310" s="48" t="str">
        <x:v>“—”表示 6.48b 对象表该级字段为空；脚本型技能需结合证据说明与来源冲突表。</x:v>
      </x:c>
    </x:row>
    <x:row r="311" ht="34" customHeight="1">
      <x:c r="A311" s="18" t="str">
        <x:v>N01I-2</x:v>
      </x:c>
      <x:c r="B311" s="18" t="str">
        <x:v>炼金术士</x:v>
      </x:c>
      <x:c r="C311" s="18" t="str">
        <x:v>Alchemist</x:v>
      </x:c>
      <x:c r="D311" s="18" t="str">
        <x:v>Goblin's Greed</x:v>
      </x:c>
      <x:c r="E311" s="18" t="str">
        <x:v>A0O3</x:v>
      </x:c>
      <x:c r="F311" s="18" t="str">
        <x:v>AHab</x:v>
      </x:c>
      <x:c r="G311" s="48" t="str">
        <x:v>—/—/—/—</x:v>
      </x:c>
      <x:c r="H311" s="48" t="str">
        <x:v>—/—/—/—</x:v>
      </x:c>
      <x:c r="I311" s="48" t="str">
        <x:v>—/—/—/—</x:v>
      </x:c>
      <x:c r="J311" s="48" t="str">
        <x:v>—/—/—/—</x:v>
      </x:c>
      <x:c r="K311" s="48" t="str">
        <x:v>—/—/—/—</x:v>
      </x:c>
      <x:c r="L311" s="48" t="str">
        <x:v>—/—/—/—</x:v>
      </x:c>
      <x:c r="M311" s="48" t="str">
        <x:v>—/—/—/—</x:v>
      </x:c>
      <x:c r="N311" s="48" t="str">
        <x:v>—/—/—/—</x:v>
      </x:c>
      <x:c r="O311" s="48" t="str">
        <x:v>—/—/—/—</x:v>
      </x:c>
      <x:c r="P311" s="48" t="str">
        <x:v>—/—/—/—</x:v>
      </x:c>
      <x:c r="Q311" s="48" t="str">
        <x:v>B00X/B00X/B00X/B00X</x:v>
      </x:c>
      <x:c r="R311" s="48" t="str">
        <x:v>—/—/—/—</x:v>
      </x:c>
      <x:c r="S311" s="48" t="str">
        <x:v>18 / 1 / 2 / 4 / 3 / 6 / 8</x:v>
      </x:c>
      <x:c r="T311" s="48" t="str">
        <x:v>“—”表示 6.48b 对象表该级字段为空；脚本型技能需结合证据说明与来源冲突表。</x:v>
      </x:c>
    </x:row>
    <x:row r="312" ht="34" customHeight="1">
      <x:c r="A312" s="18" t="str">
        <x:v>N01I-3</x:v>
      </x:c>
      <x:c r="B312" s="18" t="str">
        <x:v>炼金术士</x:v>
      </x:c>
      <x:c r="C312" s="18" t="str">
        <x:v>Alchemist</x:v>
      </x:c>
      <x:c r="D312" s="18" t="str">
        <x:v>Chemical Rage</x:v>
      </x:c>
      <x:c r="E312" s="18" t="str">
        <x:v>ANcr</x:v>
      </x:c>
      <x:c r="F312" s="18" t="str">
        <x:v>ANcr</x:v>
      </x:c>
      <x:c r="G312" s="48" t="str">
        <x:v>N01I/N01I/N01I</x:v>
      </x:c>
      <x:c r="H312" s="48" t="str">
        <x:v>1/1/1</x:v>
      </x:c>
      <x:c r="I312" s="48" t="str">
        <x:v>—/—/—</x:v>
      </x:c>
      <x:c r="J312" s="48" t="str">
        <x:v>—/—/—</x:v>
      </x:c>
      <x:c r="K312" s="48" t="str">
        <x:v>0.5/0.5/0.5</x:v>
      </x:c>
      <x:c r="L312" s="48" t="str">
        <x:v>0.25/0.75/1.25</x:v>
      </x:c>
      <x:c r="M312" s="48" t="str">
        <x:v>—/—/—</x:v>
      </x:c>
      <x:c r="N312" s="48" t="str">
        <x:v>—/—/—</x:v>
      </x:c>
      <x:c r="O312" s="48" t="str">
        <x:v>—/—/—</x:v>
      </x:c>
      <x:c r="P312" s="48" t="str">
        <x:v>N01H/N01T/N01J</x:v>
      </x:c>
      <x:c r="Q312" s="48" t="str">
        <x:v>BNcr/BNcr/BNcr</x:v>
      </x:c>
      <x:c r="R312" s="48" t="str">
        <x:v>—/—/—</x:v>
      </x:c>
      <x:c r="S312" s="48" t="str">
        <x:v>20 / 1 / 1.45 / 200 / 2 / 1.35 / 400 / 3 / 1.20 / 600 / 45 / 5 / 10 / 15</x:v>
      </x:c>
      <x:c r="T312" s="48" t="str">
        <x:v>“—”表示 6.48b 对象表该级字段为空；脚本型技能需结合证据说明与来源冲突表。</x:v>
      </x:c>
    </x:row>
    <x:row r="313" ht="34" customHeight="1">
      <x:c r="A313" s="18" t="str">
        <x:v>N01I-4</x:v>
      </x:c>
      <x:c r="B313" s="18" t="str">
        <x:v>炼金术士</x:v>
      </x:c>
      <x:c r="C313" s="18" t="str">
        <x:v>Alchemist</x:v>
      </x:c>
      <x:c r="D313" s="18" t="str">
        <x:v>Acid Spray</x:v>
      </x:c>
      <x:c r="E313" s="18" t="str">
        <x:v>A0IL</x:v>
      </x:c>
      <x:c r="F313" s="18" t="str">
        <x:v>AHbz</x:v>
      </x:c>
      <x:c r="G313" s="48" t="str">
        <x:v>1/—/—/—</x:v>
      </x:c>
      <x:c r="H313" s="48" t="str">
        <x:v>—/—/—/—</x:v>
      </x:c>
      <x:c r="I313" s="48" t="str">
        <x:v>1/—/—/—</x:v>
      </x:c>
      <x:c r="J313" s="48" t="str">
        <x:v>—/—/—/—</x:v>
      </x:c>
      <x:c r="K313" s="48" t="str">
        <x:v>—/—/—/—</x:v>
      </x:c>
      <x:c r="L313" s="48" t="str">
        <x:v>—/—/—/—</x:v>
      </x:c>
      <x:c r="M313" s="48" t="str">
        <x:v>—/—/—/—</x:v>
      </x:c>
      <x:c r="N313" s="48" t="str">
        <x:v>—/—/—/—</x:v>
      </x:c>
      <x:c r="O313" s="48" t="str">
        <x:v>—/—/—/—</x:v>
      </x:c>
      <x:c r="P313" s="48" t="str">
        <x:v>—/—/—/—</x:v>
      </x:c>
      <x:c r="Q313" s="48" t="str">
        <x:v>—/—/—/—</x:v>
      </x:c>
      <x:c r="R313" s="48" t="str">
        <x:v>—/—/—/—</x:v>
      </x:c>
      <x:c r="S313" s="48" t="str">
        <x:v>12 / 1 / 8 / 3 / 2 / 16 / 4 / 24 / 5 / 32 / 6 / 22</x:v>
      </x:c>
      <x:c r="T313" s="48" t="str">
        <x:v>“—”表示 6.48b 对象表该级字段为空；脚本型技能需结合证据说明与来源冲突表。</x:v>
      </x:c>
    </x:row>
    <x:row r="314" ht="34" customHeight="1">
      <x:c r="A314" s="18" t="str">
        <x:v>E00P-1</x:v>
      </x:c>
      <x:c r="B314" s="18" t="str">
        <x:v>双头龙</x:v>
      </x:c>
      <x:c r="C314" s="18" t="str">
        <x:v>Twin Head Dragon</x:v>
      </x:c>
      <x:c r="D314" s="18" t="str">
        <x:v>Dual Breath</x:v>
      </x:c>
      <x:c r="E314" s="18" t="str">
        <x:v>A0O7</x:v>
      </x:c>
      <x:c r="F314" s="18" t="str">
        <x:v>AUcs</x:v>
      </x:c>
      <x:c r="G314" s="48" t="str">
        <x:v>—/—/—/—</x:v>
      </x:c>
      <x:c r="H314" s="48" t="str">
        <x:v>99999/99999/99999/99999</x:v>
      </x:c>
      <x:c r="I314" s="48" t="str">
        <x:v>500/500/500/500</x:v>
      </x:c>
      <x:c r="J314" s="48" t="str">
        <x:v>—/—/—/—</x:v>
      </x:c>
      <x:c r="K314" s="48" t="str">
        <x:v>—/—/—/—</x:v>
      </x:c>
      <x:c r="L314" s="48" t="str">
        <x:v>—/—/—/—</x:v>
      </x:c>
      <x:c r="M314" s="48" t="str">
        <x:v>—/—/—/—</x:v>
      </x:c>
      <x:c r="N314" s="48" t="str">
        <x:v>—/—/—/—</x:v>
      </x:c>
      <x:c r="O314" s="48" t="str">
        <x:v>—/—/—/—</x:v>
      </x:c>
      <x:c r="P314" s="48" t="str">
        <x:v>—/—/—/—</x:v>
      </x:c>
      <x:c r="Q314" s="48" t="str">
        <x:v>B06W/B06W/B06W/B06W</x:v>
      </x:c>
      <x:c r="R314" s="48" t="str">
        <x:v>—/—/—/—</x:v>
      </x:c>
      <x:c r="S314" s="48" t="str">
        <x:v>4 / 1 / 35 / 5 / 2 / 70 / 10 / 3 / 105 / 15 / 140 / 20</x:v>
      </x:c>
      <x:c r="T314" s="48" t="str">
        <x:v>“—”表示 6.48b 对象表该级字段为空；脚本型技能需结合证据说明与来源冲突表。</x:v>
      </x:c>
    </x:row>
    <x:row r="315" ht="34" customHeight="1">
      <x:c r="A315" s="18" t="str">
        <x:v>E00P-2</x:v>
      </x:c>
      <x:c r="B315" s="18" t="str">
        <x:v>双头龙</x:v>
      </x:c>
      <x:c r="C315" s="18" t="str">
        <x:v>Twin Head Dragon</x:v>
      </x:c>
      <x:c r="D315" s="18" t="str">
        <x:v>Ice Path</x:v>
      </x:c>
      <x:c r="E315" s="18" t="str">
        <x:v>A0O6</x:v>
      </x:c>
      <x:c r="F315" s="18" t="str">
        <x:v>ANbf</x:v>
      </x:c>
      <x:c r="G315" s="48" t="str">
        <x:v>—/—/—/—</x:v>
      </x:c>
      <x:c r="H315" s="48" t="str">
        <x:v>—/—/—/—</x:v>
      </x:c>
      <x:c r="I315" s="48" t="str">
        <x:v>1100/1100/1100/1100</x:v>
      </x:c>
      <x:c r="J315" s="48" t="str">
        <x:v>—/—/—/—</x:v>
      </x:c>
      <x:c r="K315" s="48" t="str">
        <x:v>—/—/—/—</x:v>
      </x:c>
      <x:c r="L315" s="48" t="str">
        <x:v>—/—/—/—</x:v>
      </x:c>
      <x:c r="M315" s="48" t="str">
        <x:v>—/—/—/—</x:v>
      </x:c>
      <x:c r="N315" s="48" t="str">
        <x:v>—/—/—/—</x:v>
      </x:c>
      <x:c r="O315" s="48" t="str">
        <x:v>—/—/—/—</x:v>
      </x:c>
      <x:c r="P315" s="48" t="str">
        <x:v>—/—/—/—</x:v>
      </x:c>
      <x:c r="Q315" s="48" t="str">
        <x:v>—/—/—/—</x:v>
      </x:c>
      <x:c r="R315" s="48" t="str">
        <x:v>—/—/—/—</x:v>
      </x:c>
      <x:c r="S315" s="48" t="str">
        <x:v>0.5 / 1 / 2 / 3 / 1.5 / 4 / 16</x:v>
      </x:c>
      <x:c r="T315" s="48" t="str">
        <x:v>“—”表示 6.48b 对象表该级字段为空；脚本型技能需结合证据说明与来源冲突表。</x:v>
      </x:c>
    </x:row>
    <x:row r="316" ht="34" customHeight="1">
      <x:c r="A316" s="18" t="str">
        <x:v>E00P-3</x:v>
      </x:c>
      <x:c r="B316" s="18" t="str">
        <x:v>双头龙</x:v>
      </x:c>
      <x:c r="C316" s="18" t="str">
        <x:v>Twin Head Dragon</x:v>
      </x:c>
      <x:c r="D316" s="18" t="str">
        <x:v>Auto Fire</x:v>
      </x:c>
      <x:c r="E316" s="18" t="str">
        <x:v>A0O8</x:v>
      </x:c>
      <x:c r="F316" s="18" t="str">
        <x:v>AEev</x:v>
      </x:c>
      <x:c r="G316" s="48" t="str">
        <x:v>—/—/—/—</x:v>
      </x:c>
      <x:c r="H316" s="48" t="str">
        <x:v>—/—/—/—</x:v>
      </x:c>
      <x:c r="I316" s="48" t="str">
        <x:v>—/—/—/—</x:v>
      </x:c>
      <x:c r="J316" s="48" t="str">
        <x:v>—/—/—/—</x:v>
      </x:c>
      <x:c r="K316" s="48" t="str">
        <x:v>—/—/—/—</x:v>
      </x:c>
      <x:c r="L316" s="48" t="str">
        <x:v>—/—/—/—</x:v>
      </x:c>
      <x:c r="M316" s="48" t="str">
        <x:v>—/—/—/—</x:v>
      </x:c>
      <x:c r="N316" s="48" t="str">
        <x:v>—/—/—/—</x:v>
      </x:c>
      <x:c r="O316" s="48" t="str">
        <x:v>—/—/—/—</x:v>
      </x:c>
      <x:c r="P316" s="48" t="str">
        <x:v>—/—/—/—</x:v>
      </x:c>
      <x:c r="Q316" s="48" t="str">
        <x:v>—/—/—/—</x:v>
      </x:c>
      <x:c r="R316" s="48" t="str">
        <x:v>—/—/—/—</x:v>
      </x:c>
      <x:c r="S316" s="48" t="str">
        <x:v>5 / 1 / 25% / 10 / 2 / 30% / 20 / 3 / 35% / 30 / 4 / 40% / 40</x:v>
      </x:c>
      <x:c r="T316" s="48" t="str">
        <x:v>“—”表示 6.48b 对象表该级字段为空；脚本型技能需结合证据说明与来源冲突表。</x:v>
      </x:c>
    </x:row>
    <x:row r="317" ht="34" customHeight="1">
      <x:c r="A317" s="18" t="str">
        <x:v>E00P-4</x:v>
      </x:c>
      <x:c r="B317" s="18" t="str">
        <x:v>双头龙</x:v>
      </x:c>
      <x:c r="C317" s="18" t="str">
        <x:v>Twin Head Dragon</x:v>
      </x:c>
      <x:c r="D317" s="18" t="str">
        <x:v>Macropyre</x:v>
      </x:c>
      <x:c r="E317" s="18" t="str">
        <x:v>A0O5</x:v>
      </x:c>
      <x:c r="F317" s="18" t="str">
        <x:v>AOsh</x:v>
      </x:c>
      <x:c r="G317" s="48" t="str">
        <x:v>—/—/—</x:v>
      </x:c>
      <x:c r="H317" s="48" t="str">
        <x:v>—/—/—</x:v>
      </x:c>
      <x:c r="I317" s="48" t="str">
        <x:v>600/750/900</x:v>
      </x:c>
      <x:c r="J317" s="48" t="str">
        <x:v>—/—/—</x:v>
      </x:c>
      <x:c r="K317" s="48" t="str">
        <x:v>—/—/—</x:v>
      </x:c>
      <x:c r="L317" s="48" t="str">
        <x:v>—/—/—</x:v>
      </x:c>
      <x:c r="M317" s="48" t="str">
        <x:v>—/—/—</x:v>
      </x:c>
      <x:c r="N317" s="48" t="str">
        <x:v>—/—/—</x:v>
      </x:c>
      <x:c r="O317" s="48" t="str">
        <x:v>—/—/—</x:v>
      </x:c>
      <x:c r="P317" s="48" t="str">
        <x:v>—/—/—</x:v>
      </x:c>
      <x:c r="Q317" s="48" t="str">
        <x:v>—/—/—</x:v>
      </x:c>
      <x:c r="R317" s="48" t="str">
        <x:v>—/—/—</x:v>
      </x:c>
      <x:c r="S317" s="48" t="str">
        <x:v>5 / 200 / 1 / 75 / 2 / 125 / 3 / 175 / 60 / 90</x:v>
      </x:c>
      <x:c r="T317" s="48" t="str">
        <x:v>“—”表示 6.48b 对象表该级字段为空；脚本型技能需结合证据说明与来源冲突表。</x:v>
      </x:c>
    </x:row>
    <x:row r="318" ht="34" customHeight="1">
      <x:c r="A318" s="18" t="str">
        <x:v>H00D-1</x:v>
      </x:c>
      <x:c r="B318" s="18" t="str">
        <x:v>兽王</x:v>
      </x:c>
      <x:c r="C318" s="18" t="str">
        <x:v>Beastmaster</x:v>
      </x:c>
      <x:c r="D318" s="18" t="str">
        <x:v>Wild Axes</x:v>
      </x:c>
      <x:c r="E318" s="18" t="str">
        <x:v>A0O1</x:v>
      </x:c>
      <x:c r="F318" s="18" t="str">
        <x:v>AUcs</x:v>
      </x:c>
      <x:c r="G318" s="48" t="str">
        <x:v>—/—/—/—</x:v>
      </x:c>
      <x:c r="H318" s="48" t="str">
        <x:v>300/600/1000/1000</x:v>
      </x:c>
      <x:c r="I318" s="48" t="str">
        <x:v>—/—/—/—</x:v>
      </x:c>
      <x:c r="J318" s="48" t="str">
        <x:v>—/300/300/300</x:v>
      </x:c>
      <x:c r="K318" s="48" t="str">
        <x:v>—/—/—/—</x:v>
      </x:c>
      <x:c r="L318" s="48" t="str">
        <x:v>—/—/—/—</x:v>
      </x:c>
      <x:c r="M318" s="48" t="str">
        <x:v>—/—/—/—</x:v>
      </x:c>
      <x:c r="N318" s="48" t="str">
        <x:v>—/—/—/—</x:v>
      </x:c>
      <x:c r="O318" s="48" t="str">
        <x:v>—/—/—/—</x:v>
      </x:c>
      <x:c r="P318" s="48" t="str">
        <x:v>—/—/—/—</x:v>
      </x:c>
      <x:c r="Q318" s="48" t="str">
        <x:v>BUcs/BUcs/BUcs/BUcs</x:v>
      </x:c>
      <x:c r="R318" s="48" t="str">
        <x:v>—/—/—/—</x:v>
      </x:c>
      <x:c r="S318" s="48" t="str">
        <x:v>1 / 90 / 2 / 120 / 3 / 150 / 4 / 180 / 13</x:v>
      </x:c>
      <x:c r="T318" s="48" t="str">
        <x:v>“—”表示 6.48b 对象表该级字段为空；脚本型技能需结合证据说明与来源冲突表。</x:v>
      </x:c>
    </x:row>
    <x:row r="319" ht="34" customHeight="1">
      <x:c r="A319" s="18" t="str">
        <x:v>H00D-2</x:v>
      </x:c>
      <x:c r="B319" s="18" t="str">
        <x:v>兽王</x:v>
      </x:c>
      <x:c r="C319" s="18" t="str">
        <x:v>Beastmaster</x:v>
      </x:c>
      <x:c r="D319" s="18" t="str">
        <x:v>Call of the Wild</x:v>
      </x:c>
      <x:c r="E319" s="18" t="str">
        <x:v>A0OO</x:v>
      </x:c>
      <x:c r="F319" s="18" t="str">
        <x:v>ANsq</x:v>
      </x:c>
      <x:c r="G319" s="48" t="str">
        <x:v>1/1/1/1</x:v>
      </x:c>
      <x:c r="H319" s="48" t="str">
        <x:v>—/—/—/—</x:v>
      </x:c>
      <x:c r="I319" s="48" t="str">
        <x:v>—/—/—/—</x:v>
      </x:c>
      <x:c r="J319" s="48" t="str">
        <x:v>—/—/—/—</x:v>
      </x:c>
      <x:c r="K319" s="48" t="str">
        <x:v>—/—/—/—</x:v>
      </x:c>
      <x:c r="L319" s="48" t="str">
        <x:v>—/—/—/—</x:v>
      </x:c>
      <x:c r="M319" s="48" t="str">
        <x:v>—/—/—/—</x:v>
      </x:c>
      <x:c r="N319" s="48" t="str">
        <x:v>—/—/—/—</x:v>
      </x:c>
      <x:c r="O319" s="48" t="str">
        <x:v>—/—/—/—</x:v>
      </x:c>
      <x:c r="P319" s="48" t="str">
        <x:v>e00E/e00E/e00E/e00E</x:v>
      </x:c>
      <x:c r="Q319" s="48" t="str">
        <x:v>BNsq/BNsq/BNsq/BNsq</x:v>
      </x:c>
      <x:c r="R319" s="48" t="str">
        <x:v>—/—/—/—</x:v>
      </x:c>
      <x:c r="S319" s="48" t="str">
        <x:v>1 / 2 / 3 / 4 / 45 / 60 / 20% / 70 / 80 / 35% / 90</x:v>
      </x:c>
      <x:c r="T319" s="48" t="str">
        <x:v>“—”表示 6.48b 对象表该级字段为空；脚本型技能需结合证据说明与来源冲突表。</x:v>
      </x:c>
    </x:row>
    <x:row r="320" ht="34" customHeight="1">
      <x:c r="A320" s="18" t="str">
        <x:v>H00D-3</x:v>
      </x:c>
      <x:c r="B320" s="18" t="str">
        <x:v>兽王</x:v>
      </x:c>
      <x:c r="C320" s="18" t="str">
        <x:v>Beastmaster</x:v>
      </x:c>
      <x:c r="D320" s="18" t="str">
        <x:v>Beast Rage</x:v>
      </x:c>
      <x:c r="E320" s="18" t="str">
        <x:v>A0O0</x:v>
      </x:c>
      <x:c r="F320" s="18" t="str">
        <x:v>AEev</x:v>
      </x:c>
      <x:c r="G320" s="48" t="str">
        <x:v>—/—/—/—</x:v>
      </x:c>
      <x:c r="H320" s="48" t="str">
        <x:v>—/—/—/—</x:v>
      </x:c>
      <x:c r="I320" s="48" t="str">
        <x:v>—/—/—/—</x:v>
      </x:c>
      <x:c r="J320" s="48" t="str">
        <x:v>—/—/—/—</x:v>
      </x:c>
      <x:c r="K320" s="48" t="str">
        <x:v>—/—/—/—</x:v>
      </x:c>
      <x:c r="L320" s="48" t="str">
        <x:v>—/—/—/—</x:v>
      </x:c>
      <x:c r="M320" s="48" t="str">
        <x:v>—/—/—/—</x:v>
      </x:c>
      <x:c r="N320" s="48" t="str">
        <x:v>—/—/—/—</x:v>
      </x:c>
      <x:c r="O320" s="48" t="str">
        <x:v>—/—/—/—</x:v>
      </x:c>
      <x:c r="P320" s="48" t="str">
        <x:v>—/—/—/—</x:v>
      </x:c>
      <x:c r="Q320" s="48" t="str">
        <x:v>—/—/—/—</x:v>
      </x:c>
      <x:c r="R320" s="48" t="str">
        <x:v>—/—/—/—</x:v>
      </x:c>
      <x:c r="S320" s="48" t="str">
        <x:v>100% / 1 / 5% / 2 / 10% / 3 / 15% / 4 / 20%</x:v>
      </x:c>
      <x:c r="T320" s="48" t="str">
        <x:v>“—”表示 6.48b 对象表该级字段为空；脚本型技能需结合证据说明与来源冲突表。</x:v>
      </x:c>
    </x:row>
    <x:row r="321" ht="34" customHeight="1">
      <x:c r="A321" s="18" t="str">
        <x:v>H00D-4</x:v>
      </x:c>
      <x:c r="B321" s="18" t="str">
        <x:v>兽王</x:v>
      </x:c>
      <x:c r="C321" s="18" t="str">
        <x:v>Beastmaster</x:v>
      </x:c>
      <x:c r="D321" s="18" t="str">
        <x:v>Primal Roar</x:v>
      </x:c>
      <x:c r="E321" s="18" t="str">
        <x:v>A0O2</x:v>
      </x:c>
      <x:c r="F321" s="18" t="str">
        <x:v>AHtb</x:v>
      </x:c>
      <x:c r="G321" s="48" t="str">
        <x:v>200/250/300</x:v>
      </x:c>
      <x:c r="H321" s="48" t="str">
        <x:v>—/—/—</x:v>
      </x:c>
      <x:c r="I321" s="48" t="str">
        <x:v>—/—/—</x:v>
      </x:c>
      <x:c r="J321" s="48" t="str">
        <x:v>—/—/—</x:v>
      </x:c>
      <x:c r="K321" s="48" t="str">
        <x:v>—/—/—</x:v>
      </x:c>
      <x:c r="L321" s="48" t="str">
        <x:v>—/—/—</x:v>
      </x:c>
      <x:c r="M321" s="48" t="str">
        <x:v>—/—/—</x:v>
      </x:c>
      <x:c r="N321" s="48" t="str">
        <x:v>—/—/—</x:v>
      </x:c>
      <x:c r="O321" s="48" t="str">
        <x:v>—/—/—</x:v>
      </x:c>
      <x:c r="P321" s="48" t="str">
        <x:v>—/—/—</x:v>
      </x:c>
      <x:c r="Q321" s="48" t="str">
        <x:v>BPSE/BPSE/BPSE</x:v>
      </x:c>
      <x:c r="R321" s="48" t="str">
        <x:v>—/—/—</x:v>
      </x:c>
      <x:c r="S321" s="48" t="str">
        <x:v>1 / 200 / 3 / 100 / 2 / 250 / 3.5 / 300 / 4 / 60</x:v>
      </x:c>
      <x:c r="T321" s="48" t="str">
        <x:v>“—”表示 6.48b 对象表该级字段为空；脚本型技能需结合证据说明与来源冲突表。</x:v>
      </x:c>
    </x:row>
    <x:row r="322" ht="34" customHeight="1">
      <x:c r="A322" s="18" t="str">
        <x:v>H00I-1</x:v>
      </x:c>
      <x:c r="B322" s="18" t="str">
        <x:v>地卜师</x:v>
      </x:c>
      <x:c r="C322" s="18" t="str">
        <x:v>Geomancer</x:v>
      </x:c>
      <x:c r="D322" s="18" t="str">
        <x:v>Poof</x:v>
      </x:c>
      <x:c r="E322" s="18" t="str">
        <x:v>A0N8</x:v>
      </x:c>
      <x:c r="F322" s="18" t="str">
        <x:v>ANcl</x:v>
      </x:c>
      <x:c r="G322" s="48" t="str">
        <x:v>—/—/—/—</x:v>
      </x:c>
      <x:c r="H322" s="48" t="str">
        <x:v>3/3/3/3</x:v>
      </x:c>
      <x:c r="I322" s="48" t="str">
        <x:v>1/1/1/1</x:v>
      </x:c>
      <x:c r="J322" s="48" t="str">
        <x:v>0.98/0.98/0.98/0.98</x:v>
      </x:c>
      <x:c r="K322" s="48" t="str">
        <x:v>—/—/—/—</x:v>
      </x:c>
      <x:c r="L322" s="48" t="str">
        <x:v>carrionscarabsoff/carrionscarabsoff/carrionscarabsoff/carrionscarabsoff</x:v>
      </x:c>
      <x:c r="M322" s="48" t="str">
        <x:v>—/—/—/—</x:v>
      </x:c>
      <x:c r="N322" s="48" t="str">
        <x:v>—/—/—/—</x:v>
      </x:c>
      <x:c r="O322" s="48" t="str">
        <x:v>—/—/—/—</x:v>
      </x:c>
      <x:c r="P322" s="48" t="str">
        <x:v>—/—/—/—</x:v>
      </x:c>
      <x:c r="Q322" s="48" t="str">
        <x:v>—/—/—/—</x:v>
      </x:c>
      <x:c r="R322" s="48" t="str">
        <x:v>—/—/—/—</x:v>
      </x:c>
      <x:c r="S322" s="48" t="str">
        <x:v>2 / 400 / 1 / 40 / 80 / 3 / 120 / 4 / 160 / 60 / 50 / 30</x:v>
      </x:c>
      <x:c r="T322" s="48" t="str">
        <x:v>“—”表示 6.48b 对象表该级字段为空；脚本型技能需结合证据说明与来源冲突表。</x:v>
      </x:c>
    </x:row>
    <x:row r="323" ht="34" customHeight="1">
      <x:c r="A323" s="18" t="str">
        <x:v>H00I-2</x:v>
      </x:c>
      <x:c r="B323" s="18" t="str">
        <x:v>地卜师</x:v>
      </x:c>
      <x:c r="C323" s="18" t="str">
        <x:v>Geomancer</x:v>
      </x:c>
      <x:c r="D323" s="18" t="str">
        <x:v>Geostrike</x:v>
      </x:c>
      <x:c r="E323" s="18" t="str">
        <x:v>A0N7</x:v>
      </x:c>
      <x:c r="F323" s="18" t="str">
        <x:v>Aven</x:v>
      </x:c>
      <x:c r="G323" s="48" t="str">
        <x:v>15/15/15/—</x:v>
      </x:c>
      <x:c r="H323" s="48" t="str">
        <x:v>0.05/0.1/0.15/—</x:v>
      </x:c>
      <x:c r="I323" s="48" t="str">
        <x:v>—/—/—/—</x:v>
      </x:c>
      <x:c r="J323" s="48" t="str">
        <x:v>15/15/15/—</x:v>
      </x:c>
      <x:c r="K323" s="48" t="str">
        <x:v>—/—/—/—</x:v>
      </x:c>
      <x:c r="L323" s="48" t="str">
        <x:v>—/—/—/—</x:v>
      </x:c>
      <x:c r="M323" s="48" t="str">
        <x:v>—/—/—/—</x:v>
      </x:c>
      <x:c r="N323" s="48" t="str">
        <x:v>—/—/—/—</x:v>
      </x:c>
      <x:c r="O323" s="48" t="str">
        <x:v>—/—/—/—</x:v>
      </x:c>
      <x:c r="P323" s="48" t="str">
        <x:v>—/—/—/—</x:v>
      </x:c>
      <x:c r="Q323" s="48" t="str">
        <x:v>B079,B079/B079,B079/B079,B079/—</x:v>
      </x:c>
      <x:c r="R323" s="48" t="str">
        <x:v>—/—/—/—</x:v>
      </x:c>
      <x:c r="S323" s="48" t="str">
        <x:v>15 / 2 / 1 / 5% / 10% / 3 / 15% / 4 / 20%</x:v>
      </x:c>
      <x:c r="T323" s="48" t="str">
        <x:v>“—”表示 6.48b 对象表该级字段为空；脚本型技能需结合证据说明与来源冲突表。</x:v>
      </x:c>
    </x:row>
    <x:row r="324" ht="34" customHeight="1">
      <x:c r="A324" s="18" t="str">
        <x:v>H00I-3</x:v>
      </x:c>
      <x:c r="B324" s="18" t="str">
        <x:v>地卜师</x:v>
      </x:c>
      <x:c r="C324" s="18" t="str">
        <x:v>Geomancer</x:v>
      </x:c>
      <x:c r="D324" s="18" t="str">
        <x:v>Divided We Stand</x:v>
      </x:c>
      <x:c r="E324" s="18" t="str">
        <x:v>A0MW</x:v>
      </x:c>
      <x:c r="F324" s="18" t="str">
        <x:v>AEev</x:v>
      </x:c>
      <x:c r="G324" s="48" t="str">
        <x:v>—/—/—</x:v>
      </x:c>
      <x:c r="H324" s="48" t="str">
        <x:v>—/—/—</x:v>
      </x:c>
      <x:c r="I324" s="48" t="str">
        <x:v>—/—/—</x:v>
      </x:c>
      <x:c r="J324" s="48" t="str">
        <x:v>—/—/—</x:v>
      </x:c>
      <x:c r="K324" s="48" t="str">
        <x:v>—/—/—</x:v>
      </x:c>
      <x:c r="L324" s="48" t="str">
        <x:v>—/—/—</x:v>
      </x:c>
      <x:c r="M324" s="48" t="str">
        <x:v>—/—/—</x:v>
      </x:c>
      <x:c r="N324" s="48" t="str">
        <x:v>—/—/—</x:v>
      </x:c>
      <x:c r="O324" s="48" t="str">
        <x:v>—/—/—</x:v>
      </x:c>
      <x:c r="P324" s="48" t="str">
        <x:v>—/—/—</x:v>
      </x:c>
      <x:c r="Q324" s="48" t="str">
        <x:v>—/—/—</x:v>
      </x:c>
      <x:c r="R324" s="48" t="str">
        <x:v>—/—/—</x:v>
      </x:c>
      <x:c r="S324" s="48" t="str">
        <x:v>25% / 1 / 2 / 3</x:v>
      </x:c>
      <x:c r="T324" s="48" t="str">
        <x:v>“—”表示 6.48b 对象表该级字段为空；脚本型技能需结合证据说明与来源冲突表。</x:v>
      </x:c>
    </x:row>
    <x:row r="325" ht="34" customHeight="1">
      <x:c r="A325" s="18" t="str">
        <x:v>H00I-4</x:v>
      </x:c>
      <x:c r="B325" s="18" t="str">
        <x:v>地卜师</x:v>
      </x:c>
      <x:c r="C325" s="18" t="str">
        <x:v>Geomancer</x:v>
      </x:c>
      <x:c r="D325" s="18" t="str">
        <x:v>Earthbind</x:v>
      </x:c>
      <x:c r="E325" s="18" t="str">
        <x:v>A0NB</x:v>
      </x:c>
      <x:c r="F325" s="18" t="str">
        <x:v>AHbz</x:v>
      </x:c>
      <x:c r="G325" s="48" t="str">
        <x:v>1/—/—/—</x:v>
      </x:c>
      <x:c r="H325" s="48" t="str">
        <x:v>—/—/—/—</x:v>
      </x:c>
      <x:c r="I325" s="48" t="str">
        <x:v>1/—/—/—</x:v>
      </x:c>
      <x:c r="J325" s="48" t="str">
        <x:v>—/—/—/—</x:v>
      </x:c>
      <x:c r="K325" s="48" t="str">
        <x:v>—/—/—/—</x:v>
      </x:c>
      <x:c r="L325" s="48" t="str">
        <x:v>—/—/—/—</x:v>
      </x:c>
      <x:c r="M325" s="48" t="str">
        <x:v>—/—/—/—</x:v>
      </x:c>
      <x:c r="N325" s="48" t="str">
        <x:v>—/—/—/—</x:v>
      </x:c>
      <x:c r="O325" s="48" t="str">
        <x:v>—/—/—/—</x:v>
      </x:c>
      <x:c r="P325" s="48" t="str">
        <x:v>—/—/—/—</x:v>
      </x:c>
      <x:c r="Q325" s="48" t="str">
        <x:v>—/—/—/—</x:v>
      </x:c>
      <x:c r="R325" s="48" t="str">
        <x:v>—/—/—/—</x:v>
      </x:c>
      <x:c r="S325" s="48" t="str">
        <x:v>225 / 2 / 1 / 500 / 750 / 3 / 1000 / 4 / 1250 / 20 / 16 / 12 / 8</x:v>
      </x:c>
      <x:c r="T325" s="48" t="str">
        <x:v>“—”表示 6.48b 对象表该级字段为空；脚本型技能需结合证据说明与来源冲突表。</x:v>
      </x:c>
    </x:row>
    <x:row r="326" ht="34" customHeight="1">
      <x:c r="A326" s="18" t="str">
        <x:v>H00R-1</x:v>
      </x:c>
      <x:c r="B326" s="18" t="str">
        <x:v>不朽尸王</x:v>
      </x:c>
      <x:c r="C326" s="18" t="str">
        <x:v>Undying</x:v>
      </x:c>
      <x:c r="D326" s="18" t="str">
        <x:v>Raise Dead</x:v>
      </x:c>
      <x:c r="E326" s="18" t="str">
        <x:v>A0QV</x:v>
      </x:c>
      <x:c r="F326" s="18" t="str">
        <x:v>ANlm</x:v>
      </x:c>
      <x:c r="G326" s="48" t="str">
        <x:v>1/2/3/4</x:v>
      </x:c>
      <x:c r="H326" s="48" t="str">
        <x:v>0.01/0.01/0.01/0.01</x:v>
      </x:c>
      <x:c r="I326" s="48" t="str">
        <x:v>6/6/6/6</x:v>
      </x:c>
      <x:c r="J326" s="48" t="str">
        <x:v>—/—/—/—</x:v>
      </x:c>
      <x:c r="K326" s="48" t="str">
        <x:v>—/0.001/0.001/0.001</x:v>
      </x:c>
      <x:c r="L326" s="48" t="str">
        <x:v>2/2/2/2</x:v>
      </x:c>
      <x:c r="M326" s="48" t="str">
        <x:v>—/—/—/—</x:v>
      </x:c>
      <x:c r="N326" s="48" t="str">
        <x:v>—/—/—/—</x:v>
      </x:c>
      <x:c r="O326" s="48" t="str">
        <x:v>—/—/—/—</x:v>
      </x:c>
      <x:c r="P326" s="48" t="str">
        <x:v>n020/n020/n020/n020</x:v>
      </x:c>
      <x:c r="Q326" s="48" t="str">
        <x:v>B088/B088/B088/B088</x:v>
      </x:c>
      <x:c r="R326" s="48" t="str">
        <x:v>—/—/—/—</x:v>
      </x:c>
      <x:c r="S326" s="48" t="str">
        <x:v>50 / 30 / 1 / 2 / 3 / 4 / 100 / 120 / 140 / 160</x:v>
      </x:c>
      <x:c r="T326" s="48" t="str">
        <x:v>“—”表示 6.48b 对象表该级字段为空；脚本型技能需结合证据说明与来源冲突表。</x:v>
      </x:c>
    </x:row>
    <x:row r="327" ht="34" customHeight="1">
      <x:c r="A327" s="18" t="str">
        <x:v>H00R-2</x:v>
      </x:c>
      <x:c r="B327" s="18" t="str">
        <x:v>不朽尸王</x:v>
      </x:c>
      <x:c r="C327" s="18" t="str">
        <x:v>Undying</x:v>
      </x:c>
      <x:c r="D327" s="18" t="str">
        <x:v>Soul Rip</x:v>
      </x:c>
      <x:c r="E327" s="18" t="str">
        <x:v>A0R5</x:v>
      </x:c>
      <x:c r="F327" s="18" t="str">
        <x:v>ANcl</x:v>
      </x:c>
      <x:c r="G327" s="48" t="str">
        <x:v>—/—/—/—</x:v>
      </x:c>
      <x:c r="H327" s="48" t="str">
        <x:v>1/1/1/1</x:v>
      </x:c>
      <x:c r="I327" s="48" t="str">
        <x:v>1/1/1/1</x:v>
      </x:c>
      <x:c r="J327" s="48" t="str">
        <x:v>0.98/0.98/0.98/0.98</x:v>
      </x:c>
      <x:c r="K327" s="48" t="str">
        <x:v>—/—/—/—</x:v>
      </x:c>
      <x:c r="L327" s="48" t="str">
        <x:v>volcano/volcano/volcano/volcano</x:v>
      </x:c>
      <x:c r="M327" s="48" t="str">
        <x:v>—/—/—/—</x:v>
      </x:c>
      <x:c r="N327" s="48" t="str">
        <x:v>—/—/—/—</x:v>
      </x:c>
      <x:c r="O327" s="48" t="str">
        <x:v>—/—/—/—</x:v>
      </x:c>
      <x:c r="P327" s="48" t="str">
        <x:v>—/—/—/—</x:v>
      </x:c>
      <x:c r="Q327" s="48" t="str">
        <x:v>—/—/—/—</x:v>
      </x:c>
      <x:c r="R327" s="48" t="str">
        <x:v>—/—/—/—</x:v>
      </x:c>
      <x:c r="S327" s="48" t="str">
        <x:v>25 / 1 / 5 / 2 / 10 / 3 / 15 / 4 / 20 / 30 / 50 / 75 / 100 / 125</x:v>
      </x:c>
      <x:c r="T327" s="48" t="str">
        <x:v>“—”表示 6.48b 对象表该级字段为空；脚本型技能需结合证据说明与来源冲突表。</x:v>
      </x:c>
    </x:row>
    <x:row r="328" ht="34" customHeight="1">
      <x:c r="A328" s="18" t="str">
        <x:v>H00R-3</x:v>
      </x:c>
      <x:c r="B328" s="18" t="str">
        <x:v>不朽尸王</x:v>
      </x:c>
      <x:c r="C328" s="18" t="str">
        <x:v>Undying</x:v>
      </x:c>
      <x:c r="D328" s="18" t="str">
        <x:v>Heartstopper Aura</x:v>
      </x:c>
      <x:c r="E328" s="18" t="str">
        <x:v>A01N</x:v>
      </x:c>
      <x:c r="F328" s="18" t="str">
        <x:v>AUau</x:v>
      </x:c>
      <x:c r="G328" s="48" t="str">
        <x:v>—/—/—/—</x:v>
      </x:c>
      <x:c r="H328" s="48" t="str">
        <x:v>—/—/—/—</x:v>
      </x:c>
      <x:c r="I328" s="48" t="str">
        <x:v>—/—/—/—</x:v>
      </x:c>
      <x:c r="J328" s="48" t="str">
        <x:v>—/—/—/—</x:v>
      </x:c>
      <x:c r="K328" s="48" t="str">
        <x:v>—/—/—/—</x:v>
      </x:c>
      <x:c r="L328" s="48" t="str">
        <x:v>—/—/—/—</x:v>
      </x:c>
      <x:c r="M328" s="48" t="str">
        <x:v>—/—/—/—</x:v>
      </x:c>
      <x:c r="N328" s="48" t="str">
        <x:v>—/—/—/—</x:v>
      </x:c>
      <x:c r="O328" s="48" t="str">
        <x:v>—/—/—/—</x:v>
      </x:c>
      <x:c r="P328" s="48" t="str">
        <x:v>—/—/—/—</x:v>
      </x:c>
      <x:c r="Q328" s="48" t="str">
        <x:v>B084/B084/B084/B084</x:v>
      </x:c>
      <x:c r="R328" s="48" t="str">
        <x:v>—/—/—/—</x:v>
      </x:c>
      <x:c r="S328" s="48" t="str">
        <x:v>1% / 1 / 250 / 2 / 500 / 3 / 750 / 4 / 1000</x:v>
      </x:c>
      <x:c r="T328" s="48" t="str">
        <x:v>“—”表示 6.48b 对象表该级字段为空；脚本型技能需结合证据说明与来源冲突表。</x:v>
      </x:c>
    </x:row>
    <x:row r="329" ht="34" customHeight="1">
      <x:c r="A329" s="18" t="str">
        <x:v>H00R-4</x:v>
      </x:c>
      <x:c r="B329" s="18" t="str">
        <x:v>不朽尸王</x:v>
      </x:c>
      <x:c r="C329" s="18" t="str">
        <x:v>Undying</x:v>
      </x:c>
      <x:c r="D329" s="18" t="str">
        <x:v>Plague</x:v>
      </x:c>
      <x:c r="E329" s="18" t="str">
        <x:v>A0R3</x:v>
      </x:c>
      <x:c r="F329" s="18" t="str">
        <x:v>ANcl</x:v>
      </x:c>
      <x:c r="G329" s="48" t="str">
        <x:v>—/—/—</x:v>
      </x:c>
      <x:c r="H329" s="48" t="str">
        <x:v>1/1/1</x:v>
      </x:c>
      <x:c r="I329" s="48" t="str">
        <x:v>1/1/1</x:v>
      </x:c>
      <x:c r="J329" s="48" t="str">
        <x:v>0.98/0.98/0.98</x:v>
      </x:c>
      <x:c r="K329" s="48" t="str">
        <x:v>—/—/—</x:v>
      </x:c>
      <x:c r="L329" s="48" t="str">
        <x:v>thunderbolt/thunderbolt/thunderbolt</x:v>
      </x:c>
      <x:c r="M329" s="48" t="str">
        <x:v>—/—/—</x:v>
      </x:c>
      <x:c r="N329" s="48" t="str">
        <x:v>—/—/—</x:v>
      </x:c>
      <x:c r="O329" s="48" t="str">
        <x:v>—/—/—</x:v>
      </x:c>
      <x:c r="P329" s="48" t="str">
        <x:v>—/—/—</x:v>
      </x:c>
      <x:c r="Q329" s="48" t="str">
        <x:v>—/—/—</x:v>
      </x:c>
      <x:c r="R329" s="48" t="str">
        <x:v>—/—/—</x:v>
      </x:c>
      <x:c r="S329" s="48" t="str">
        <x:v>25% / 1 / 20% / 2 / 3 / 30% / 45 / 100 / 125 / 150 / 200 / 7 / 8 / 9</x:v>
      </x:c>
      <x:c r="T329" s="48" t="str">
        <x:v>“—”表示 6.48b 对象表该级字段为空；脚本型技能需结合证据说明与来源冲突表。</x:v>
      </x:c>
    </x:row>
    <x:row r="330" ht="34" customHeight="1">
      <x:c r="A330" s="18" t="str">
        <x:v>N00R-1</x:v>
      </x:c>
      <x:c r="B330" s="18" t="str">
        <x:v>深渊领主</x:v>
      </x:c>
      <x:c r="C330" s="18" t="str">
        <x:v>Pit Lord</x:v>
      </x:c>
      <x:c r="D330" s="18" t="str">
        <x:v>Firestorm</x:v>
      </x:c>
      <x:c r="E330" s="18" t="str">
        <x:v>A01I</x:v>
      </x:c>
      <x:c r="F330" s="18" t="str">
        <x:v>ANrf</x:v>
      </x:c>
      <x:c r="G330" s="48" t="str">
        <x:v>—/—/—/—</x:v>
      </x:c>
      <x:c r="H330" s="48" t="str">
        <x:v>1/1/1/1</x:v>
      </x:c>
      <x:c r="I330" s="48" t="str">
        <x:v>1/1/1/1</x:v>
      </x:c>
      <x:c r="J330" s="48" t="str">
        <x:v>1/1/1/1</x:v>
      </x:c>
      <x:c r="K330" s="48" t="str">
        <x:v>—/—/—/—</x:v>
      </x:c>
      <x:c r="L330" s="48" t="str">
        <x:v>99999/99999/99999/99999</x:v>
      </x:c>
      <x:c r="M330" s="48" t="str">
        <x:v>—/—/—/—</x:v>
      </x:c>
      <x:c r="N330" s="48" t="str">
        <x:v>—/—/—/—</x:v>
      </x:c>
      <x:c r="O330" s="48" t="str">
        <x:v>—/—/—/—</x:v>
      </x:c>
      <x:c r="P330" s="48" t="str">
        <x:v>—/—/—/—</x:v>
      </x:c>
      <x:c r="Q330" s="48" t="str">
        <x:v>BNrd,BNrf/BNrd,BNrf/BNrd,BNrf/BNrd,BNrf</x:v>
      </x:c>
      <x:c r="R330" s="48" t="str">
        <x:v>XErf/XErf/XErf/XErf</x:v>
      </x:c>
      <x:c r="S330" s="48" t="str">
        <x:v>6 / 2 / 1 / 25 / 5 / 40 / 10 / 3 / 55 / 15 / 4 / 70 / 20 / 14 / 100 / 110 / 120 / 130</x:v>
      </x:c>
      <x:c r="T330" s="48" t="str">
        <x:v>“—”表示 6.48b 对象表该级字段为空；脚本型技能需结合证据说明与来源冲突表。</x:v>
      </x:c>
    </x:row>
    <x:row r="331" ht="34" customHeight="1">
      <x:c r="A331" s="18" t="str">
        <x:v>N00R-2</x:v>
      </x:c>
      <x:c r="B331" s="18" t="str">
        <x:v>深渊领主</x:v>
      </x:c>
      <x:c r="C331" s="18" t="str">
        <x:v>Pit Lord</x:v>
      </x:c>
      <x:c r="D331" s="18" t="str">
        <x:v>Pit of Malice</x:v>
      </x:c>
      <x:c r="E331" s="18" t="str">
        <x:v>A0RA</x:v>
      </x:c>
      <x:c r="F331" s="18" t="str">
        <x:v>AHfs</x:v>
      </x:c>
      <x:c r="G331" s="48" t="str">
        <x:v>—/—/—/—</x:v>
      </x:c>
      <x:c r="H331" s="48" t="str">
        <x:v>—/—/—/—</x:v>
      </x:c>
      <x:c r="I331" s="48" t="str">
        <x:v>—/—/—/—</x:v>
      </x:c>
      <x:c r="J331" s="48" t="str">
        <x:v>1/1/1/1</x:v>
      </x:c>
      <x:c r="K331" s="48" t="str">
        <x:v>—/—/—/—</x:v>
      </x:c>
      <x:c r="L331" s="48" t="str">
        <x:v>99999/99999/99999/99999</x:v>
      </x:c>
      <x:c r="M331" s="48" t="str">
        <x:v>—/—/—/—</x:v>
      </x:c>
      <x:c r="N331" s="48" t="str">
        <x:v>—/—/—/—</x:v>
      </x:c>
      <x:c r="O331" s="48" t="str">
        <x:v>—/—/—/—</x:v>
      </x:c>
      <x:c r="P331" s="48" t="str">
        <x:v>—/—/—/—</x:v>
      </x:c>
      <x:c r="Q331" s="48" t="str">
        <x:v>B08G/B08G/B08G/B08G</x:v>
      </x:c>
      <x:c r="R331" s="48" t="str">
        <x:v>X003/X003/X003/X003</x:v>
      </x:c>
      <x:c r="S331" s="48" t="str">
        <x:v>1 / 0.75 / 2 / 1.5 / 3 / 2.25 / 4 / 24 / 100 / 115 / 130 / 145</x:v>
      </x:c>
      <x:c r="T331" s="48" t="str">
        <x:v>“—”表示 6.48b 对象表该级字段为空；脚本型技能需结合证据说明与来源冲突表。</x:v>
      </x:c>
    </x:row>
    <x:row r="332" ht="34" customHeight="1">
      <x:c r="A332" s="18" t="str">
        <x:v>N00R-3</x:v>
      </x:c>
      <x:c r="B332" s="18" t="str">
        <x:v>深渊领主</x:v>
      </x:c>
      <x:c r="C332" s="18" t="str">
        <x:v>Pit Lord</x:v>
      </x:c>
      <x:c r="D332" s="18" t="str">
        <x:v>Expulsion</x:v>
      </x:c>
      <x:c r="E332" s="18" t="str">
        <x:v>A0QT</x:v>
      </x:c>
      <x:c r="F332" s="18" t="str">
        <x:v>AHbz</x:v>
      </x:c>
      <x:c r="G332" s="48" t="str">
        <x:v>1/—/—/—</x:v>
      </x:c>
      <x:c r="H332" s="48" t="str">
        <x:v>—/—/—/—</x:v>
      </x:c>
      <x:c r="I332" s="48" t="str">
        <x:v>1/—/—/—</x:v>
      </x:c>
      <x:c r="J332" s="48" t="str">
        <x:v>—/—/—/—</x:v>
      </x:c>
      <x:c r="K332" s="48" t="str">
        <x:v>—/—/—/—</x:v>
      </x:c>
      <x:c r="L332" s="48" t="str">
        <x:v>—/—/—/—</x:v>
      </x:c>
      <x:c r="M332" s="48" t="str">
        <x:v>—/—/—/—</x:v>
      </x:c>
      <x:c r="N332" s="48" t="str">
        <x:v>—/—/—/—</x:v>
      </x:c>
      <x:c r="O332" s="48" t="str">
        <x:v>—/—/—/—</x:v>
      </x:c>
      <x:c r="P332" s="48" t="str">
        <x:v>—/—/—/—</x:v>
      </x:c>
      <x:c r="Q332" s="48" t="str">
        <x:v>—/—/—/—</x:v>
      </x:c>
      <x:c r="R332" s="48" t="str">
        <x:v>—/—/—/—</x:v>
      </x:c>
      <x:c r="S332" s="48" t="str">
        <x:v>1 / 20 / 2 / 40 / 3 / 60 / 4 / 80 / 15 / 100 / 110 / 120 / 130</x:v>
      </x:c>
      <x:c r="T332" s="48" t="str">
        <x:v>“—”表示 6.48b 对象表该级字段为空；脚本型技能需结合证据说明与来源冲突表。</x:v>
      </x:c>
    </x:row>
    <x:row r="333" ht="34" customHeight="1">
      <x:c r="A333" s="18" t="str">
        <x:v>N00R-4</x:v>
      </x:c>
      <x:c r="B333" s="18" t="str">
        <x:v>深渊领主</x:v>
      </x:c>
      <x:c r="C333" s="18" t="str">
        <x:v>Pit Lord</x:v>
      </x:c>
      <x:c r="D333" s="18" t="str">
        <x:v>Dark Rift</x:v>
      </x:c>
      <x:c r="E333" s="18" t="str">
        <x:v>A0R0</x:v>
      </x:c>
      <x:c r="F333" s="18" t="str">
        <x:v>ANcl</x:v>
      </x:c>
      <x:c r="G333" s="48" t="str">
        <x:v>6/5/4</x:v>
      </x:c>
      <x:c r="H333" s="48" t="str">
        <x:v>1/1/1</x:v>
      </x:c>
      <x:c r="I333" s="48" t="str">
        <x:v>1/1/1</x:v>
      </x:c>
      <x:c r="J333" s="48" t="str">
        <x:v>0.98/0.98/0.98</x:v>
      </x:c>
      <x:c r="K333" s="48" t="str">
        <x:v>—/—/—</x:v>
      </x:c>
      <x:c r="L333" s="48" t="str">
        <x:v>channel/channel/channel</x:v>
      </x:c>
      <x:c r="M333" s="48" t="str">
        <x:v>—/—/—</x:v>
      </x:c>
      <x:c r="N333" s="48" t="str">
        <x:v>—/—/—</x:v>
      </x:c>
      <x:c r="O333" s="48" t="str">
        <x:v>—/—/—</x:v>
      </x:c>
      <x:c r="P333" s="48" t="str">
        <x:v>—/—/—</x:v>
      </x:c>
      <x:c r="Q333" s="48" t="str">
        <x:v>—/—/—</x:v>
      </x:c>
      <x:c r="R333" s="48" t="str">
        <x:v>—/—/—</x:v>
      </x:c>
      <x:c r="S333" s="48" t="str">
        <x:v>1 / 6 / 2 / 5 / 3 / 4 / 180 / 160 / 140 / 150 / 225 / 300</x:v>
      </x:c>
      <x:c r="T333" s="48" t="str">
        <x:v>“—”表示 6.48b 对象表该级字段为空；脚本型技能需结合证据说明与来源冲突表。</x:v>
      </x:c>
    </x:row>
    <x:row r="334" ht="34" customHeight="1">
      <x:c r="A334" s="18" t="str">
        <x:v>H00N-1</x:v>
      </x:c>
      <x:c r="B334" s="18" t="str">
        <x:v>黑暗贤者</x:v>
      </x:c>
      <x:c r="C334" s="18" t="str">
        <x:v>Dark Seer</x:v>
      </x:c>
      <x:c r="D334" s="18" t="str">
        <x:v>Ion Shell</x:v>
      </x:c>
      <x:c r="E334" s="18" t="str">
        <x:v>A0QG</x:v>
      </x:c>
      <x:c r="F334" s="18" t="str">
        <x:v>ANcl</x:v>
      </x:c>
      <x:c r="G334" s="48" t="str">
        <x:v>—/—/—/—</x:v>
      </x:c>
      <x:c r="H334" s="48" t="str">
        <x:v>1/1/1/1</x:v>
      </x:c>
      <x:c r="I334" s="48" t="str">
        <x:v>1/1/1/1</x:v>
      </x:c>
      <x:c r="J334" s="48" t="str">
        <x:v>0.98/0.98/0.98/0.98</x:v>
      </x:c>
      <x:c r="K334" s="48" t="str">
        <x:v>—/—/—/—</x:v>
      </x:c>
      <x:c r="L334" s="48" t="str">
        <x:v>thunderbolt/thunderbolt/thunderbolt/thunderbolt</x:v>
      </x:c>
      <x:c r="M334" s="48" t="str">
        <x:v>—/—/—/—</x:v>
      </x:c>
      <x:c r="N334" s="48" t="str">
        <x:v>—/—/—/—</x:v>
      </x:c>
      <x:c r="O334" s="48" t="str">
        <x:v>—/—/—/—</x:v>
      </x:c>
      <x:c r="P334" s="48" t="str">
        <x:v>—/—/—/—</x:v>
      </x:c>
      <x:c r="Q334" s="48" t="str">
        <x:v>—/—/—/—</x:v>
      </x:c>
      <x:c r="R334" s="48" t="str">
        <x:v>—/—/—/—</x:v>
      </x:c>
      <x:c r="S334" s="48" t="str">
        <x:v>15 / 1 / 30 / 2 / 45 / 3 / 60 / 4 / 75 / 80 / 100 / 120</x:v>
      </x:c>
      <x:c r="T334" s="48" t="str">
        <x:v>“—”表示 6.48b 对象表该级字段为空；脚本型技能需结合证据说明与来源冲突表。</x:v>
      </x:c>
    </x:row>
    <x:row r="335" ht="34" customHeight="1">
      <x:c r="A335" s="18" t="str">
        <x:v>H00N-2</x:v>
      </x:c>
      <x:c r="B335" s="18" t="str">
        <x:v>黑暗贤者</x:v>
      </x:c>
      <x:c r="C335" s="18" t="str">
        <x:v>Dark Seer</x:v>
      </x:c>
      <x:c r="D335" s="18" t="str">
        <x:v>Surge</x:v>
      </x:c>
      <x:c r="E335" s="18" t="str">
        <x:v>A0R7</x:v>
      </x:c>
      <x:c r="F335" s="18" t="str">
        <x:v>Ablo</x:v>
      </x:c>
      <x:c r="G335" s="48" t="str">
        <x:v>—/—/—/—</x:v>
      </x:c>
      <x:c r="H335" s="48" t="str">
        <x:v>10/10/10/—</x:v>
      </x:c>
      <x:c r="I335" s="48" t="str">
        <x:v>—/—/—/—</x:v>
      </x:c>
      <x:c r="J335" s="48" t="str">
        <x:v>—/—/—/—</x:v>
      </x:c>
      <x:c r="K335" s="48" t="str">
        <x:v>—/—/—/—</x:v>
      </x:c>
      <x:c r="L335" s="48" t="str">
        <x:v>—/—/—/—</x:v>
      </x:c>
      <x:c r="M335" s="48" t="str">
        <x:v>—/—/—/—</x:v>
      </x:c>
      <x:c r="N335" s="48" t="str">
        <x:v>—/—/—/—</x:v>
      </x:c>
      <x:c r="O335" s="48" t="str">
        <x:v>—/—/—/—</x:v>
      </x:c>
      <x:c r="P335" s="48" t="str">
        <x:v>—/—/—/—</x:v>
      </x:c>
      <x:c r="Q335" s="48" t="str">
        <x:v>B07W/B07W/B07W/—</x:v>
      </x:c>
      <x:c r="R335" s="48" t="str">
        <x:v>—/—/—/—</x:v>
      </x:c>
      <x:c r="S335" s="48" t="str">
        <x:v>1 / 2 / 3.5 / 3 / 5.0 / 4 / 6.5 / 12 / 11 / 10 / 9 / 20 / 30 / 40 / 50 / 5</x:v>
      </x:c>
      <x:c r="T335" s="48" t="str">
        <x:v>“—”表示 6.48b 对象表该级字段为空；脚本型技能需结合证据说明与来源冲突表。</x:v>
      </x:c>
    </x:row>
    <x:row r="336" ht="34" customHeight="1">
      <x:c r="A336" s="18" t="str">
        <x:v>H00N-3</x:v>
      </x:c>
      <x:c r="B336" s="18" t="str">
        <x:v>黑暗贤者</x:v>
      </x:c>
      <x:c r="C336" s="18" t="str">
        <x:v>Dark Seer</x:v>
      </x:c>
      <x:c r="D336" s="18" t="str">
        <x:v>Wall of Replica</x:v>
      </x:c>
      <x:c r="E336" s="18" t="str">
        <x:v>A0QK</x:v>
      </x:c>
      <x:c r="F336" s="18" t="str">
        <x:v>ANcl</x:v>
      </x:c>
      <x:c r="G336" s="48" t="str">
        <x:v>—/—/—</x:v>
      </x:c>
      <x:c r="H336" s="48" t="str">
        <x:v>2/2/2</x:v>
      </x:c>
      <x:c r="I336" s="48" t="str">
        <x:v>1/1/1</x:v>
      </x:c>
      <x:c r="J336" s="48" t="str">
        <x:v>—/—/—</x:v>
      </x:c>
      <x:c r="K336" s="48" t="str">
        <x:v>—/—/—</x:v>
      </x:c>
      <x:c r="L336" s="48" t="str">
        <x:v>curse/curse/curse</x:v>
      </x:c>
      <x:c r="M336" s="48" t="str">
        <x:v>—/—/—</x:v>
      </x:c>
      <x:c r="N336" s="48" t="str">
        <x:v>—/—/—</x:v>
      </x:c>
      <x:c r="O336" s="48" t="str">
        <x:v>—/—/—</x:v>
      </x:c>
      <x:c r="P336" s="48" t="str">
        <x:v>—/—/—</x:v>
      </x:c>
      <x:c r="Q336" s="48" t="str">
        <x:v>—/—/—</x:v>
      </x:c>
      <x:c r="R336" s="48" t="str">
        <x:v>—/—/—</x:v>
      </x:c>
      <x:c r="S336" s="48" t="str">
        <x:v>250% / 35% / 1 / 15 / 2 / 30 / 3 / 45 / 100 / 200 / 300 / 400 / 500 / 900 / 1300</x:v>
      </x:c>
      <x:c r="T336" s="48" t="str">
        <x:v>“—”表示 6.48b 对象表该级字段为空；脚本型技能需结合证据说明与来源冲突表。</x:v>
      </x:c>
    </x:row>
    <x:row r="337" ht="34" customHeight="1">
      <x:c r="A337" s="18" t="str">
        <x:v>H00N-4</x:v>
      </x:c>
      <x:c r="B337" s="18" t="str">
        <x:v>黑暗贤者</x:v>
      </x:c>
      <x:c r="C337" s="18" t="str">
        <x:v>Dark Seer</x:v>
      </x:c>
      <x:c r="D337" s="18" t="str">
        <x:v>Vacuum</x:v>
      </x:c>
      <x:c r="E337" s="18" t="str">
        <x:v>A0QE</x:v>
      </x:c>
      <x:c r="F337" s="18" t="str">
        <x:v>AHbz</x:v>
      </x:c>
      <x:c r="G337" s="48" t="str">
        <x:v>10/10/10/—</x:v>
      </x:c>
      <x:c r="H337" s="48" t="str">
        <x:v>—/—/—/—</x:v>
      </x:c>
      <x:c r="I337" s="48" t="str">
        <x:v>1/—/—/—</x:v>
      </x:c>
      <x:c r="J337" s="48" t="str">
        <x:v>—/—/—/—</x:v>
      </x:c>
      <x:c r="K337" s="48" t="str">
        <x:v>—/—/—/—</x:v>
      </x:c>
      <x:c r="L337" s="48" t="str">
        <x:v>—/—/—/—</x:v>
      </x:c>
      <x:c r="M337" s="48" t="str">
        <x:v>—/—/—/—</x:v>
      </x:c>
      <x:c r="N337" s="48" t="str">
        <x:v>—/—/—/—</x:v>
      </x:c>
      <x:c r="O337" s="48" t="str">
        <x:v>—/—/—/—</x:v>
      </x:c>
      <x:c r="P337" s="48" t="str">
        <x:v>—/—/—/—</x:v>
      </x:c>
      <x:c r="Q337" s="48" t="str">
        <x:v>—/—/—/—</x:v>
      </x:c>
      <x:c r="R337" s="48" t="str">
        <x:v>—/—/—/—</x:v>
      </x:c>
      <x:c r="S337" s="48" t="str">
        <x:v>1 / 60 / 300 / 2 / 120 / 400 / 3 / 180 / 500 / 4 / 240 / 600 / 16 / 100 / 130 / 160 / 190</x:v>
      </x:c>
      <x:c r="T337" s="48" t="str">
        <x:v>“—”表示 6.48b 对象表该级字段为空；脚本型技能需结合证据说明与来源冲突表。</x:v>
      </x:c>
    </x:row>
    <x:row r="338" ht="34" customHeight="1">
      <x:c r="A338" s="18" t="str">
        <x:v>N01W-1</x:v>
      </x:c>
      <x:c r="B338" s="18" t="str">
        <x:v>暗影牧师</x:v>
      </x:c>
      <x:c r="C338" s="18" t="str">
        <x:v>Shadow Priest</x:v>
      </x:c>
      <x:c r="D338" s="18" t="str">
        <x:v>Poison Touch</x:v>
      </x:c>
      <x:c r="E338" s="18" t="str">
        <x:v>A0NQ</x:v>
      </x:c>
      <x:c r="F338" s="18" t="str">
        <x:v>AHtb</x:v>
      </x:c>
      <x:c r="G338" s="48" t="str">
        <x:v>—/—/—/—</x:v>
      </x:c>
      <x:c r="H338" s="48" t="str">
        <x:v>—/—/—/—</x:v>
      </x:c>
      <x:c r="I338" s="48" t="str">
        <x:v>—/—/—/—</x:v>
      </x:c>
      <x:c r="J338" s="48" t="str">
        <x:v>—/—/—/—</x:v>
      </x:c>
      <x:c r="K338" s="48" t="str">
        <x:v>—/—/—/—</x:v>
      </x:c>
      <x:c r="L338" s="48" t="str">
        <x:v>—/—/—/—</x:v>
      </x:c>
      <x:c r="M338" s="48" t="str">
        <x:v>—/—/—/—</x:v>
      </x:c>
      <x:c r="N338" s="48" t="str">
        <x:v>—/—/—/—</x:v>
      </x:c>
      <x:c r="O338" s="48" t="str">
        <x:v>—/—/—/—</x:v>
      </x:c>
      <x:c r="P338" s="48" t="str">
        <x:v>—/—/—/—</x:v>
      </x:c>
      <x:c r="Q338" s="48" t="str">
        <x:v>B07E/B07E/B07E/B07E</x:v>
      </x:c>
      <x:c r="R338" s="48" t="str">
        <x:v>—/—/—/—</x:v>
      </x:c>
      <x:c r="S338" s="48" t="str">
        <x:v>7 / 1 / 2 / 14 / 3 / 21 / 4 / 28 / 15 / 13 / 11 / 9</x:v>
      </x:c>
      <x:c r="T338" s="48" t="str">
        <x:v>“—”表示 6.48b 对象表该级字段为空；脚本型技能需结合证据说明与来源冲突表。</x:v>
      </x:c>
    </x:row>
    <x:row r="339" ht="34" customHeight="1">
      <x:c r="A339" s="18" t="str">
        <x:v>N01W-2</x:v>
      </x:c>
      <x:c r="B339" s="18" t="str">
        <x:v>暗影牧师</x:v>
      </x:c>
      <x:c r="C339" s="18" t="str">
        <x:v>Shadow Priest</x:v>
      </x:c>
      <x:c r="D339" s="18" t="str">
        <x:v>Weave</x:v>
      </x:c>
      <x:c r="E339" s="18" t="str">
        <x:v>A0NV</x:v>
      </x:c>
      <x:c r="F339" s="18" t="str">
        <x:v>ANcl</x:v>
      </x:c>
      <x:c r="G339" s="48" t="str">
        <x:v>—/—/—/—</x:v>
      </x:c>
      <x:c r="H339" s="48" t="str">
        <x:v>1/1/1/1</x:v>
      </x:c>
      <x:c r="I339" s="48" t="str">
        <x:v>1/1/1/1</x:v>
      </x:c>
      <x:c r="J339" s="48" t="str">
        <x:v>0.98/0.98/0.98/0.98</x:v>
      </x:c>
      <x:c r="K339" s="48" t="str">
        <x:v>—/—/—/—</x:v>
      </x:c>
      <x:c r="L339" s="48" t="str">
        <x:v>creepheal/creepheal/creepheal/creepheal</x:v>
      </x:c>
      <x:c r="M339" s="48" t="str">
        <x:v>—/—/—/—</x:v>
      </x:c>
      <x:c r="N339" s="48" t="str">
        <x:v>—/—/—/—</x:v>
      </x:c>
      <x:c r="O339" s="48" t="str">
        <x:v>—/—/—/—</x:v>
      </x:c>
      <x:c r="P339" s="48" t="str">
        <x:v>—/—/—/—</x:v>
      </x:c>
      <x:c r="Q339" s="48" t="str">
        <x:v>—/—/—/—</x:v>
      </x:c>
      <x:c r="R339" s="48" t="str">
        <x:v>—/—/—/—</x:v>
      </x:c>
      <x:c r="S339" s="48" t="str">
        <x:v>1 / 17 / 4 / 2 / 8 / 3 / 12 / 16 / 20</x:v>
      </x:c>
      <x:c r="T339" s="48" t="str">
        <x:v>“—”表示 6.48b 对象表该级字段为空；脚本型技能需结合证据说明与来源冲突表。</x:v>
      </x:c>
    </x:row>
    <x:row r="340" ht="34" customHeight="1">
      <x:c r="A340" s="18" t="str">
        <x:v>N01W-3</x:v>
      </x:c>
      <x:c r="B340" s="18" t="str">
        <x:v>暗影牧师</x:v>
      </x:c>
      <x:c r="C340" s="18" t="str">
        <x:v>Shadow Priest</x:v>
      </x:c>
      <x:c r="D340" s="18" t="str">
        <x:v>Shadow Wave</x:v>
      </x:c>
      <x:c r="E340" s="18" t="str">
        <x:v>A0OR</x:v>
      </x:c>
      <x:c r="F340" s="18" t="str">
        <x:v>ANcl</x:v>
      </x:c>
      <x:c r="G340" s="48" t="str">
        <x:v>—/—/—/—</x:v>
      </x:c>
      <x:c r="H340" s="48" t="str">
        <x:v>1/1/1/1</x:v>
      </x:c>
      <x:c r="I340" s="48" t="str">
        <x:v>1/1/1/1</x:v>
      </x:c>
      <x:c r="J340" s="48" t="str">
        <x:v>0.98/0.98/0.98/0.98</x:v>
      </x:c>
      <x:c r="K340" s="48" t="str">
        <x:v>—/—/—/—</x:v>
      </x:c>
      <x:c r="L340" s="48" t="str">
        <x:v>darkportal/darkportal/darkportal/darkportal</x:v>
      </x:c>
      <x:c r="M340" s="48" t="str">
        <x:v>—/—/—/—</x:v>
      </x:c>
      <x:c r="N340" s="48" t="str">
        <x:v>—/—/—/—</x:v>
      </x:c>
      <x:c r="O340" s="48" t="str">
        <x:v>—/—/—/—</x:v>
      </x:c>
      <x:c r="P340" s="48" t="str">
        <x:v>—/—/—/—</x:v>
      </x:c>
      <x:c r="Q340" s="48" t="str">
        <x:v>—/—/—/—</x:v>
      </x:c>
      <x:c r="R340" s="48" t="str">
        <x:v>—/—/—/—</x:v>
      </x:c>
      <x:c r="S340" s="48" t="str">
        <x:v>1 / 80 / 3 / 2 / 100 / 120 / 4 / 140 / 12 / 10 / 8 / 6</x:v>
      </x:c>
      <x:c r="T340" s="48" t="str">
        <x:v>“—”表示 6.48b 对象表该级字段为空；脚本型技能需结合证据说明与来源冲突表。</x:v>
      </x:c>
    </x:row>
    <x:row r="341" ht="34" customHeight="1">
      <x:c r="A341" s="18" t="str">
        <x:v>N01W-4</x:v>
      </x:c>
      <x:c r="B341" s="18" t="str">
        <x:v>暗影牧师</x:v>
      </x:c>
      <x:c r="C341" s="18" t="str">
        <x:v>Shadow Priest</x:v>
      </x:c>
      <x:c r="D341" s="18" t="str">
        <x:v>Shallow Grave</x:v>
      </x:c>
      <x:c r="E341" s="18" t="str">
        <x:v>A0OS</x:v>
      </x:c>
      <x:c r="F341" s="18" t="str">
        <x:v>ANcl</x:v>
      </x:c>
      <x:c r="G341" s="48" t="str">
        <x:v>—/—/—</x:v>
      </x:c>
      <x:c r="H341" s="48" t="str">
        <x:v>1/1/1</x:v>
      </x:c>
      <x:c r="I341" s="48" t="str">
        <x:v>1/1/1</x:v>
      </x:c>
      <x:c r="J341" s="48" t="str">
        <x:v>0.98/0.98/0.98</x:v>
      </x:c>
      <x:c r="K341" s="48" t="str">
        <x:v>—/—/—</x:v>
      </x:c>
      <x:c r="L341" s="48" t="str">
        <x:v>devourmagic/devourmagic/devourmagic</x:v>
      </x:c>
      <x:c r="M341" s="48" t="str">
        <x:v>—/—/—</x:v>
      </x:c>
      <x:c r="N341" s="48" t="str">
        <x:v>—/—/—</x:v>
      </x:c>
      <x:c r="O341" s="48" t="str">
        <x:v>—/—/—</x:v>
      </x:c>
      <x:c r="P341" s="48" t="str">
        <x:v>—/—/—</x:v>
      </x:c>
      <x:c r="Q341" s="48" t="str">
        <x:v>—/—/—</x:v>
      </x:c>
      <x:c r="R341" s="48" t="str">
        <x:v>—/—/—</x:v>
      </x:c>
      <x:c r="S341" s="48" t="str">
        <x:v>40% / 360 / 1 / 150 / 2 / 300 / 3 / 450 / 200 / 175</x:v>
      </x:c>
      <x:c r="T341" s="48" t="str">
        <x:v>“—”表示 6.48b 对象表该级字段为空；脚本型技能需结合证据说明与来源冲突表。</x:v>
      </x:c>
    </x:row>
    <x:row r="342" ht="34" customHeight="1">
      <x:c r="A342" s="18" t="str">
        <x:v>E01C-1</x:v>
      </x:c>
      <x:c r="B342" s="18" t="str">
        <x:v>术士</x:v>
      </x:c>
      <x:c r="C342" s="18" t="str">
        <x:v>Warlock</x:v>
      </x:c>
      <x:c r="D342" s="18" t="str">
        <x:v>Shadow Word</x:v>
      </x:c>
      <x:c r="E342" s="18" t="str">
        <x:v>A0AS</x:v>
      </x:c>
      <x:c r="F342" s="18" t="str">
        <x:v>ANcl</x:v>
      </x:c>
      <x:c r="G342" s="48" t="str">
        <x:v>—/—/—/—</x:v>
      </x:c>
      <x:c r="H342" s="48" t="str">
        <x:v>1/1/1/1</x:v>
      </x:c>
      <x:c r="I342" s="48" t="str">
        <x:v>1/1/1/1</x:v>
      </x:c>
      <x:c r="J342" s="48" t="str">
        <x:v>0.98/0.98/0.98/0.98</x:v>
      </x:c>
      <x:c r="K342" s="48" t="str">
        <x:v>—/—/—/—</x:v>
      </x:c>
      <x:c r="L342" s="48" t="str">
        <x:v>creepheal/creepheal/creepheal/creepheal</x:v>
      </x:c>
      <x:c r="M342" s="48" t="str">
        <x:v>—/—/—/—</x:v>
      </x:c>
      <x:c r="N342" s="48" t="str">
        <x:v>—/—/—/—</x:v>
      </x:c>
      <x:c r="O342" s="48" t="str">
        <x:v>—/—/—/—</x:v>
      </x:c>
      <x:c r="P342" s="48" t="str">
        <x:v>—/—/—/—</x:v>
      </x:c>
      <x:c r="Q342" s="48" t="str">
        <x:v>—/—/—/—</x:v>
      </x:c>
      <x:c r="R342" s="48" t="str">
        <x:v>—/—/—/—</x:v>
      </x:c>
      <x:c r="S342" s="48" t="str">
        <x:v>8 / 1 / 10 / 2 / 20 / 3 / 30 / 4 / 40 / 24</x:v>
      </x:c>
      <x:c r="T342" s="48" t="str">
        <x:v>“—”表示 6.48b 对象表该级字段为空；脚本型技能需结合证据说明与来源冲突表。</x:v>
      </x:c>
    </x:row>
    <x:row r="343" ht="34" customHeight="1">
      <x:c r="A343" s="18" t="str">
        <x:v>E01C-2</x:v>
      </x:c>
      <x:c r="B343" s="18" t="str">
        <x:v>术士</x:v>
      </x:c>
      <x:c r="C343" s="18" t="str">
        <x:v>Warlock</x:v>
      </x:c>
      <x:c r="D343" s="18" t="str">
        <x:v>Upheaval</x:v>
      </x:c>
      <x:c r="E343" s="18" t="str">
        <x:v>A06P</x:v>
      </x:c>
      <x:c r="F343" s="18" t="str">
        <x:v>AHbz</x:v>
      </x:c>
      <x:c r="G343" s="48" t="str">
        <x:v>10/10/10/—</x:v>
      </x:c>
      <x:c r="H343" s="48" t="str">
        <x:v>—/—/—/—</x:v>
      </x:c>
      <x:c r="I343" s="48" t="str">
        <x:v>1/—/—/—</x:v>
      </x:c>
      <x:c r="J343" s="48" t="str">
        <x:v>—/—/—/—</x:v>
      </x:c>
      <x:c r="K343" s="48" t="str">
        <x:v>—/—/—/—</x:v>
      </x:c>
      <x:c r="L343" s="48" t="str">
        <x:v>—/—/—/—</x:v>
      </x:c>
      <x:c r="M343" s="48" t="str">
        <x:v>—/—/—/—</x:v>
      </x:c>
      <x:c r="N343" s="48" t="str">
        <x:v>—/—/—/—</x:v>
      </x:c>
      <x:c r="O343" s="48" t="str">
        <x:v>—/—/—/—</x:v>
      </x:c>
      <x:c r="P343" s="48" t="str">
        <x:v>—/—/—/—</x:v>
      </x:c>
      <x:c r="Q343" s="48" t="str">
        <x:v>—/—/—/—</x:v>
      </x:c>
      <x:c r="R343" s="48" t="str">
        <x:v>—/—/—/—</x:v>
      </x:c>
      <x:c r="S343" s="48" t="str">
        <x:v>10 / 84% / 1 / 7% / 2 / 14% / 3 / 21% / 4 / 28% / 20</x:v>
      </x:c>
      <x:c r="T343" s="48" t="str">
        <x:v>“—”表示 6.48b 对象表该级字段为空；脚本型技能需结合证据说明与来源冲突表。</x:v>
      </x:c>
    </x:row>
    <x:row r="344" ht="34" customHeight="1">
      <x:c r="A344" s="18" t="str">
        <x:v>E01C-3</x:v>
      </x:c>
      <x:c r="B344" s="18" t="str">
        <x:v>术士</x:v>
      </x:c>
      <x:c r="C344" s="18" t="str">
        <x:v>Warlock</x:v>
      </x:c>
      <x:c r="D344" s="18" t="str">
        <x:v>Rain of Chaos</x:v>
      </x:c>
      <x:c r="E344" s="18" t="str">
        <x:v>S008</x:v>
      </x:c>
      <x:c r="F344" s="18" t="str">
        <x:v>AUin</x:v>
      </x:c>
      <x:c r="G344" s="48" t="str">
        <x:v>100/100/100</x:v>
      </x:c>
      <x:c r="H344" s="48" t="str">
        <x:v>60/60/60</x:v>
      </x:c>
      <x:c r="I344" s="48" t="str">
        <x:v>1/1/1</x:v>
      </x:c>
      <x:c r="J344" s="48" t="str">
        <x:v>—/—/—</x:v>
      </x:c>
      <x:c r="K344" s="48" t="str">
        <x:v>—/—/—</x:v>
      </x:c>
      <x:c r="L344" s="48" t="str">
        <x:v>—/—/—</x:v>
      </x:c>
      <x:c r="M344" s="48" t="str">
        <x:v>—/—/—</x:v>
      </x:c>
      <x:c r="N344" s="48" t="str">
        <x:v>—/—/—</x:v>
      </x:c>
      <x:c r="O344" s="48" t="str">
        <x:v>—/—/—</x:v>
      </x:c>
      <x:c r="P344" s="48" t="str">
        <x:v>n00U/n00Y/n00Z</x:v>
      </x:c>
      <x:c r="Q344" s="48" t="str">
        <x:v>BNin/BNin/BNin</x:v>
      </x:c>
      <x:c r="R344" s="48" t="str">
        <x:v>—/—/—</x:v>
      </x:c>
      <x:c r="S344" s="48" t="str">
        <x:v>100 / 1 / 60 / 2 / 3 / 165</x:v>
      </x:c>
      <x:c r="T344" s="48" t="str">
        <x:v>“—”表示 6.48b 对象表该级字段为空；脚本型技能需结合证据说明与来源冲突表。</x:v>
      </x:c>
    </x:row>
    <x:row r="345" ht="34" customHeight="1">
      <x:c r="A345" s="18" t="str">
        <x:v>E01C-4</x:v>
      </x:c>
      <x:c r="B345" s="18" t="str">
        <x:v>术士</x:v>
      </x:c>
      <x:c r="C345" s="18" t="str">
        <x:v>Warlock</x:v>
      </x:c>
      <x:c r="D345" s="18" t="str">
        <x:v>Fatal Bonds</x:v>
      </x:c>
      <x:c r="E345" s="18" t="str">
        <x:v>A0J5</x:v>
      </x:c>
      <x:c r="F345" s="18" t="str">
        <x:v>ANcl</x:v>
      </x:c>
      <x:c r="G345" s="48" t="str">
        <x:v>—/—/—/—</x:v>
      </x:c>
      <x:c r="H345" s="48" t="str">
        <x:v>1/1/1/1</x:v>
      </x:c>
      <x:c r="I345" s="48" t="str">
        <x:v>1/1/1/1</x:v>
      </x:c>
      <x:c r="J345" s="48" t="str">
        <x:v>0.98/0.98/0.98/0.98</x:v>
      </x:c>
      <x:c r="K345" s="48" t="str">
        <x:v>—/—/—/—</x:v>
      </x:c>
      <x:c r="L345" s="48" t="str">
        <x:v>thunderbolt/thunderbolt/thunderbolt/thunderbolt</x:v>
      </x:c>
      <x:c r="M345" s="48" t="str">
        <x:v>—/—/—/—</x:v>
      </x:c>
      <x:c r="N345" s="48" t="str">
        <x:v>—/—/—/—</x:v>
      </x:c>
      <x:c r="O345" s="48" t="str">
        <x:v>—/—/—/—</x:v>
      </x:c>
      <x:c r="P345" s="48" t="str">
        <x:v>—/—/—/—</x:v>
      </x:c>
      <x:c r="Q345" s="48" t="str">
        <x:v>—/—/—/—</x:v>
      </x:c>
      <x:c r="R345" s="48" t="str">
        <x:v>—/—/—/—</x:v>
      </x:c>
      <x:c r="S345" s="48" t="str">
        <x:v>5 / 25 / 1 / 5% / 2 / 10% / 3 / 15% / 4 / 20% / 30</x:v>
      </x:c>
      <x:c r="T345" s="48" t="str">
        <x:v>“—”表示 6.48b 对象表该级字段为空；脚本型技能需结合证据说明与来源冲突表。</x:v>
      </x:c>
    </x:row>
    <x:row r="346" ht="34" customHeight="1">
      <x:c r="A346" s="18" t="str">
        <x:v>U00P-1</x:v>
      </x:c>
      <x:c r="B346" s="18" t="str">
        <x:v>黑曜毁灭者</x:v>
      </x:c>
      <x:c r="C346" s="18" t="str">
        <x:v>Obsidian Destroyer</x:v>
      </x:c>
      <x:c r="D346" s="18" t="str">
        <x:v>Arcane Orb</x:v>
      </x:c>
      <x:c r="E346" s="18" t="str">
        <x:v>A0OI</x:v>
      </x:c>
      <x:c r="F346" s="18" t="str">
        <x:v>AEpa</x:v>
      </x:c>
      <x:c r="G346" s="48" t="str">
        <x:v>—/—/—/—</x:v>
      </x:c>
      <x:c r="H346" s="48" t="str">
        <x:v>—/—/—/—</x:v>
      </x:c>
      <x:c r="I346" s="48" t="str">
        <x:v>—/—/—/—</x:v>
      </x:c>
      <x:c r="J346" s="48" t="str">
        <x:v>—/—/—/—</x:v>
      </x:c>
      <x:c r="K346" s="48" t="str">
        <x:v>1/1/1/1</x:v>
      </x:c>
      <x:c r="L346" s="48" t="str">
        <x:v>—/—/—/—</x:v>
      </x:c>
      <x:c r="M346" s="48" t="str">
        <x:v>—/—/—/—</x:v>
      </x:c>
      <x:c r="N346" s="48" t="str">
        <x:v>—/—/—/—</x:v>
      </x:c>
      <x:c r="O346" s="48" t="str">
        <x:v>—/—/—/—</x:v>
      </x:c>
      <x:c r="P346" s="48" t="str">
        <x:v>—/—/—/—</x:v>
      </x:c>
      <x:c r="Q346" s="48" t="str">
        <x:v>B06Y,B06Y,B06Y/B06Y,B06Y,B06Y/B06Y,B06Y,B06Y/B06Y,B06Y,B06Y</x:v>
      </x:c>
      <x:c r="R346" s="48" t="str">
        <x:v>—/—/—/—</x:v>
      </x:c>
      <x:c r="S346" s="48" t="str">
        <x:v>1 / 6% / 100 / 2 / 7% / 200 / 3 / 8% / 300 / 4 / 9% / 400 / 6 / 0</x:v>
      </x:c>
      <x:c r="T346" s="48" t="str">
        <x:v>“—”表示 6.48b 对象表该级字段为空；脚本型技能需结合证据说明与来源冲突表。</x:v>
      </x:c>
    </x:row>
    <x:row r="347" ht="34" customHeight="1">
      <x:c r="A347" s="18" t="str">
        <x:v>U00P-2</x:v>
      </x:c>
      <x:c r="B347" s="18" t="str">
        <x:v>黑曜毁灭者</x:v>
      </x:c>
      <x:c r="C347" s="18" t="str">
        <x:v>Obsidian Destroyer</x:v>
      </x:c>
      <x:c r="D347" s="18" t="str">
        <x:v>Astral Imprisonment</x:v>
      </x:c>
      <x:c r="E347" s="18" t="str">
        <x:v>A0OJ</x:v>
      </x:c>
      <x:c r="F347" s="18" t="str">
        <x:v>AOcl</x:v>
      </x:c>
      <x:c r="G347" s="48" t="str">
        <x:v>—/—/—/—</x:v>
      </x:c>
      <x:c r="H347" s="48" t="str">
        <x:v>1/1/1/1</x:v>
      </x:c>
      <x:c r="I347" s="48" t="str">
        <x:v>—/—/—/—</x:v>
      </x:c>
      <x:c r="J347" s="48" t="str">
        <x:v>—/—/—/—</x:v>
      </x:c>
      <x:c r="K347" s="48" t="str">
        <x:v>—/—/—/—</x:v>
      </x:c>
      <x:c r="L347" s="48" t="str">
        <x:v>—/—/—/—</x:v>
      </x:c>
      <x:c r="M347" s="48" t="str">
        <x:v>—/—/—/—</x:v>
      </x:c>
      <x:c r="N347" s="48" t="str">
        <x:v>—/—/—/—</x:v>
      </x:c>
      <x:c r="O347" s="48" t="str">
        <x:v>—/—/—/—</x:v>
      </x:c>
      <x:c r="P347" s="48" t="str">
        <x:v>—/—/—/—</x:v>
      </x:c>
      <x:c r="Q347" s="48" t="str">
        <x:v>—/—/—/—</x:v>
      </x:c>
      <x:c r="R347" s="48" t="str">
        <x:v>—/—/—/—</x:v>
      </x:c>
      <x:c r="S347" s="48" t="str">
        <x:v>60 / 1 / 2 / 4 / 3 / 6 / 8 / 20</x:v>
      </x:c>
      <x:c r="T347" s="48" t="str">
        <x:v>“—”表示 6.48b 对象表该级字段为空；脚本型技能需结合证据说明与来源冲突表。</x:v>
      </x:c>
    </x:row>
    <x:row r="348" ht="34" customHeight="1">
      <x:c r="A348" s="18" t="str">
        <x:v>U00P-3</x:v>
      </x:c>
      <x:c r="B348" s="18" t="str">
        <x:v>黑曜毁灭者</x:v>
      </x:c>
      <x:c r="C348" s="18" t="str">
        <x:v>Obsidian Destroyer</x:v>
      </x:c>
      <x:c r="D348" s="18" t="str">
        <x:v>Essence Aura</x:v>
      </x:c>
      <x:c r="E348" s="18" t="str">
        <x:v>A0OG</x:v>
      </x:c>
      <x:c r="F348" s="18" t="str">
        <x:v>—</x:v>
      </x:c>
      <x:c r="G348" s="48" t="str">
        <x:v>—/—/—/—</x:v>
      </x:c>
      <x:c r="H348" s="48" t="str">
        <x:v>—/—/—/—</x:v>
      </x:c>
      <x:c r="I348" s="48" t="str">
        <x:v>—/—/—/—</x:v>
      </x:c>
      <x:c r="J348" s="48" t="str">
        <x:v>—/—/—/—</x:v>
      </x:c>
      <x:c r="K348" s="48" t="str">
        <x:v>—/—/—/—</x:v>
      </x:c>
      <x:c r="L348" s="48" t="str">
        <x:v>—/—/—/—</x:v>
      </x:c>
      <x:c r="M348" s="48" t="str">
        <x:v>—/—/—/—</x:v>
      </x:c>
      <x:c r="N348" s="48" t="str">
        <x:v>—/—/—/—</x:v>
      </x:c>
      <x:c r="O348" s="48" t="str">
        <x:v>—/—/—/—</x:v>
      </x:c>
      <x:c r="P348" s="48" t="str">
        <x:v>—/—/—/—</x:v>
      </x:c>
      <x:c r="Q348" s="48" t="str">
        <x:v>—/—/—/—</x:v>
      </x:c>
      <x:c r="R348" s="48" t="str">
        <x:v>—/—/—/—</x:v>
      </x:c>
      <x:c r="S348" s="48" t="str">
        <x:v>1 / 10% / 25% / 5% / 75 / 2 / 20% / 150 / 3 / 30% / 15% / 225 / 4 / 40% / 300</x:v>
      </x:c>
      <x:c r="T348" s="48" t="str">
        <x:v>“—”表示 6.48b 对象表该级字段为空；脚本型技能需结合证据说明与来源冲突表。</x:v>
      </x:c>
    </x:row>
    <x:row r="349" ht="34" customHeight="1">
      <x:c r="A349" s="18" t="str">
        <x:v>U00P-4</x:v>
      </x:c>
      <x:c r="B349" s="18" t="str">
        <x:v>黑曜毁灭者</x:v>
      </x:c>
      <x:c r="C349" s="18" t="str">
        <x:v>Obsidian Destroyer</x:v>
      </x:c>
      <x:c r="D349" s="18" t="str">
        <x:v>Sanity's Eclipse</x:v>
      </x:c>
      <x:c r="E349" s="18" t="str">
        <x:v>A0OK</x:v>
      </x:c>
      <x:c r="F349" s="18" t="str">
        <x:v>AHbz</x:v>
      </x:c>
      <x:c r="G349" s="48" t="str">
        <x:v>1/—/—</x:v>
      </x:c>
      <x:c r="H349" s="48" t="str">
        <x:v>—/—/—</x:v>
      </x:c>
      <x:c r="I349" s="48" t="str">
        <x:v>1/—/—</x:v>
      </x:c>
      <x:c r="J349" s="48" t="str">
        <x:v>—/—/—</x:v>
      </x:c>
      <x:c r="K349" s="48" t="str">
        <x:v>—/—/—</x:v>
      </x:c>
      <x:c r="L349" s="48" t="str">
        <x:v>—/—/—</x:v>
      </x:c>
      <x:c r="M349" s="48" t="str">
        <x:v>—/—/—</x:v>
      </x:c>
      <x:c r="N349" s="48" t="str">
        <x:v>—/—/—</x:v>
      </x:c>
      <x:c r="O349" s="48" t="str">
        <x:v>—/—/—</x:v>
      </x:c>
      <x:c r="P349" s="48" t="str">
        <x:v>—/—/—</x:v>
      </x:c>
      <x:c r="Q349" s="48" t="str">
        <x:v>—/—/—</x:v>
      </x:c>
      <x:c r="R349" s="48" t="str">
        <x:v>—/—/—</x:v>
      </x:c>
      <x:c r="S349" s="48" t="str">
        <x:v>75% / 1 / 8 / 400 / 2 / 9 / 500 / 3 / 10 / 600 / 160 / 100 / 300</x:v>
      </x:c>
      <x:c r="T349" s="48" t="str">
        <x:v>“—”表示 6.48b 对象表该级字段为空；脚本型技能需结合证据说明与来源冲突表。</x:v>
      </x:c>
    </x:row>
    <x:row r="350" ht="34" customHeight="1">
      <x:c r="A350" s="18" t="str">
        <x:v>E01A-1</x:v>
      </x:c>
      <x:c r="B350" s="18" t="str">
        <x:v>巫医</x:v>
      </x:c>
      <x:c r="C350" s="18" t="str">
        <x:v>Witch Doctor</x:v>
      </x:c>
      <x:c r="D350" s="18" t="str">
        <x:v>Paralyzing Cask</x:v>
      </x:c>
      <x:c r="E350" s="18" t="str">
        <x:v>A0NM</x:v>
      </x:c>
      <x:c r="F350" s="18" t="str">
        <x:v>AOcl</x:v>
      </x:c>
      <x:c r="G350" s="48" t="str">
        <x:v>—/—/—/—</x:v>
      </x:c>
      <x:c r="H350" s="48" t="str">
        <x:v>1/1/1/1</x:v>
      </x:c>
      <x:c r="I350" s="48" t="str">
        <x:v>0.15/0.15/0.15/0.15</x:v>
      </x:c>
      <x:c r="J350" s="48" t="str">
        <x:v>—/—/—/—</x:v>
      </x:c>
      <x:c r="K350" s="48" t="str">
        <x:v>—/—/—/—</x:v>
      </x:c>
      <x:c r="L350" s="48" t="str">
        <x:v>—/—/—/—</x:v>
      </x:c>
      <x:c r="M350" s="48" t="str">
        <x:v>—/—/—/—</x:v>
      </x:c>
      <x:c r="N350" s="48" t="str">
        <x:v>—/—/—/—</x:v>
      </x:c>
      <x:c r="O350" s="48" t="str">
        <x:v>—/—/—/—</x:v>
      </x:c>
      <x:c r="P350" s="48" t="str">
        <x:v>—/—/—/—</x:v>
      </x:c>
      <x:c r="Q350" s="48" t="str">
        <x:v>—/—/—/—</x:v>
      </x:c>
      <x:c r="R350" s="48" t="str">
        <x:v>—/—/—/—</x:v>
      </x:c>
      <x:c r="S350" s="48" t="str">
        <x:v>1 / 5 / 2 / 75 / 4 / 100 / 3 / 6 / 125 / 8 / 150 / 20 / 18 / 16 / 14</x:v>
      </x:c>
      <x:c r="T350" s="48" t="str">
        <x:v>“—”表示 6.48b 对象表该级字段为空；脚本型技能需结合证据说明与来源冲突表。</x:v>
      </x:c>
    </x:row>
    <x:row r="351" ht="34" customHeight="1">
      <x:c r="A351" s="18" t="str">
        <x:v>E01A-2</x:v>
      </x:c>
      <x:c r="B351" s="18" t="str">
        <x:v>巫医</x:v>
      </x:c>
      <x:c r="C351" s="18" t="str">
        <x:v>Witch Doctor</x:v>
      </x:c>
      <x:c r="D351" s="18" t="str">
        <x:v>Voodoo Restoration</x:v>
      </x:c>
      <x:c r="E351" s="18" t="str">
        <x:v>A0NE</x:v>
      </x:c>
      <x:c r="F351" s="18" t="str">
        <x:v>AEim</x:v>
      </x:c>
      <x:c r="G351" s="48" t="str">
        <x:v>—/—/—/—</x:v>
      </x:c>
      <x:c r="H351" s="48" t="str">
        <x:v>5/5/10/10</x:v>
      </x:c>
      <x:c r="I351" s="48" t="str">
        <x:v>10/10/10/10</x:v>
      </x:c>
      <x:c r="J351" s="48" t="str">
        <x:v>—/—/—/—</x:v>
      </x:c>
      <x:c r="K351" s="48" t="str">
        <x:v>—/—/—/—</x:v>
      </x:c>
      <x:c r="L351" s="48" t="str">
        <x:v>—/—/—/—</x:v>
      </x:c>
      <x:c r="M351" s="48" t="str">
        <x:v>—/—/—/—</x:v>
      </x:c>
      <x:c r="N351" s="48" t="str">
        <x:v>—/—/—/—</x:v>
      </x:c>
      <x:c r="O351" s="48" t="str">
        <x:v>—/—/—/—</x:v>
      </x:c>
      <x:c r="P351" s="48" t="str">
        <x:v>—/—/—/—</x:v>
      </x:c>
      <x:c r="Q351" s="48" t="str">
        <x:v>B06J,B06J/B06J,B06J/B06J,B06J/B06J,B06J</x:v>
      </x:c>
      <x:c r="R351" s="48" t="str">
        <x:v>—/—/—/—</x:v>
      </x:c>
      <x:c r="S351" s="48" t="str">
        <x:v>1 / 6 / 2 / 12 / 3 / 24 / 4 / 30 / 5 / 10</x:v>
      </x:c>
      <x:c r="T351" s="48" t="str">
        <x:v>“—”表示 6.48b 对象表该级字段为空；脚本型技能需结合证据说明与来源冲突表。</x:v>
      </x:c>
    </x:row>
    <x:row r="352" ht="34" customHeight="1">
      <x:c r="A352" s="18" t="str">
        <x:v>E01A-3</x:v>
      </x:c>
      <x:c r="B352" s="18" t="str">
        <x:v>巫医</x:v>
      </x:c>
      <x:c r="C352" s="18" t="str">
        <x:v>Witch Doctor</x:v>
      </x:c>
      <x:c r="D352" s="18" t="str">
        <x:v>Maledict</x:v>
      </x:c>
      <x:c r="E352" s="18" t="str">
        <x:v>A0NO</x:v>
      </x:c>
      <x:c r="F352" s="18" t="str">
        <x:v>AHbz</x:v>
      </x:c>
      <x:c r="G352" s="48" t="str">
        <x:v>1/—/—/—</x:v>
      </x:c>
      <x:c r="H352" s="48" t="str">
        <x:v>—/—/—/—</x:v>
      </x:c>
      <x:c r="I352" s="48" t="str">
        <x:v>1/—/—/—</x:v>
      </x:c>
      <x:c r="J352" s="48" t="str">
        <x:v>—/—/—/—</x:v>
      </x:c>
      <x:c r="K352" s="48" t="str">
        <x:v>—/—/—/—</x:v>
      </x:c>
      <x:c r="L352" s="48" t="str">
        <x:v>—/—/—/—</x:v>
      </x:c>
      <x:c r="M352" s="48" t="str">
        <x:v>—/—/—/—</x:v>
      </x:c>
      <x:c r="N352" s="48" t="str">
        <x:v>—/—/—/—</x:v>
      </x:c>
      <x:c r="O352" s="48" t="str">
        <x:v>—/—/—/—</x:v>
      </x:c>
      <x:c r="P352" s="48" t="str">
        <x:v>—/—/—/—</x:v>
      </x:c>
      <x:c r="Q352" s="48" t="str">
        <x:v>—/—/—/—</x:v>
      </x:c>
      <x:c r="R352" s="48" t="str">
        <x:v>—/—/—/—</x:v>
      </x:c>
      <x:c r="S352" s="48" t="str">
        <x:v>4 / 12 / 1 / 5 / 10 / 100 / 2 / 20 / 3 / 15 / 30 / 40 / 35</x:v>
      </x:c>
      <x:c r="T352" s="48" t="str">
        <x:v>“—”表示 6.48b 对象表该级字段为空；脚本型技能需结合证据说明与来源冲突表。</x:v>
      </x:c>
    </x:row>
    <x:row r="353" ht="34" customHeight="1">
      <x:c r="A353" s="18" t="str">
        <x:v>E01A-4</x:v>
      </x:c>
      <x:c r="B353" s="18" t="str">
        <x:v>巫医</x:v>
      </x:c>
      <x:c r="C353" s="18" t="str">
        <x:v>Witch Doctor</x:v>
      </x:c>
      <x:c r="D353" s="18" t="str">
        <x:v>Death Ward</x:v>
      </x:c>
      <x:c r="E353" s="18" t="str">
        <x:v>A0NT</x:v>
      </x:c>
      <x:c r="F353" s="18" t="str">
        <x:v>ANto</x:v>
      </x:c>
      <x:c r="G353" s="48" t="str">
        <x:v>—/—/—</x:v>
      </x:c>
      <x:c r="H353" s="48" t="str">
        <x:v>—/—/—</x:v>
      </x:c>
      <x:c r="I353" s="48" t="str">
        <x:v>—/—/—</x:v>
      </x:c>
      <x:c r="J353" s="48" t="str">
        <x:v>—/—/—</x:v>
      </x:c>
      <x:c r="K353" s="48" t="str">
        <x:v>—/—/—</x:v>
      </x:c>
      <x:c r="L353" s="48" t="str">
        <x:v>—/—/—</x:v>
      </x:c>
      <x:c r="M353" s="48" t="str">
        <x:v>—/—/—</x:v>
      </x:c>
      <x:c r="N353" s="48" t="str">
        <x:v>—/—/—</x:v>
      </x:c>
      <x:c r="O353" s="48" t="str">
        <x:v>—/—/—</x:v>
      </x:c>
      <x:c r="P353" s="48" t="str">
        <x:v>o000/o001/o00A</x:v>
      </x:c>
      <x:c r="Q353" s="48" t="str">
        <x:v>B06P/B06P/B06P</x:v>
      </x:c>
      <x:c r="R353" s="48" t="str">
        <x:v>—/—/—</x:v>
      </x:c>
      <x:c r="S353" s="48" t="str">
        <x:v>1 / 60 / 2 / 90 / 3 / 120</x:v>
      </x:c>
      <x:c r="T353" s="48" t="str">
        <x:v>“—”表示 6.48b 对象表该级字段为空；脚本型技能需结合证据说明与来源冲突表。</x:v>
      </x:c>
    </x:row>
    <x:row r="354" ht="34" customHeight="1">
      <x:c r="A354" s="18" t="str">
        <x:v>E01B-1</x:v>
      </x:c>
      <x:c r="B354" s="18" t="str">
        <x:v>幽鬼</x:v>
      </x:c>
      <x:c r="C354" s="18" t="str">
        <x:v>Spectre</x:v>
      </x:c>
      <x:c r="D354" s="18" t="str">
        <x:v>Desolate</x:v>
      </x:c>
      <x:c r="E354" s="18" t="str">
        <x:v>A0FX</x:v>
      </x:c>
      <x:c r="F354" s="18" t="str">
        <x:v>AEev</x:v>
      </x:c>
      <x:c r="G354" s="48" t="str">
        <x:v>—/—/—/—</x:v>
      </x:c>
      <x:c r="H354" s="48" t="str">
        <x:v>—/—/—/—</x:v>
      </x:c>
      <x:c r="I354" s="48" t="str">
        <x:v>—/—/—/—</x:v>
      </x:c>
      <x:c r="J354" s="48" t="str">
        <x:v>—/—/—/—</x:v>
      </x:c>
      <x:c r="K354" s="48" t="str">
        <x:v>—/—/—/—</x:v>
      </x:c>
      <x:c r="L354" s="48" t="str">
        <x:v>—/—/—/—</x:v>
      </x:c>
      <x:c r="M354" s="48" t="str">
        <x:v>—/—/—/—</x:v>
      </x:c>
      <x:c r="N354" s="48" t="str">
        <x:v>—/—/—/—</x:v>
      </x:c>
      <x:c r="O354" s="48" t="str">
        <x:v>—/—/—/—</x:v>
      </x:c>
      <x:c r="P354" s="48" t="str">
        <x:v>—/—/—/—</x:v>
      </x:c>
      <x:c r="Q354" s="48" t="str">
        <x:v>—/—/—/—</x:v>
      </x:c>
      <x:c r="R354" s="48" t="str">
        <x:v>—/—/—/—</x:v>
      </x:c>
      <x:c r="S354" s="48" t="str">
        <x:v>1 / 15 / 2 / 25 / 3 / 35 / 4 / 45</x:v>
      </x:c>
      <x:c r="T354" s="48" t="str">
        <x:v>“—”表示 6.48b 对象表该级字段为空；脚本型技能需结合证据说明与来源冲突表。</x:v>
      </x:c>
    </x:row>
    <x:row r="355" ht="34" customHeight="1">
      <x:c r="A355" s="18" t="str">
        <x:v>E01B-2</x:v>
      </x:c>
      <x:c r="B355" s="18" t="str">
        <x:v>幽鬼</x:v>
      </x:c>
      <x:c r="C355" s="18" t="str">
        <x:v>Spectre</x:v>
      </x:c>
      <x:c r="D355" s="18" t="str">
        <x:v>Haunt</x:v>
      </x:c>
      <x:c r="E355" s="18" t="str">
        <x:v>A0H9</x:v>
      </x:c>
      <x:c r="F355" s="18" t="str">
        <x:v>ANcl</x:v>
      </x:c>
      <x:c r="G355" s="48" t="str">
        <x:v>—/—/—</x:v>
      </x:c>
      <x:c r="H355" s="48" t="str">
        <x:v>—/—/—</x:v>
      </x:c>
      <x:c r="I355" s="48" t="str">
        <x:v>1/1/1</x:v>
      </x:c>
      <x:c r="J355" s="48" t="str">
        <x:v>0.98/0.98/0.98</x:v>
      </x:c>
      <x:c r="K355" s="48" t="str">
        <x:v>—/—/—</x:v>
      </x:c>
      <x:c r="L355" s="48" t="str">
        <x:v>ancestralspirit/ancestralspirit/ancestralspirit</x:v>
      </x:c>
      <x:c r="M355" s="48" t="str">
        <x:v>—/—/—</x:v>
      </x:c>
      <x:c r="N355" s="48" t="str">
        <x:v>—/—/—</x:v>
      </x:c>
      <x:c r="O355" s="48" t="str">
        <x:v>—/—/—</x:v>
      </x:c>
      <x:c r="P355" s="48" t="str">
        <x:v>—/—/—</x:v>
      </x:c>
      <x:c r="Q355" s="48" t="str">
        <x:v>—/—/—</x:v>
      </x:c>
      <x:c r="R355" s="48" t="str">
        <x:v>—/—/—</x:v>
      </x:c>
      <x:c r="S355" s="48" t="str">
        <x:v>200% / 50% / 1 / 4 / 2 / 5 / 3 / 6 / 150 / 120 / 90</x:v>
      </x:c>
      <x:c r="T355" s="48" t="str">
        <x:v>“—”表示 6.48b 对象表该级字段为空；脚本型技能需结合证据说明与来源冲突表。</x:v>
      </x:c>
    </x:row>
    <x:row r="356" ht="34" customHeight="1">
      <x:c r="A356" s="18" t="str">
        <x:v>E01B-3</x:v>
      </x:c>
      <x:c r="B356" s="18" t="str">
        <x:v>幽鬼</x:v>
      </x:c>
      <x:c r="C356" s="18" t="str">
        <x:v>Spectre</x:v>
      </x:c>
      <x:c r="D356" s="18" t="str">
        <x:v>Dispersion</x:v>
      </x:c>
      <x:c r="E356" s="18" t="str">
        <x:v>A0NA</x:v>
      </x:c>
      <x:c r="F356" s="18" t="str">
        <x:v>AEev</x:v>
      </x:c>
      <x:c r="G356" s="48" t="str">
        <x:v>—/—/—/—</x:v>
      </x:c>
      <x:c r="H356" s="48" t="str">
        <x:v>—/—/—/—</x:v>
      </x:c>
      <x:c r="I356" s="48" t="str">
        <x:v>—/—/—/—</x:v>
      </x:c>
      <x:c r="J356" s="48" t="str">
        <x:v>—/—/—/—</x:v>
      </x:c>
      <x:c r="K356" s="48" t="str">
        <x:v>—/—/—/—</x:v>
      </x:c>
      <x:c r="L356" s="48" t="str">
        <x:v>—/—/—/—</x:v>
      </x:c>
      <x:c r="M356" s="48" t="str">
        <x:v>—/—/—/—</x:v>
      </x:c>
      <x:c r="N356" s="48" t="str">
        <x:v>—/—/—/—</x:v>
      </x:c>
      <x:c r="O356" s="48" t="str">
        <x:v>—/—/—/—</x:v>
      </x:c>
      <x:c r="P356" s="48" t="str">
        <x:v>—/—/—/—</x:v>
      </x:c>
      <x:c r="Q356" s="48" t="str">
        <x:v>—/—/—/—</x:v>
      </x:c>
      <x:c r="R356" s="48" t="str">
        <x:v>—/—/—/—</x:v>
      </x:c>
      <x:c r="S356" s="48" t="str">
        <x:v>4% / 8% / 12% / 16% / 400 / 1 / 2 / 3 / 4</x:v>
      </x:c>
      <x:c r="T356" s="48" t="str">
        <x:v>“—”表示 6.48b 对象表该级字段为空；脚本型技能需结合证据说明与来源冲突表。</x:v>
      </x:c>
    </x:row>
    <x:row r="357" ht="34" customHeight="1">
      <x:c r="A357" s="18" t="str">
        <x:v>E01B-4</x:v>
      </x:c>
      <x:c r="B357" s="18" t="str">
        <x:v>幽鬼</x:v>
      </x:c>
      <x:c r="C357" s="18" t="str">
        <x:v>Spectre</x:v>
      </x:c>
      <x:c r="D357" s="18" t="str">
        <x:v>Spectral Dagger</x:v>
      </x:c>
      <x:c r="E357" s="18" t="str">
        <x:v>A0HW</x:v>
      </x:c>
      <x:c r="F357" s="18" t="str">
        <x:v>ANcl</x:v>
      </x:c>
      <x:c r="G357" s="48" t="str">
        <x:v>—/—/—/—</x:v>
      </x:c>
      <x:c r="H357" s="48" t="str">
        <x:v>3/3/3/3</x:v>
      </x:c>
      <x:c r="I357" s="48" t="str">
        <x:v>1/1/1/1</x:v>
      </x:c>
      <x:c r="J357" s="48" t="str">
        <x:v>0.5/0.5/0.5/0.5</x:v>
      </x:c>
      <x:c r="K357" s="48" t="str">
        <x:v>—/—/—/—</x:v>
      </x:c>
      <x:c r="L357" s="48" t="str">
        <x:v>acidbomb/acidbomb/acidbomb/acidbomb</x:v>
      </x:c>
      <x:c r="M357" s="48" t="str">
        <x:v>—/—/—/—</x:v>
      </x:c>
      <x:c r="N357" s="48" t="str">
        <x:v>—/—/—/—</x:v>
      </x:c>
      <x:c r="O357" s="48" t="str">
        <x:v>—/—/—/—</x:v>
      </x:c>
      <x:c r="P357" s="48" t="str">
        <x:v>—/—/—/—</x:v>
      </x:c>
      <x:c r="Q357" s="48" t="str">
        <x:v>—/—/—/—</x:v>
      </x:c>
      <x:c r="R357" s="48" t="str">
        <x:v>—/—/—/—</x:v>
      </x:c>
      <x:c r="S357" s="48" t="str">
        <x:v>1 / 5% / 50 / 2 / 9% / 100 / 3 / 14% / 150 / 4 / 18% / 200 / 25</x:v>
      </x:c>
      <x:c r="T357" s="48" t="str">
        <x:v>“—”表示 6.48b 对象表该级字段为空；脚本型技能需结合证据说明与来源冲突表。</x:v>
      </x:c>
    </x:row>
  </x:sheetData>
  <x:pageMargins left="0.7" right="0.7" top="0.75" bottom="0.75" header="0.3" footer="0.3"/>
  <x:tableParts count="1">
    <x:tablePart xmlns:r="http://schemas.openxmlformats.org/officeDocument/2006/relationships" r:id="Rae682bb5fda447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5" max="5" width="22" hidden="0" customWidth="1"/>
    <x:col min="9" max="9" width="22" hidden="0" customWidth="1"/>
    <x:col min="13" max="13" width="22" hidden="0" customWidth="1"/>
    <x:col min="2" max="2" width="11" hidden="0" customWidth="1"/>
    <x:col min="3" max="3" width="11" hidden="0" customWidth="1"/>
    <x:col min="6" max="6" width="11" hidden="0" customWidth="1"/>
    <x:col min="7" max="7" width="11" hidden="0" customWidth="1"/>
    <x:col min="10" max="10" width="11" hidden="0" customWidth="1"/>
    <x:col min="11" max="11" width="11" hidden="0" customWidth="1"/>
    <x:col min="14" max="14" width="11" hidden="0" customWidth="1"/>
    <x:col min="15" max="15" width="11" hidden="0" customWidth="1"/>
  </x:cols>
  <x:sheetData>
    <x:row r="1">
      <x:c r="A1" s="10" t="str">
        <x:v>技能分类统计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2"/>
    </x:row>
    <x:row r="2">
      <x:c r="A2" s="13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14"/>
    </x:row>
    <x:row r="3">
      <x:c r="A3" s="15" t="str">
        <x:v>统计均由公式引用“英雄技能总表”，修改主表分类后会随 Excel 重算更新。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7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34" customHeight="1">
      <x:c r="A5" s="39" t="str">
        <x:v>主分类</x:v>
      </x:c>
      <x:c r="B5" s="39" t="str">
        <x:v>数量</x:v>
      </x:c>
      <x:c r="C5" s="39" t="str">
        <x:v>占比</x:v>
      </x:c>
      <x:c r="D5" s="2"/>
      <x:c r="E5" s="39" t="str">
        <x:v>施放形态</x:v>
      </x:c>
      <x:c r="F5" s="39" t="str">
        <x:v>数量</x:v>
      </x:c>
      <x:c r="G5" s="39" t="str">
        <x:v>占比</x:v>
      </x:c>
      <x:c r="H5" s="2"/>
      <x:c r="I5" s="39" t="str">
        <x:v>目标方式</x:v>
      </x:c>
      <x:c r="J5" s="39" t="str">
        <x:v>数量</x:v>
      </x:c>
      <x:c r="K5" s="39" t="str">
        <x:v>占比</x:v>
      </x:c>
      <x:c r="L5" s="2"/>
      <x:c r="M5" s="39" t="str">
        <x:v>主属性</x:v>
      </x:c>
      <x:c r="N5" s="39" t="str">
        <x:v>英雄数</x:v>
      </x:c>
      <x:c r="O5" s="39" t="str">
        <x:v>占比</x:v>
      </x:c>
      <x:c r="P5" s="2"/>
      <x:c r="Q5" s="2"/>
    </x:row>
    <x:row r="6">
      <x:c r="A6" s="18" t="str">
        <x:v>变身/形态</x:v>
      </x:c>
      <x:c r="B6" s="18" t="n">
        <x:f>COUNTIF('英雄技能总表'!$S$2:$S$357,A6)</x:f>
        <x:v>3</x:v>
      </x:c>
      <x:c r="C6" s="40" t="n">
        <x:f>B6/COUNTA('英雄技能总表'!$A$2:$A$357)</x:f>
        <x:v>0.008426966292134831</x:v>
      </x:c>
      <x:c r="D6" s="2"/>
      <x:c r="E6" s="18" t="str">
        <x:v>被动</x:v>
      </x:c>
      <x:c r="F6" s="18" t="n">
        <x:f>COUNTIF('英雄技能总表'!$Q$2:$Q$357,E6)</x:f>
        <x:v>48</x:v>
      </x:c>
      <x:c r="G6" s="40" t="n">
        <x:f>F6/COUNTA('英雄技能总表'!$A$2:$A$357)</x:f>
        <x:v>0.1348314606741573</x:v>
      </x:c>
      <x:c r="H6" s="2"/>
      <x:c r="I6" s="18" t="str">
        <x:v>—</x:v>
      </x:c>
      <x:c r="J6" s="18" t="n">
        <x:f>COUNTIF('英雄技能总表'!$R$2:$R$357,I6)</x:f>
        <x:v>19</x:v>
      </x:c>
      <x:c r="K6" s="40" t="n">
        <x:f>J6/COUNTA('英雄技能总表'!$A$2:$A$357)</x:f>
        <x:v>0.05337078651685393</x:v>
      </x:c>
      <x:c r="L6" s="2"/>
      <x:c r="M6" s="18" t="str">
        <x:v>STR</x:v>
      </x:c>
      <x:c r="N6" s="18" t="n">
        <x:f>COUNTIF('英雄覆盖'!$I$2:$I$90,M6)</x:f>
        <x:v>27</x:v>
      </x:c>
      <x:c r="O6" s="40" t="n">
        <x:f>N6/COUNTA('英雄覆盖'!$G$2:$G$90)</x:f>
        <x:v>0.30337078651685395</x:v>
      </x:c>
      <x:c r="P6" s="2"/>
      <x:c r="Q6" s="2"/>
    </x:row>
    <x:row r="7">
      <x:c r="A7" s="18" t="str">
        <x:v>防御/生存</x:v>
      </x:c>
      <x:c r="B7" s="18" t="n">
        <x:f>COUNTIF('英雄技能总表'!$S$2:$S$357,A7)</x:f>
        <x:v>23</x:v>
      </x:c>
      <x:c r="C7" s="40" t="n">
        <x:f>B7/COUNTA('英雄技能总表'!$A$2:$A$357)</x:f>
        <x:v>0.06460674157303371</x:v>
      </x:c>
      <x:c r="D7" s="2"/>
      <x:c r="E7" s="18" t="str">
        <x:v>被动/脚本触发</x:v>
      </x:c>
      <x:c r="F7" s="18" t="n">
        <x:f>COUNTIF('英雄技能总表'!$Q$2:$Q$357,E7)</x:f>
        <x:v>30</x:v>
      </x:c>
      <x:c r="G7" s="40" t="n">
        <x:f>F7/COUNTA('英雄技能总表'!$A$2:$A$357)</x:f>
        <x:v>0.08426966292134831</x:v>
      </x:c>
      <x:c r="H7" s="2"/>
      <x:c r="I7" s="18" t="str">
        <x:v>被动</x:v>
      </x:c>
      <x:c r="J7" s="18" t="n">
        <x:f>COUNTIF('英雄技能总表'!$R$2:$R$357,I7)</x:f>
        <x:v>78</x:v>
      </x:c>
      <x:c r="K7" s="40" t="n">
        <x:f>J7/COUNTA('英雄技能总表'!$A$2:$A$357)</x:f>
        <x:v>0.21910112359550563</x:v>
      </x:c>
      <x:c r="L7" s="2"/>
      <x:c r="M7" s="18" t="str">
        <x:v>AGI</x:v>
      </x:c>
      <x:c r="N7" s="18" t="n">
        <x:f>COUNTIF('英雄覆盖'!$I$2:$I$90,M7)</x:f>
        <x:v>31</x:v>
      </x:c>
      <x:c r="O7" s="40" t="n">
        <x:f>N7/COUNTA('英雄覆盖'!$G$2:$G$90)</x:f>
        <x:v>0.34831460674157305</x:v>
      </x:c>
      <x:c r="P7" s="2"/>
      <x:c r="Q7" s="2"/>
    </x:row>
    <x:row r="8">
      <x:c r="A8" s="18" t="str">
        <x:v>复活/死亡</x:v>
      </x:c>
      <x:c r="B8" s="18" t="n">
        <x:f>COUNTIF('英雄技能总表'!$S$2:$S$357,A8)</x:f>
        <x:v>1</x:v>
      </x:c>
      <x:c r="C8" s="40" t="n">
        <x:f>B8/COUNTA('英雄技能总表'!$A$2:$A$357)</x:f>
        <x:v>0.0028089887640449437</x:v>
      </x:c>
      <x:c r="D8" s="2"/>
      <x:c r="E8" s="18" t="str">
        <x:v>开关/自动施放</x:v>
      </x:c>
      <x:c r="F8" s="18" t="n">
        <x:f>COUNTIF('英雄技能总表'!$Q$2:$Q$357,E8)</x:f>
        <x:v>28</x:v>
      </x:c>
      <x:c r="G8" s="40" t="n">
        <x:f>F8/COUNTA('英雄技能总表'!$A$2:$A$357)</x:f>
        <x:v>0.07865168539325842</x:v>
      </x:c>
      <x:c r="H8" s="2"/>
      <x:c r="I8" s="18" t="str">
        <x:v>单位目标</x:v>
      </x:c>
      <x:c r="J8" s="18" t="n">
        <x:f>COUNTIF('英雄技能总表'!$R$2:$R$357,I8)</x:f>
        <x:v>64</x:v>
      </x:c>
      <x:c r="K8" s="40" t="n">
        <x:f>J8/COUNTA('英雄技能总表'!$A$2:$A$357)</x:f>
        <x:v>0.1797752808988764</x:v>
      </x:c>
      <x:c r="L8" s="2"/>
      <x:c r="M8" s="18" t="str">
        <x:v>INT</x:v>
      </x:c>
      <x:c r="N8" s="18" t="n">
        <x:f>COUNTIF('英雄覆盖'!$I$2:$I$90,M8)</x:f>
        <x:v>31</x:v>
      </x:c>
      <x:c r="O8" s="40" t="n">
        <x:f>N8/COUNTA('英雄覆盖'!$G$2:$G$90)</x:f>
        <x:v>0.34831460674157305</x:v>
      </x:c>
      <x:c r="P8" s="2"/>
      <x:c r="Q8" s="2"/>
    </x:row>
    <x:row r="9">
      <x:c r="A9" s="18" t="str">
        <x:v>功能/特殊</x:v>
      </x:c>
      <x:c r="B9" s="18" t="n">
        <x:f>COUNTIF('英雄技能总表'!$S$2:$S$357,A9)</x:f>
        <x:v>11</x:v>
      </x:c>
      <x:c r="C9" s="40" t="n">
        <x:f>B9/COUNTA('英雄技能总表'!$A$2:$A$357)</x:f>
        <x:v>0.03089887640449438</x:v>
      </x:c>
      <x:c r="D9" s="2"/>
      <x:c r="E9" s="18" t="str">
        <x:v>主动</x:v>
      </x:c>
      <x:c r="F9" s="18" t="n">
        <x:f>COUNTIF('英雄技能总表'!$Q$2:$Q$357,E9)</x:f>
        <x:v>250</x:v>
      </x:c>
      <x:c r="G9" s="40" t="n">
        <x:f>F9/COUNTA('英雄技能总表'!$A$2:$A$357)</x:f>
        <x:v>0.702247191011236</x:v>
      </x:c>
      <x:c r="H9" s="2"/>
      <x:c r="I9" s="18" t="str">
        <x:v>点目标/区域</x:v>
      </x:c>
      <x:c r="J9" s="18" t="n">
        <x:f>COUNTIF('英雄技能总表'!$R$2:$R$357,I9)</x:f>
        <x:v>7</x:v>
      </x:c>
      <x:c r="K9" s="40" t="n">
        <x:f>J9/COUNTA('英雄技能总表'!$A$2:$A$357)</x:f>
        <x:v>0.019662921348314606</x:v>
      </x:c>
      <x:c r="L9" s="2"/>
      <x:c r="M9" s="2"/>
      <x:c r="N9" s="2"/>
      <x:c r="O9" s="2"/>
      <x:c r="P9" s="2"/>
      <x:c r="Q9" s="2"/>
    </x:row>
    <x:row r="10">
      <x:c r="A10" s="18" t="str">
        <x:v>强化</x:v>
      </x:c>
      <x:c r="B10" s="18" t="n">
        <x:f>COUNTIF('英雄技能总表'!$S$2:$S$357,A10)</x:f>
        <x:v>43</x:v>
      </x:c>
      <x:c r="C10" s="40" t="n">
        <x:f>B10/COUNTA('英雄技能总表'!$A$2:$A$357)</x:f>
        <x:v>0.12078651685393259</x:v>
      </x:c>
      <x:c r="D10" s="2"/>
      <x:c r="E10" s="2"/>
      <x:c r="F10" s="2"/>
      <x:c r="G10" s="2"/>
      <x:c r="H10" s="2"/>
      <x:c r="I10" s="18" t="str">
        <x:v>无目标/范围</x:v>
      </x:c>
      <x:c r="J10" s="18" t="n">
        <x:f>COUNTIF('英雄技能总表'!$R$2:$R$357,I10)</x:f>
        <x:v>47</x:v>
      </x:c>
      <x:c r="K10" s="40" t="n">
        <x:f>J10/COUNTA('英雄技能总表'!$A$2:$A$357)</x:f>
        <x:v>0.13202247191011235</x:v>
      </x:c>
      <x:c r="L10" s="2"/>
      <x:c r="M10" s="2"/>
      <x:c r="N10" s="2"/>
      <x:c r="O10" s="2"/>
      <x:c r="P10" s="2"/>
      <x:c r="Q10" s="2"/>
    </x:row>
    <x:row r="11">
      <x:c r="A11" s="18" t="str">
        <x:v>软控</x:v>
      </x:c>
      <x:c r="B11" s="18" t="n">
        <x:f>COUNTIF('英雄技能总表'!$S$2:$S$357,A11)</x:f>
        <x:v>66</x:v>
      </x:c>
      <x:c r="C11" s="40" t="n">
        <x:f>B11/COUNTA('英雄技能总表'!$A$2:$A$357)</x:f>
        <x:v>0.1853932584269663</x:v>
      </x:c>
      <x:c r="D11" s="2"/>
      <x:c r="E11" s="2"/>
      <x:c r="F11" s="2"/>
      <x:c r="G11" s="2"/>
      <x:c r="H11" s="2"/>
      <x:c r="I11" s="18" t="str">
        <x:v>无目标或脚本目标</x:v>
      </x:c>
      <x:c r="J11" s="18" t="n">
        <x:f>COUNTIF('英雄技能总表'!$R$2:$R$357,I11)</x:f>
        <x:v>141</x:v>
      </x:c>
      <x:c r="K11" s="40" t="n">
        <x:f>J11/COUNTA('英雄技能总表'!$A$2:$A$357)</x:f>
        <x:v>0.3960674157303371</x:v>
      </x:c>
      <x:c r="L11" s="2"/>
      <x:c r="M11" s="2"/>
      <x:c r="N11" s="2"/>
      <x:c r="O11" s="2"/>
      <x:c r="P11" s="2"/>
      <x:c r="Q11" s="2"/>
    </x:row>
    <x:row r="12">
      <x:c r="A12" s="18" t="str">
        <x:v>伤害</x:v>
      </x:c>
      <x:c r="B12" s="18" t="n">
        <x:f>COUNTIF('英雄技能总表'!$S$2:$S$357,A12)</x:f>
        <x:v>62</x:v>
      </x:c>
      <x:c r="C12" s="40" t="n">
        <x:f>B12/COUNTA('英雄技能总表'!$A$2:$A$357)</x:f>
        <x:v>0.17415730337078653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18" t="str">
        <x:v>视野/侦察</x:v>
      </x:c>
      <x:c r="B13" s="18" t="n">
        <x:f>COUNTIF('英雄技能总表'!$S$2:$S$357,A13)</x:f>
        <x:v>1</x:v>
      </x:c>
      <x:c r="C13" s="40" t="n">
        <x:f>B13/COUNTA('英雄技能总表'!$A$2:$A$357)</x:f>
        <x:v>0.0028089887640449437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18" t="str">
        <x:v>位移</x:v>
      </x:c>
      <x:c r="B14" s="18" t="n">
        <x:f>COUNTIF('英雄技能总表'!$S$2:$S$357,A14)</x:f>
        <x:v>15</x:v>
      </x:c>
      <x:c r="C14" s="40" t="n">
        <x:f>B14/COUNTA('英雄技能总表'!$A$2:$A$357)</x:f>
        <x:v>0.042134831460674156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18" t="str">
        <x:v>削弱</x:v>
      </x:c>
      <x:c r="B15" s="18" t="n">
        <x:f>COUNTIF('英雄技能总表'!$S$2:$S$357,A15)</x:f>
        <x:v>3</x:v>
      </x:c>
      <x:c r="C15" s="40" t="n">
        <x:f>B15/COUNTA('英雄技能总表'!$A$2:$A$357)</x:f>
        <x:v>0.008426966292134831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18" t="str">
        <x:v>硬控</x:v>
      </x:c>
      <x:c r="B16" s="18" t="n">
        <x:f>COUNTIF('英雄技能总表'!$S$2:$S$357,A16)</x:f>
        <x:v>33</x:v>
      </x:c>
      <x:c r="C16" s="40" t="n">
        <x:f>B16/COUNTA('英雄技能总表'!$A$2:$A$357)</x:f>
        <x:v>0.09269662921348315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18" t="str">
        <x:v>召唤</x:v>
      </x:c>
      <x:c r="B17" s="18" t="n">
        <x:f>COUNTIF('英雄技能总表'!$S$2:$S$357,A17)</x:f>
        <x:v>52</x:v>
      </x:c>
      <x:c r="C17" s="40" t="n">
        <x:f>B17/COUNTA('英雄技能总表'!$A$2:$A$357)</x:f>
        <x:v>0.14606741573033707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18" t="str">
        <x:v>治疗/回复</x:v>
      </x:c>
      <x:c r="B18" s="18" t="n">
        <x:f>COUNTIF('英雄技能总表'!$S$2:$S$357,A18)</x:f>
        <x:v>27</x:v>
      </x:c>
      <x:c r="C18" s="40" t="n">
        <x:f>B18/COUNTA('英雄技能总表'!$A$2:$A$357)</x:f>
        <x:v>0.07584269662921349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18" t="str">
        <x:v>资源机制</x:v>
      </x:c>
      <x:c r="B19" s="18" t="n">
        <x:f>COUNTIF('英雄技能总表'!$S$2:$S$357,A19)</x:f>
        <x:v>16</x:v>
      </x:c>
      <x:c r="C19" s="40" t="n">
        <x:f>B19/COUNTA('英雄技能总表'!$A$2:$A$357)</x:f>
        <x:v>0.0449438202247191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</x:sheetData>
  <x:mergeCells>
    <x:mergeCell ref="A1:Q2"/>
    <x:mergeCell ref="A3:Q3"/>
  </x:mergeCells>
  <x:pageMargins left="0.7" right="0.7" top="0.75" bottom="0.75" header="0.3" footer="0.3"/>
  <x:drawing xmlns:r="http://schemas.openxmlformats.org/officeDocument/2006/relationships" r:id="Rec9971ade85f42ca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4" hidden="0" customWidth="1"/>
    <x:col min="4" max="4" width="30" hidden="0" customWidth="1"/>
    <x:col min="5" max="5" width="10" hidden="0" customWidth="1"/>
    <x:col min="6" max="6" width="52" hidden="0" customWidth="1"/>
    <x:col min="7" max="7" width="10" hidden="0" customWidth="1"/>
    <x:col min="8" max="8" width="44" hidden="0" customWidth="1"/>
  </x:cols>
  <x:sheetData>
    <x:row r="1">
      <x:c r="A1" s="10" t="str">
        <x:v>全英雄通用技能</x:v>
      </x:c>
      <x:c r="B1" s="11"/>
      <x:c r="C1" s="11"/>
      <x:c r="D1" s="11"/>
      <x:c r="E1" s="11"/>
      <x:c r="F1" s="11"/>
      <x:c r="G1" s="11"/>
      <x:c r="H1" s="12"/>
    </x:row>
    <x:row r="2">
      <x:c r="A2" s="13"/>
      <x:c r="B2" s="6"/>
      <x:c r="C2" s="6"/>
      <x:c r="D2" s="6"/>
      <x:c r="E2" s="6"/>
      <x:c r="F2" s="6"/>
      <x:c r="G2" s="6"/>
      <x:c r="H2" s="14"/>
    </x:row>
    <x:row r="3">
      <x:c r="A3" s="15" t="str">
        <x:v>主表不按 89 名英雄重复列“属性附加”，避免把同一通用机制误计为 89 个独立技能。</x:v>
      </x:c>
      <x:c r="B3" s="16"/>
      <x:c r="C3" s="16"/>
      <x:c r="D3" s="16"/>
      <x:c r="E3" s="16"/>
      <x:c r="F3" s="16"/>
      <x:c r="G3" s="16"/>
      <x:c r="H3" s="17"/>
    </x:row>
    <x:row r="4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39" t="str">
        <x:v>Ability_ID</x:v>
      </x:c>
      <x:c r="B5" s="39" t="str">
        <x:v>技能英文</x:v>
      </x:c>
      <x:c r="C5" s="39" t="str">
        <x:v>技能中文</x:v>
      </x:c>
      <x:c r="D5" s="39" t="str">
        <x:v>适用范围</x:v>
      </x:c>
      <x:c r="E5" s="39" t="str">
        <x:v>最高等级</x:v>
      </x:c>
      <x:c r="F5" s="39" t="str">
        <x:v>效果</x:v>
      </x:c>
      <x:c r="G5" s="39" t="str">
        <x:v>证据等级</x:v>
      </x:c>
      <x:c r="H5" s="39" t="str">
        <x:v>说明</x:v>
      </x:c>
    </x:row>
    <x:row r="6" ht="62" customHeight="1">
      <x:c r="A6" s="53" t="str">
        <x:v>Aamk / A0NR</x:v>
      </x:c>
      <x:c r="B6" s="53" t="str">
        <x:v>Attribute Bonus</x:v>
      </x:c>
      <x:c r="C6" s="53" t="str">
        <x:v>属性附加</x:v>
      </x:c>
      <x:c r="D6" s="53" t="str">
        <x:v>89 名英雄通用（主表按英雄不重复）</x:v>
      </x:c>
      <x:c r="E6" s="53" t="n">
        <x:v>10</x:v>
      </x:c>
      <x:c r="F6" s="53" t="str">
        <x:v>每级永久增加力量、敏捷、智力各 2 点；A0NR 为按钮隐藏变体。</x:v>
      </x:c>
      <x:c r="G6" s="53" t="str">
        <x:v>A</x:v>
      </x:c>
      <x:c r="H6" s="53" t="str">
        <x:v>Aamk 用于多数英雄；A0NR 是 3 名英雄使用的按钮隐藏变体。</x:v>
      </x:c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2"/>
      <x:c r="B8" s="2"/>
      <x:c r="C8" s="2"/>
      <x:c r="D8" s="2"/>
      <x:c r="E8" s="2"/>
      <x:c r="F8" s="2"/>
      <x:c r="G8" s="2"/>
      <x:c r="H8" s="2"/>
    </x:row>
    <x:row r="9">
      <x:c r="A9" s="2"/>
      <x:c r="B9" s="2"/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</x:sheetData>
  <x:mergeCells>
    <x:mergeCell ref="A1:H2"/>
    <x:mergeCell ref="A3:H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58" hidden="0" customWidth="1"/>
    <x:col min="4" max="4" width="18" hidden="0" customWidth="1"/>
    <x:col min="5" max="5" width="28" hidden="0" customWidth="1"/>
    <x:col min="6" max="6" width="24" hidden="0" customWidth="1"/>
  </x:cols>
  <x:sheetData>
    <x:row r="1">
      <x:c r="A1" s="10" t="str">
        <x:v>分类字典与判定口径</x:v>
      </x:c>
      <x:c r="B1" s="11"/>
      <x:c r="C1" s="11"/>
      <x:c r="D1" s="11"/>
      <x:c r="E1" s="11"/>
      <x:c r="F1" s="12"/>
    </x:row>
    <x:row r="2">
      <x:c r="A2" s="13"/>
      <x:c r="B2" s="6"/>
      <x:c r="C2" s="6"/>
      <x:c r="D2" s="6"/>
      <x:c r="E2" s="6"/>
      <x:c r="F2" s="14"/>
    </x:row>
    <x:row r="3">
      <x:c r="A3" s="15" t="str">
        <x:v>分类用于检索与平衡讨论，不替代地图原始技能文本；复合技能可同时拥有多个次级标签。</x:v>
      </x:c>
      <x:c r="B3" s="16"/>
      <x:c r="C3" s="16"/>
      <x:c r="D3" s="16"/>
      <x:c r="E3" s="16"/>
      <x:c r="F3" s="17"/>
    </x:row>
    <x:row r="4">
      <x:c r="A4" s="2"/>
      <x:c r="B4" s="2"/>
      <x:c r="C4" s="2"/>
      <x:c r="D4" s="2"/>
      <x:c r="E4" s="2"/>
      <x:c r="F4" s="2"/>
    </x:row>
    <x:row r="5" ht="34" customHeight="1">
      <x:c r="A5" s="39" t="str">
        <x:v>维度</x:v>
      </x:c>
      <x:c r="B5" s="39" t="str">
        <x:v>分类值</x:v>
      </x:c>
      <x:c r="C5" s="39" t="str">
        <x:v>定义</x:v>
      </x:c>
      <x:c r="D5" s="39" t="str">
        <x:v>补充字段</x:v>
      </x:c>
      <x:c r="E5" s="39" t="str">
        <x:v>示例</x:v>
      </x:c>
      <x:c r="F5" s="39" t="str">
        <x:v>备注</x:v>
      </x:c>
    </x:row>
    <x:row r="6" ht="34" customHeight="1">
      <x:c r="A6" s="54" t="str">
        <x:v>主分类</x:v>
      </x:c>
      <x:c r="B6" s="54" t="str">
        <x:v>伤害</x:v>
      </x:c>
      <x:c r="C6" s="54" t="str">
        <x:v>以直接或持续造成生命损失为主要作用。</x:v>
      </x:c>
      <x:c r="D6" s="54" t="str">
        <x:v>示例标签</x:v>
      </x:c>
      <x:c r="E6" s="54" t="str">
        <x:v>范围效果、持续伤害</x:v>
      </x:c>
      <x:c r="F6" s="54" t="str"/>
    </x:row>
    <x:row r="7" ht="34" customHeight="1">
      <x:c r="A7" s="54" t="str">
        <x:v>主分类</x:v>
      </x:c>
      <x:c r="B7" s="54" t="str">
        <x:v>硬控</x:v>
      </x:c>
      <x:c r="C7" s="54" t="str">
        <x:v>使目标无法正常移动、攻击或施法，如眩晕、变形、睡眠、缠绕。</x:v>
      </x:c>
      <x:c r="D7" s="54" t="str"/>
      <x:c r="E7" s="54" t="str"/>
      <x:c r="F7" s="54" t="str"/>
    </x:row>
    <x:row r="8" ht="34" customHeight="1">
      <x:c r="A8" s="54" t="str">
        <x:v>主分类</x:v>
      </x:c>
      <x:c r="B8" s="54" t="str">
        <x:v>软控</x:v>
      </x:c>
      <x:c r="C8" s="54" t="str">
        <x:v>降低移动/攻击效率或造成沉默、致盲等部分限制。</x:v>
      </x:c>
      <x:c r="D8" s="54" t="str"/>
      <x:c r="E8" s="54" t="str"/>
      <x:c r="F8" s="54" t="str"/>
    </x:row>
    <x:row r="9" ht="34" customHeight="1">
      <x:c r="A9" s="54" t="str">
        <x:v>主分类</x:v>
      </x:c>
      <x:c r="B9" s="54" t="str">
        <x:v>治疗/回复</x:v>
      </x:c>
      <x:c r="C9" s="54" t="str">
        <x:v>恢复生命或持续提高生命回复。</x:v>
      </x:c>
      <x:c r="D9" s="54" t="str"/>
      <x:c r="E9" s="54" t="str"/>
      <x:c r="F9" s="54" t="str"/>
    </x:row>
    <x:row r="10" ht="34" customHeight="1">
      <x:c r="A10" s="54" t="str">
        <x:v>主分类</x:v>
      </x:c>
      <x:c r="B10" s="54" t="str">
        <x:v>防御/生存</x:v>
      </x:c>
      <x:c r="C10" s="54" t="str">
        <x:v>护甲、闪避、免疫、减伤、伤害转移等。</x:v>
      </x:c>
      <x:c r="D10" s="54" t="str"/>
      <x:c r="E10" s="54" t="str"/>
      <x:c r="F10" s="54" t="str"/>
    </x:row>
    <x:row r="11" ht="34" customHeight="1">
      <x:c r="A11" s="54" t="str">
        <x:v>主分类</x:v>
      </x:c>
      <x:c r="B11" s="54" t="str">
        <x:v>召唤</x:v>
      </x:c>
      <x:c r="C11" s="54" t="str">
        <x:v>创造单位、幻象、守卫或可持续存在的召唤体。</x:v>
      </x:c>
      <x:c r="D11" s="54" t="str"/>
      <x:c r="E11" s="54" t="str"/>
      <x:c r="F11" s="54" t="str"/>
    </x:row>
    <x:row r="12" ht="34" customHeight="1">
      <x:c r="A12" s="54" t="str">
        <x:v>主分类</x:v>
      </x:c>
      <x:c r="B12" s="54" t="str">
        <x:v>位移</x:v>
      </x:c>
      <x:c r="C12" s="54" t="str">
        <x:v>闪烁、传送、交换、冲刺等位置改变。</x:v>
      </x:c>
      <x:c r="D12" s="54" t="str"/>
      <x:c r="E12" s="54" t="str"/>
      <x:c r="F12" s="54" t="str"/>
    </x:row>
    <x:row r="13" ht="34" customHeight="1">
      <x:c r="A13" s="54" t="str">
        <x:v>主分类</x:v>
      </x:c>
      <x:c r="B13" s="54" t="str">
        <x:v>强化</x:v>
      </x:c>
      <x:c r="C13" s="54" t="str">
        <x:v>提高自身或友方属性、伤害、速度等。</x:v>
      </x:c>
      <x:c r="D13" s="54" t="str"/>
      <x:c r="E13" s="54" t="str"/>
      <x:c r="F13" s="54" t="str"/>
    </x:row>
    <x:row r="14" ht="34" customHeight="1">
      <x:c r="A14" s="54" t="str">
        <x:v>主分类</x:v>
      </x:c>
      <x:c r="B14" s="54" t="str">
        <x:v>削弱</x:v>
      </x:c>
      <x:c r="C14" s="54" t="str">
        <x:v>降低敌方属性、护甲、伤害或施加持续负面状态。</x:v>
      </x:c>
      <x:c r="D14" s="54" t="str"/>
      <x:c r="E14" s="54" t="str"/>
      <x:c r="F14" s="54" t="str"/>
    </x:row>
    <x:row r="15" ht="34" customHeight="1">
      <x:c r="A15" s="54" t="str">
        <x:v>主分类</x:v>
      </x:c>
      <x:c r="B15" s="54" t="str">
        <x:v>资源机制</x:v>
      </x:c>
      <x:c r="C15" s="54" t="str">
        <x:v>围绕法力、灵魂、经验等资源形成的主要机制。</x:v>
      </x:c>
      <x:c r="D15" s="54" t="str"/>
      <x:c r="E15" s="54" t="str"/>
      <x:c r="F15" s="54" t="str"/>
    </x:row>
    <x:row r="16" ht="34" customHeight="1">
      <x:c r="A16" s="54" t="str">
        <x:v>主分类</x:v>
      </x:c>
      <x:c r="B16" s="54" t="str">
        <x:v>功能/特殊</x:v>
      </x:c>
      <x:c r="C16" s="54" t="str">
        <x:v>不适合归入以上单一主类的规则型、视野型或脚本型技能。</x:v>
      </x:c>
      <x:c r="D16" s="54" t="str"/>
      <x:c r="E16" s="54" t="str"/>
      <x:c r="F16" s="54" t="str"/>
    </x:row>
    <x:row r="17" ht="34" customHeight="1">
      <x:c r="A17" s="54" t="str">
        <x:v>施放形态</x:v>
      </x:c>
      <x:c r="B17" s="54" t="str">
        <x:v>主动</x:v>
      </x:c>
      <x:c r="C17" s="54" t="str">
        <x:v>需要玩家发出施法命令。</x:v>
      </x:c>
      <x:c r="D17" s="54" t="str"/>
      <x:c r="E17" s="54" t="str"/>
      <x:c r="F17" s="54" t="str"/>
    </x:row>
    <x:row r="18" ht="34" customHeight="1">
      <x:c r="A18" s="54" t="str">
        <x:v>施放形态</x:v>
      </x:c>
      <x:c r="B18" s="54" t="str">
        <x:v>被动</x:v>
      </x:c>
      <x:c r="C18" s="54" t="str">
        <x:v>无需施法命令并持续或条件触发。</x:v>
      </x:c>
      <x:c r="D18" s="54" t="str"/>
      <x:c r="E18" s="54" t="str"/>
      <x:c r="F18" s="54" t="str"/>
    </x:row>
    <x:row r="19" ht="34" customHeight="1">
      <x:c r="A19" s="54" t="str">
        <x:v>施放形态</x:v>
      </x:c>
      <x:c r="B19" s="54" t="str">
        <x:v>开关/自动施放</x:v>
      </x:c>
      <x:c r="C19" s="54" t="str">
        <x:v>存在开启/关闭或自动施放指令。</x:v>
      </x:c>
      <x:c r="D19" s="54" t="str"/>
      <x:c r="E19" s="54" t="str"/>
      <x:c r="F19" s="54" t="str"/>
    </x:row>
    <x:row r="20" ht="34" customHeight="1">
      <x:c r="A20" s="54" t="str">
        <x:v>施放形态</x:v>
      </x:c>
      <x:c r="B20" s="54" t="str">
        <x:v>被动/脚本触发</x:v>
      </x:c>
      <x:c r="C20" s="54" t="str">
        <x:v>地图脚本监听事件并执行，未暴露普通施法命令。</x:v>
      </x:c>
      <x:c r="D20" s="54" t="str"/>
      <x:c r="E20" s="54" t="str"/>
      <x:c r="F20" s="54" t="str"/>
    </x:row>
    <x:row r="21" ht="34" customHeight="1">
      <x:c r="A21" s="54" t="str">
        <x:v>目标方式</x:v>
      </x:c>
      <x:c r="B21" s="54" t="str">
        <x:v>单位目标</x:v>
      </x:c>
      <x:c r="C21" s="54" t="str">
        <x:v>以一个单位为显式目标。</x:v>
      </x:c>
      <x:c r="D21" s="54" t="str"/>
      <x:c r="E21" s="54" t="str"/>
      <x:c r="F21" s="54" t="str"/>
    </x:row>
    <x:row r="22" ht="34" customHeight="1">
      <x:c r="A22" s="54" t="str">
        <x:v>目标方式</x:v>
      </x:c>
      <x:c r="B22" s="54" t="str">
        <x:v>点目标/区域</x:v>
      </x:c>
      <x:c r="C22" s="54" t="str">
        <x:v>以地图坐标或选定区域为目标。</x:v>
      </x:c>
      <x:c r="D22" s="54" t="str"/>
      <x:c r="E22" s="54" t="str"/>
      <x:c r="F22" s="54" t="str"/>
    </x:row>
    <x:row r="23" ht="34" customHeight="1">
      <x:c r="A23" s="54" t="str">
        <x:v>目标方式</x:v>
      </x:c>
      <x:c r="B23" s="54" t="str">
        <x:v>无目标/范围</x:v>
      </x:c>
      <x:c r="C23" s="54" t="str">
        <x:v>以施法者为中心或直接影响附近单位。</x:v>
      </x:c>
      <x:c r="D23" s="54" t="str"/>
      <x:c r="E23" s="54" t="str"/>
      <x:c r="F23" s="54" t="str"/>
    </x:row>
    <x:row r="24" ht="34" customHeight="1">
      <x:c r="A24" s="54" t="str">
        <x:v>证据</x:v>
      </x:c>
      <x:c r="B24" s="54" t="str">
        <x:v>A</x:v>
      </x:c>
      <x:c r="C24" s="54" t="str">
        <x:v>直接来自 6.48b 地图数据/脚本。</x:v>
      </x:c>
      <x:c r="D24" s="54" t="str"/>
      <x:c r="E24" s="54" t="str"/>
      <x:c r="F24" s="54" t="str"/>
    </x:row>
    <x:row r="25" ht="34" customHeight="1">
      <x:c r="A25" s="54" t="str">
        <x:v>证据</x:v>
      </x:c>
      <x:c r="B25" s="54" t="str">
        <x:v>B</x:v>
      </x:c>
      <x:c r="C25" s="54" t="str">
        <x:v>版本专属的独立档案或同版本镜像旁证。</x:v>
      </x:c>
      <x:c r="D25" s="54" t="str"/>
      <x:c r="E25" s="54" t="str"/>
      <x:c r="F25" s="54" t="str"/>
    </x:row>
    <x:row r="26" ht="34" customHeight="1">
      <x:c r="A26" s="54" t="str">
        <x:v>证据</x:v>
      </x:c>
      <x:c r="B26" s="54" t="str">
        <x:v>C</x:v>
      </x:c>
      <x:c r="C26" s="54" t="str">
        <x:v>仅用于时代/版本线背景，不用于覆盖逐技能数值。</x:v>
      </x:c>
      <x:c r="D26" s="54" t="str"/>
      <x:c r="E26" s="54" t="str"/>
      <x:c r="F26" s="54" t="str"/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211bb9a2099845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2" hidden="0" customWidth="1"/>
    <x:col min="3" max="3" width="11" hidden="0" customWidth="1"/>
    <x:col min="4" max="4" width="48" hidden="0" customWidth="1"/>
    <x:col min="5" max="5" width="16" hidden="0" customWidth="1"/>
    <x:col min="6" max="6" width="62" hidden="0" customWidth="1"/>
    <x:col min="7" max="7" width="12" hidden="0" customWidth="1"/>
    <x:col min="8" max="8" width="12" hidden="0" customWidth="1"/>
  </x:cols>
  <x:sheetData>
    <x:row r="1">
      <x:c r="A1" s="10" t="str">
        <x:v>来源、提取链与冲突记录</x:v>
      </x:c>
      <x:c r="B1" s="11"/>
      <x:c r="C1" s="11"/>
      <x:c r="D1" s="11"/>
      <x:c r="E1" s="11"/>
      <x:c r="F1" s="11"/>
      <x:c r="G1" s="11"/>
      <x:c r="H1" s="12"/>
    </x:row>
    <x:row r="2">
      <x:c r="A2" s="13"/>
      <x:c r="B2" s="6"/>
      <x:c r="C2" s="6"/>
      <x:c r="D2" s="6"/>
      <x:c r="E2" s="6"/>
      <x:c r="F2" s="6"/>
      <x:c r="G2" s="6"/>
      <x:c r="H2" s="14"/>
    </x:row>
    <x:row r="3">
      <x:c r="A3" s="15" t="str">
        <x:v>原始地图只用于只读研究，不嵌入工作簿，也不随交付件再分发。</x:v>
      </x:c>
      <x:c r="B3" s="16"/>
      <x:c r="C3" s="16"/>
      <x:c r="D3" s="16"/>
      <x:c r="E3" s="16"/>
      <x:c r="F3" s="16"/>
      <x:c r="G3" s="16"/>
      <x:c r="H3" s="17"/>
    </x:row>
    <x:row r="4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39" t="str">
        <x:v>来源编号</x:v>
      </x:c>
      <x:c r="B5" s="39" t="str">
        <x:v>来源</x:v>
      </x:c>
      <x:c r="C5" s="39" t="str">
        <x:v>证据等级</x:v>
      </x:c>
      <x:c r="D5" s="39" t="str">
        <x:v>支持内容</x:v>
      </x:c>
      <x:c r="E5" s="39" t="str">
        <x:v>访问日期</x:v>
      </x:c>
      <x:c r="F5" s="39" t="str">
        <x:v>URL</x:v>
      </x:c>
      <x:c r="G5" s="2"/>
      <x:c r="H5" s="2"/>
    </x:row>
    <x:row r="6" ht="58" customHeight="1">
      <x:c r="A6" s="54" t="str">
        <x:v>S1</x:v>
      </x:c>
      <x:c r="B6" s="54" t="str">
        <x:v>n3k0lai/dota-legacy — DotA Allstars v6.48b.w3x</x:v>
      </x:c>
      <x:c r="C6" s="54" t="str">
        <x:v>A</x:v>
      </x:c>
      <x:c r="D6" s="54" t="str">
        <x:v>地图版本、89 英雄售卖名单、英雄技能绑定、对象数值、技能字符串、脚本辅助核对</x:v>
      </x:c>
      <x:c r="E6" s="54" t="str">
        <x:v>2026-08-22</x:v>
      </x:c>
      <x:c r="F6" s="54" t="str">
        <x:v>https://github.com/n3k0lai/dota-legacy/blob/master/DotA%20Allstars%20v6.48b.w3x</x:v>
      </x:c>
      <x:c r="G6" s="2"/>
      <x:c r="H6" s="2"/>
    </x:row>
    <x:row r="7" ht="58" customHeight="1">
      <x:c r="A7" s="54" t="str">
        <x:v>S2</x:v>
      </x:c>
      <x:c r="B7" s="54" t="str">
        <x:v>EpicWar — DotA Allstars v6.48b AI+ 1.52</x:v>
      </x:c>
      <x:c r="C7" s="54" t="str">
        <x:v>B</x:v>
      </x:c>
      <x:c r="D7" s="54" t="str">
        <x:v>版本名称与 89 unique heroes 的独立档案核对</x:v>
      </x:c>
      <x:c r="E7" s="54" t="str">
        <x:v>2026-08-22</x:v>
      </x:c>
      <x:c r="F7" s="54" t="str">
        <x:v>https://www.epicwar.com/maps/135466/</x:v>
      </x:c>
      <x:c r="G7" s="2"/>
      <x:c r="H7" s="2"/>
    </x:row>
    <x:row r="8" ht="58" customHeight="1">
      <x:c r="A8" s="54" t="str">
        <x:v>S3</x:v>
      </x:c>
      <x:c r="B8" s="54" t="str">
        <x:v>TeamLiquid — DotA 6.48 release discussion</x:v>
      </x:c>
      <x:c r="C8" s="54" t="str">
        <x:v>C</x:v>
      </x:c>
      <x:c r="D8" s="54" t="str">
        <x:v>6.48 版本发布时代背景，仅作版本线旁证，不用于逐技能数值</x:v>
      </x:c>
      <x:c r="E8" s="54" t="str">
        <x:v>2026-08-22</x:v>
      </x:c>
      <x:c r="F8" s="54" t="str">
        <x:v>https://tl.net/forum/games/58534-dota-648-was-just-released</x:v>
      </x:c>
      <x:c r="G8" s="2"/>
      <x:c r="H8" s="2"/>
    </x:row>
    <x:row r="9">
      <x:c r="A9" s="2"/>
      <x:c r="B9" s="2"/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 ht="38" customHeight="1">
      <x:c r="A11" s="55" t="str">
        <x:v>地图文件</x:v>
      </x:c>
      <x:c r="B11" s="48" t="str">
        <x:v>DotA Allstars v6.48b.w3x</x:v>
      </x:c>
      <x:c r="C11" s="2"/>
      <x:c r="D11" s="2"/>
      <x:c r="E11" s="2"/>
      <x:c r="F11" s="2"/>
      <x:c r="G11" s="2"/>
      <x:c r="H11" s="2"/>
    </x:row>
    <x:row r="12" ht="38" customHeight="1">
      <x:c r="A12" s="55" t="str">
        <x:v>字节数</x:v>
      </x:c>
      <x:c r="B12" s="48" t="n">
        <x:v>2479765</x:v>
      </x:c>
      <x:c r="C12" s="2"/>
      <x:c r="D12" s="2"/>
      <x:c r="E12" s="2"/>
      <x:c r="F12" s="2"/>
      <x:c r="G12" s="2"/>
      <x:c r="H12" s="2"/>
    </x:row>
    <x:row r="13" ht="38" customHeight="1">
      <x:c r="A13" s="55" t="str">
        <x:v>SHA-256</x:v>
      </x:c>
      <x:c r="B13" s="48" t="str">
        <x:v>F8F4948CED70D6AAD30D4A812C80CFFBDFEBE9B9532CDC9EDD4C7ECF080582C5</x:v>
      </x:c>
      <x:c r="C13" s="2"/>
      <x:c r="D13" s="2"/>
      <x:c r="E13" s="2"/>
      <x:c r="F13" s="2"/>
      <x:c r="G13" s="2"/>
      <x:c r="H13" s="2"/>
    </x:row>
    <x:row r="14" ht="38" customHeight="1">
      <x:c r="A14" s="55" t="str">
        <x:v>提取链</x:v>
      </x:c>
      <x:c r="B14" s="48" t="str">
        <x:v>W3X → MPQ → UnitAbilities.slk / AbilityData.slk / *AbilityStrings.txt / war3map.w3a / Scripts\war3map.j</x:v>
      </x:c>
      <x:c r="C14" s="2"/>
      <x:c r="D14" s="2"/>
      <x:c r="E14" s="2"/>
      <x:c r="F14" s="2"/>
      <x:c r="G14" s="2"/>
      <x:c r="H14" s="2"/>
    </x:row>
    <x:row r="15" ht="38" customHeight="1">
      <x:c r="A15" s="55" t="str">
        <x:v>覆盖结果</x:v>
      </x:c>
      <x:c r="B15" s="48" t="str">
        <x:v>8 酒馆 / 89 英雄 / 356 专属技能 / 1 通用技能</x:v>
      </x:c>
      <x:c r="C15" s="2"/>
      <x:c r="D15" s="2"/>
      <x:c r="E15" s="2"/>
      <x:c r="F15" s="2"/>
      <x:c r="G15" s="2"/>
      <x:c r="H15" s="2"/>
    </x:row>
    <x:row r="16" ht="38" customHeight="1">
      <x:c r="A16" s="55" t="str">
        <x:v>文本处理</x:v>
      </x:c>
      <x:c r="B16" s="48" t="str">
        <x:v>长篇商业 Tooltip 只用于内部解析，不在交付件中逐条复刻；工作簿提供结构化分类、对象字段、数字索引和来源证据。</x:v>
      </x:c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 ht="34" customHeight="1">
      <x:c r="A18" s="39" t="str">
        <x:v>Ability_ID</x:v>
      </x:c>
      <x:c r="B18" s="39" t="str">
        <x:v>英雄</x:v>
      </x:c>
      <x:c r="C18" s="39" t="str">
        <x:v>技能</x:v>
      </x:c>
      <x:c r="D18" s="39" t="str">
        <x:v>冲突</x:v>
      </x:c>
      <x:c r="E18" s="39" t="str">
        <x:v>处理</x:v>
      </x:c>
      <x:c r="F18" s="2"/>
      <x:c r="G18" s="2"/>
      <x:c r="H18" s="2"/>
    </x:row>
    <x:row r="19" ht="72" customHeight="1">
      <x:c r="A19" s="47" t="str">
        <x:v>A0N5</x:v>
      </x:c>
      <x:c r="B19" s="47" t="str">
        <x:v>Lord of Olympia / Zeus</x:v>
      </x:c>
      <x:c r="C19" s="47" t="str">
        <x:v>Static Field</x:v>
      </x:c>
      <x:c r="D19" s="47" t="str">
        <x:v>6.48b runtime JASS formula evaluates 6/8/10/12% current-health damage, while the surviving level-4 object tooltip states 11%.</x:v>
      </x:c>
      <x:c r="E19" s="47" t="str">
        <x:v>Workbook retains both values and marks the row as a version-source conflict; runtime script is not silently overwritten by the tooltip.</x:v>
      </x:c>
      <x:c r="F19" s="2"/>
      <x:c r="G19" s="2"/>
      <x:c r="H19" s="2"/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3d201d93285b4558"/>
  </x:tableParts>
</x:worksheet>
</file>