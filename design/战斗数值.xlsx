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zhanchengdashi\design\"/>
    </mc:Choice>
  </mc:AlternateContent>
  <bookViews>
    <workbookView windowWidth="28800" windowHeight="12255" activeTab="2"/>
  </bookViews>
  <sheets>
    <sheet name="card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<sst xmlns="http://schemas.openxmlformats.org/spreadsheetml/2006/main" count="1494" uniqueCount="625">
  <si>
    <t>id</t>
  </si>
  <si>
    <t>name</t>
  </si>
  <si>
    <t>rarity</t>
  </si>
  <si>
    <t>tier</t>
  </si>
  <si>
    <t>art_path</t>
  </si>
  <si>
    <t>attack</t>
  </si>
  <si>
    <t>max_hp</t>
  </si>
  <si>
    <t>move_speed</t>
  </si>
  <si>
    <t>attack_range</t>
  </si>
  <si>
    <t>summon_interval_sec</t>
  </si>
  <si>
    <t>skill_id</t>
  </si>
  <si>
    <t>skill_trigger</t>
  </si>
  <si>
    <t>skill_effect</t>
  </si>
  <si>
    <t>skill_power</t>
  </si>
  <si>
    <t>skill_cooldown_sec</t>
  </si>
  <si>
    <t>skill_text</t>
  </si>
  <si>
    <t>tags</t>
  </si>
  <si>
    <t>design_notes</t>
  </si>
  <si>
    <t>mouse</t>
  </si>
  <si>
    <t>老鼠</t>
  </si>
  <si>
    <t>common</t>
  </si>
  <si>
    <t>res://assets/card_art/animals/mouse.png</t>
  </si>
  <si>
    <t>无技能：拥有更高基础属性。</t>
  </si>
  <si>
    <t>tier_1|common|swarm|no_skill</t>
  </si>
  <si>
    <t>老鼠：低成本铺路，适合快速占小格。</t>
  </si>
  <si>
    <t>ant</t>
  </si>
  <si>
    <t>蚂蚁</t>
  </si>
  <si>
    <t>res://assets/card_art/animals/ant.png</t>
  </si>
  <si>
    <t>ant_rally</t>
  </si>
  <si>
    <t>aura</t>
  </si>
  <si>
    <t>buff_attack</t>
  </si>
  <si>
    <t>附近友军攻击+1。</t>
  </si>
  <si>
    <t>tier_1|common|swarm|aura|attack|skill</t>
  </si>
  <si>
    <t>蚂蚁：成群推进型低费单位。</t>
  </si>
  <si>
    <t>sparrow</t>
  </si>
  <si>
    <t>麻雀</t>
  </si>
  <si>
    <t>res://assets/card_art/animals/sparrow.png</t>
  </si>
  <si>
    <t>tier_1|common|scout|no_skill</t>
  </si>
  <si>
    <t>麻雀：最快的基础侦察单位，用来抢中线。</t>
  </si>
  <si>
    <t>frog</t>
  </si>
  <si>
    <t>青蛙</t>
  </si>
  <si>
    <t>res://assets/card_art/animals/frog.png</t>
  </si>
  <si>
    <t>frog_mire</t>
  </si>
  <si>
    <t>on_attack</t>
  </si>
  <si>
    <t>slow</t>
  </si>
  <si>
    <t>攻击有概率让目标减速。</t>
  </si>
  <si>
    <t>tier_1|common|controller|slow|control|skill</t>
  </si>
  <si>
    <t>青蛙：低价控制，伤害偏低。</t>
  </si>
  <si>
    <t>rabbit</t>
  </si>
  <si>
    <t>兔子</t>
  </si>
  <si>
    <t>res://assets/card_art/animals/rabbit.png</t>
  </si>
  <si>
    <t>rabbit_guard</t>
  </si>
  <si>
    <t>on_spawn</t>
  </si>
  <si>
    <t>shield</t>
  </si>
  <si>
    <t>出生时获得护盾。</t>
  </si>
  <si>
    <t>tier_1|common|guard|shield|frontline|skill</t>
  </si>
  <si>
    <t>兔子：便宜前排，保护早期兵营。</t>
  </si>
  <si>
    <t>chicken</t>
  </si>
  <si>
    <t>鸡</t>
  </si>
  <si>
    <t>res://assets/card_art/animals/chicken.png</t>
  </si>
  <si>
    <t>chicken_cheer</t>
  </si>
  <si>
    <t>出生时使最近友军攻击+1。</t>
  </si>
  <si>
    <t>tier_1|common|support|buff|skill</t>
  </si>
  <si>
    <t>鸡：低费辅助，单兵能力弱。</t>
  </si>
  <si>
    <t>pigeon</t>
  </si>
  <si>
    <t>鸽子</t>
  </si>
  <si>
    <t>res://assets/card_art/animals/pigeon.png</t>
  </si>
  <si>
    <t>pigeon_salvage</t>
  </si>
  <si>
    <t>on_death</t>
  </si>
  <si>
    <t>gold</t>
  </si>
  <si>
    <t>阵亡时返还少量金币。</t>
  </si>
  <si>
    <t>tier_1|common|scout|gold|economy|skill</t>
  </si>
  <si>
    <t>鸽子：低血高速，失败损失小。</t>
  </si>
  <si>
    <t>hamster</t>
  </si>
  <si>
    <t>仓鼠</t>
  </si>
  <si>
    <t>res://assets/card_art/animals/hamster.png</t>
  </si>
  <si>
    <t>hamster_store</t>
  </si>
  <si>
    <t>on_interval</t>
  </si>
  <si>
    <t>存活时周期产出少量金币。</t>
  </si>
  <si>
    <t>tier_1|common|support|gold|economy|skill</t>
  </si>
  <si>
    <t>仓鼠：经济倾向的基础卡。</t>
  </si>
  <si>
    <t>snail</t>
  </si>
  <si>
    <t>蜗牛</t>
  </si>
  <si>
    <t>res://assets/card_art/animals/snail.png</t>
  </si>
  <si>
    <t>tier_1|common|guard|no_skill</t>
  </si>
  <si>
    <t>蜗牛：无技能纯肉盾，属性效率最高。</t>
  </si>
  <si>
    <t>tadpole</t>
  </si>
  <si>
    <t>蝌蚪</t>
  </si>
  <si>
    <t>res://assets/card_art/animals/tadpole.png</t>
  </si>
  <si>
    <t>蝌蚪：超快召唤的炮灰单位。</t>
  </si>
  <si>
    <t>cat</t>
  </si>
  <si>
    <t>猫</t>
  </si>
  <si>
    <t>res://assets/card_art/animals/cat.png</t>
  </si>
  <si>
    <t>tier_2|common|striker|no_skill</t>
  </si>
  <si>
    <t>猫：普通高攻近战，无技能换取稳定输出。</t>
  </si>
  <si>
    <t>dog</t>
  </si>
  <si>
    <t>狗</t>
  </si>
  <si>
    <t>res://assets/card_art/animals/dog.png</t>
  </si>
  <si>
    <t>dog_protect</t>
  </si>
  <si>
    <t>周期给附近低血友军护盾。</t>
  </si>
  <si>
    <t>tier_2|common|guard|shield|protect|skill</t>
  </si>
  <si>
    <t>狗：守线前排。</t>
  </si>
  <si>
    <t>duck</t>
  </si>
  <si>
    <t>鸭</t>
  </si>
  <si>
    <t>res://assets/card_art/animals/duck.png</t>
  </si>
  <si>
    <t>duck_brood</t>
  </si>
  <si>
    <t>summon</t>
  </si>
  <si>
    <t>阵亡时召唤1个低级小兵。</t>
  </si>
  <si>
    <t>tier_2|common|swarm|summon|skill</t>
  </si>
  <si>
    <t>鸭：阵亡补位，单体属性偏低。</t>
  </si>
  <si>
    <t>squirrel</t>
  </si>
  <si>
    <t>松鼠</t>
  </si>
  <si>
    <t>res://assets/card_art/animals/squirrel.png</t>
  </si>
  <si>
    <t>squirrel_cache</t>
  </si>
  <si>
    <t>on_capture</t>
  </si>
  <si>
    <t>参与占领地块时获得金币。</t>
  </si>
  <si>
    <t>tier_2|common|scout|gold|capture|skill</t>
  </si>
  <si>
    <t>松鼠：抢格与游走兼具。</t>
  </si>
  <si>
    <t>hedgehog</t>
  </si>
  <si>
    <t>刺猬</t>
  </si>
  <si>
    <t>res://assets/card_art/animals/hedgehog.png</t>
  </si>
  <si>
    <t>hedgehog_spines</t>
  </si>
  <si>
    <t>on_damage</t>
  </si>
  <si>
    <t>thorns</t>
  </si>
  <si>
    <t>受到近战伤害时反刺。</t>
  </si>
  <si>
    <t>tier_2|common|bruiser|thorns|retaliate|skill</t>
  </si>
  <si>
    <t>刺猬：反打型近战。</t>
  </si>
  <si>
    <t>turtle</t>
  </si>
  <si>
    <t>乌龟</t>
  </si>
  <si>
    <t>res://assets/card_art/animals/turtle.png</t>
  </si>
  <si>
    <t>turtle_shell</t>
  </si>
  <si>
    <t>低血时获得龟壳护盾。</t>
  </si>
  <si>
    <t>tier_2|common|guard|shield|tank|skill</t>
  </si>
  <si>
    <t>乌龟：慢速高耐久。</t>
  </si>
  <si>
    <t>goat</t>
  </si>
  <si>
    <t>山羊</t>
  </si>
  <si>
    <t>res://assets/card_art/animals/goat.png</t>
  </si>
  <si>
    <t>goat_banner</t>
  </si>
  <si>
    <t>buff_hp</t>
  </si>
  <si>
    <t>附近友军最大生命提高。</t>
  </si>
  <si>
    <t>tier_2|common|support|aura|hp|skill</t>
  </si>
  <si>
    <t>山羊：团队生命辅助。</t>
  </si>
  <si>
    <t>sheep</t>
  </si>
  <si>
    <t>羊</t>
  </si>
  <si>
    <t>res://assets/card_art/animals/sheep.png</t>
  </si>
  <si>
    <t>sheep_wool</t>
  </si>
  <si>
    <t>出生时给附近友军护盾。</t>
  </si>
  <si>
    <t>tier_2|common|support|shield|skill</t>
  </si>
  <si>
    <t>羊：群体保护，输出较低。</t>
  </si>
  <si>
    <t>parrot</t>
  </si>
  <si>
    <t>鹦鹉</t>
  </si>
  <si>
    <t>res://assets/card_art/animals/parrot.png</t>
  </si>
  <si>
    <t>parrot_mimic</t>
  </si>
  <si>
    <t>copy</t>
  </si>
  <si>
    <t>复制最近友军的小额技能效果。</t>
  </si>
  <si>
    <t>tier_2|common|support|copy|skill</t>
  </si>
  <si>
    <t>鹦鹉：复制玩法核心，基础属性低。</t>
  </si>
  <si>
    <t>fox</t>
  </si>
  <si>
    <t>狐狸</t>
  </si>
  <si>
    <t>res://assets/card_art/animals/fox.png</t>
  </si>
  <si>
    <t>tier_2|common|scout|no_skill</t>
  </si>
  <si>
    <t>狐狸：无技能快攻单位，属性集中在速度和攻击。</t>
  </si>
  <si>
    <t>monkey</t>
  </si>
  <si>
    <t>猴子</t>
  </si>
  <si>
    <t>rare</t>
  </si>
  <si>
    <t>res://assets/card_art/animals/monkey.png</t>
  </si>
  <si>
    <t>monkey_trick</t>
  </si>
  <si>
    <t>复制一个同价或更低友方单位。</t>
  </si>
  <si>
    <t>tier_3|rare|support|copy|tempo|skill</t>
  </si>
  <si>
    <t>猴子：中期复制核心。</t>
  </si>
  <si>
    <t>pig</t>
  </si>
  <si>
    <t>猪</t>
  </si>
  <si>
    <t>res://assets/card_art/animals/pig.png</t>
  </si>
  <si>
    <t>piggy_bank</t>
  </si>
  <si>
    <t>阵亡时返还金币。</t>
  </si>
  <si>
    <t>tier_3|rare|guard|gold|tank|skill</t>
  </si>
  <si>
    <t>猪：经济型前排。</t>
  </si>
  <si>
    <t>deer</t>
  </si>
  <si>
    <t>鹿</t>
  </si>
  <si>
    <t>res://assets/card_art/animals/deer.png</t>
  </si>
  <si>
    <t>deer_charge</t>
  </si>
  <si>
    <t>buff_speed</t>
  </si>
  <si>
    <t>出生后短时间移速提高。</t>
  </si>
  <si>
    <t>tier_3|rare|striker|speed|charge|skill</t>
  </si>
  <si>
    <t>鹿：突进输出。</t>
  </si>
  <si>
    <t>beaver</t>
  </si>
  <si>
    <t>河狸</t>
  </si>
  <si>
    <t>res://assets/card_art/animals/beaver.png</t>
  </si>
  <si>
    <t>beaver_repair</t>
  </si>
  <si>
    <t>repair</t>
  </si>
  <si>
    <t>周期修复附近己方建筑。</t>
  </si>
  <si>
    <t>tier_3|rare|bruiser|repair|building|skill</t>
  </si>
  <si>
    <t>河狸：工程单位。</t>
  </si>
  <si>
    <t>otter</t>
  </si>
  <si>
    <t>水獭</t>
  </si>
  <si>
    <t>res://assets/card_art/animals/otter.png</t>
  </si>
  <si>
    <t>otter_bubble</t>
  </si>
  <si>
    <t>给最近友军套泡泡护盾。</t>
  </si>
  <si>
    <t>tier_3|rare|support|shield|skill</t>
  </si>
  <si>
    <t>水獭：防守型辅助。</t>
  </si>
  <si>
    <t>penguin</t>
  </si>
  <si>
    <t>企鹅</t>
  </si>
  <si>
    <t>res://assets/card_art/animals/penguin.png</t>
  </si>
  <si>
    <t>penguin_drill</t>
  </si>
  <si>
    <t>附近友军攻击小幅提高。</t>
  </si>
  <si>
    <t>tier_3|rare|support|aura|attack|skill</t>
  </si>
  <si>
    <t>企鹅：稳态光环。</t>
  </si>
  <si>
    <t>peacock</t>
  </si>
  <si>
    <t>孔雀</t>
  </si>
  <si>
    <t>res://assets/card_art/animals/peacock.png</t>
  </si>
  <si>
    <t>peacock_fan</t>
  </si>
  <si>
    <t>出生后首次攻击伤害提高。</t>
  </si>
  <si>
    <t>tier_3|rare|ranged|burst|skill</t>
  </si>
  <si>
    <t>孔雀：中距离爆发。</t>
  </si>
  <si>
    <t>kangaroo</t>
  </si>
  <si>
    <t>袋鼠</t>
  </si>
  <si>
    <t>res://assets/card_art/animals/kangaroo.png</t>
  </si>
  <si>
    <t>kangaroo_leap</t>
  </si>
  <si>
    <t>damage</t>
  </si>
  <si>
    <t>每隔一段时间跳击目标。</t>
  </si>
  <si>
    <t>tier_3|rare|striker|leap|burst|skill</t>
  </si>
  <si>
    <t>袋鼠：跃进切后排。</t>
  </si>
  <si>
    <t>seal</t>
  </si>
  <si>
    <t>海豹</t>
  </si>
  <si>
    <t>res://assets/card_art/animals/seal.png</t>
  </si>
  <si>
    <t>tier_3|rare|guard|no_skill</t>
  </si>
  <si>
    <t>海豹：无技能高生命稀有前排。</t>
  </si>
  <si>
    <t>swan</t>
  </si>
  <si>
    <t>天鹅</t>
  </si>
  <si>
    <t>res://assets/card_art/animals/swan.png</t>
  </si>
  <si>
    <t>swan_grace</t>
  </si>
  <si>
    <t>周期给附近友军护盾。</t>
  </si>
  <si>
    <t>tier_3|rare|support|shield|aura|skill</t>
  </si>
  <si>
    <t>天鹅：优雅护盾辅助。</t>
  </si>
  <si>
    <t>wolf</t>
  </si>
  <si>
    <t>狼</t>
  </si>
  <si>
    <t>res://assets/card_art/animals/wolf.png</t>
  </si>
  <si>
    <t>wolf_pack</t>
  </si>
  <si>
    <t>附近友军攻击提高。</t>
  </si>
  <si>
    <t>tier_4|rare|bruiser|aura|attack|skill</t>
  </si>
  <si>
    <t>狼：中后期进攻核心。</t>
  </si>
  <si>
    <t>horse</t>
  </si>
  <si>
    <t>马</t>
  </si>
  <si>
    <t>res://assets/card_art/animals/horse.png</t>
  </si>
  <si>
    <t>horse_gallop</t>
  </si>
  <si>
    <t>附近友军移速提高。</t>
  </si>
  <si>
    <t>tier_4|rare|scout|speed|aura|skill</t>
  </si>
  <si>
    <t>马：快速支援与补线。</t>
  </si>
  <si>
    <t>cow</t>
  </si>
  <si>
    <t>牛</t>
  </si>
  <si>
    <t>res://assets/card_art/animals/cow.png</t>
  </si>
  <si>
    <t>cow_supply</t>
  </si>
  <si>
    <t>参与占领后提供金币。</t>
  </si>
  <si>
    <t>tier_4|rare|guard|gold|capture|skill</t>
  </si>
  <si>
    <t>牛：占点经济。</t>
  </si>
  <si>
    <t>zebra</t>
  </si>
  <si>
    <t>斑马</t>
  </si>
  <si>
    <t>res://assets/card_art/animals/zebra.png</t>
  </si>
  <si>
    <t>zebra_stripes</t>
  </si>
  <si>
    <t>附近不同定位友军攻击提高。</t>
  </si>
  <si>
    <t>tier_4|rare|scout|aura|attack|skill</t>
  </si>
  <si>
    <t>斑马：快速光环单位。</t>
  </si>
  <si>
    <t>camel</t>
  </si>
  <si>
    <t>骆驼</t>
  </si>
  <si>
    <t>res://assets/card_art/animals/camel.png</t>
  </si>
  <si>
    <t>camel_reserve</t>
  </si>
  <si>
    <t>heal</t>
  </si>
  <si>
    <t>低血时回复生命。</t>
  </si>
  <si>
    <t>tier_4|rare|guard|heal|tank|skill</t>
  </si>
  <si>
    <t>骆驼：远征前排。</t>
  </si>
  <si>
    <t>dolphin</t>
  </si>
  <si>
    <t>海豚</t>
  </si>
  <si>
    <t>res://assets/card_art/animals/dolphin.png</t>
  </si>
  <si>
    <t>dolphin_wave</t>
  </si>
  <si>
    <t>攻击时给最近友军护盾。</t>
  </si>
  <si>
    <t>tier_4|rare|ranged|shield|skill</t>
  </si>
  <si>
    <t>海豚：远程保护。</t>
  </si>
  <si>
    <t>falcon</t>
  </si>
  <si>
    <t>猎鹰</t>
  </si>
  <si>
    <t>res://assets/card_art/animals/falcon.png</t>
  </si>
  <si>
    <t>falcon_mark</t>
  </si>
  <si>
    <t>标记远处目标并造成额外伤害。</t>
  </si>
  <si>
    <t>tier_4|rare|ranged|mark|skill</t>
  </si>
  <si>
    <t>猎鹰：长射程点杀。</t>
  </si>
  <si>
    <t>boar</t>
  </si>
  <si>
    <t>野猪</t>
  </si>
  <si>
    <t>res://assets/card_art/animals/boar.png</t>
  </si>
  <si>
    <t>boar_charge</t>
  </si>
  <si>
    <t>stun</t>
  </si>
  <si>
    <t>首次接敌时短暂眩晕目标。</t>
  </si>
  <si>
    <t>tier_4|rare|bruiser|charge|stun|skill</t>
  </si>
  <si>
    <t>野猪：冲线破阵。</t>
  </si>
  <si>
    <t>crane</t>
  </si>
  <si>
    <t>鹤</t>
  </si>
  <si>
    <t>res://assets/card_art/animals/crane.png</t>
  </si>
  <si>
    <t>crane_blessing</t>
  </si>
  <si>
    <t>周期治疗附近友军。</t>
  </si>
  <si>
    <t>tier_4|rare|support|heal|skill</t>
  </si>
  <si>
    <t>鹤：高阶保护辅助。</t>
  </si>
  <si>
    <t>lynx</t>
  </si>
  <si>
    <t>猞猁</t>
  </si>
  <si>
    <t>res://assets/card_art/animals/lynx.png</t>
  </si>
  <si>
    <t>tier_4|rare|striker|no_skill</t>
  </si>
  <si>
    <t>猞猁：无技能稀有刺客，面板更高。</t>
  </si>
  <si>
    <t>bear</t>
  </si>
  <si>
    <t>熊</t>
  </si>
  <si>
    <t>epic</t>
  </si>
  <si>
    <t>res://assets/card_art/animals/bear.png</t>
  </si>
  <si>
    <t>bear_roar</t>
  </si>
  <si>
    <t>出生时震慑附近敌人。</t>
  </si>
  <si>
    <t>tier_5|epic|guard|stun|tank|skill</t>
  </si>
  <si>
    <t>熊：史诗重前排。</t>
  </si>
  <si>
    <t>tiger</t>
  </si>
  <si>
    <t>老虎</t>
  </si>
  <si>
    <t>res://assets/card_art/animals/tiger.png</t>
  </si>
  <si>
    <t>tiger_pounce</t>
  </si>
  <si>
    <t>周期扑击造成额外伤害。</t>
  </si>
  <si>
    <t>tier_5|epic|striker|burst|melee|skill</t>
  </si>
  <si>
    <t>老虎：史诗高爆发。</t>
  </si>
  <si>
    <t>lion</t>
  </si>
  <si>
    <t>狮子</t>
  </si>
  <si>
    <t>res://assets/card_art/animals/lion.png</t>
  </si>
  <si>
    <t>lion_legacy</t>
  </si>
  <si>
    <t>阵亡时召唤1个低阶兽类。</t>
  </si>
  <si>
    <t>tier_5|epic|bruiser|summon|death|skill</t>
  </si>
  <si>
    <t>狮子：阵亡返场压力。</t>
  </si>
  <si>
    <t>rhino</t>
  </si>
  <si>
    <t>犀牛</t>
  </si>
  <si>
    <t>res://assets/card_art/animals/rhino.png</t>
  </si>
  <si>
    <t>rhino_impact</t>
  </si>
  <si>
    <t>首次冲撞眩晕目标。</t>
  </si>
  <si>
    <t>tier_5|epic|guard|charge|stun|skill</t>
  </si>
  <si>
    <t>犀牛：推进破盾。</t>
  </si>
  <si>
    <t>hippo</t>
  </si>
  <si>
    <t>河马</t>
  </si>
  <si>
    <t>res://assets/card_art/animals/hippo.png</t>
  </si>
  <si>
    <t>tier_5|epic|guard|no_skill</t>
  </si>
  <si>
    <t>河马：无技能超高生命前排。</t>
  </si>
  <si>
    <t>giraffe</t>
  </si>
  <si>
    <t>长颈鹿</t>
  </si>
  <si>
    <t>res://assets/card_art/animals/giraffe.png</t>
  </si>
  <si>
    <t>giraffe_watch</t>
  </si>
  <si>
    <t>提高附近友军生命。</t>
  </si>
  <si>
    <t>tier_5|epic|ranged|aura|hp|skill</t>
  </si>
  <si>
    <t>长颈鹿：远程支援。</t>
  </si>
  <si>
    <t>gorilla</t>
  </si>
  <si>
    <t>大猩猩</t>
  </si>
  <si>
    <t>res://assets/card_art/animals/gorilla.png</t>
  </si>
  <si>
    <t>gorilla_slam</t>
  </si>
  <si>
    <t>周期重击造成范围伤害。</t>
  </si>
  <si>
    <t>tier_5|epic|bruiser|aoe|melee|skill</t>
  </si>
  <si>
    <t>大猩猩：范围压制。</t>
  </si>
  <si>
    <t>leopard</t>
  </si>
  <si>
    <t>豹子</t>
  </si>
  <si>
    <t>res://assets/card_art/animals/leopard.png</t>
  </si>
  <si>
    <t>tier_5|epic|scout|no_skill</t>
  </si>
  <si>
    <t>豹子：无技能高速史诗输出。</t>
  </si>
  <si>
    <t>eagle</t>
  </si>
  <si>
    <t>老鹰</t>
  </si>
  <si>
    <t>res://assets/card_art/animals/eagle.png</t>
  </si>
  <si>
    <t>eagle_dive</t>
  </si>
  <si>
    <t>execute</t>
  </si>
  <si>
    <t>优先打击低血敌人。</t>
  </si>
  <si>
    <t>tier_5|epic|ranged|execute|skill</t>
  </si>
  <si>
    <t>老鹰：远程斩杀。</t>
  </si>
  <si>
    <t>crocodile</t>
  </si>
  <si>
    <t>鳄鱼</t>
  </si>
  <si>
    <t>res://assets/card_art/animals/crocodile.png</t>
  </si>
  <si>
    <t>crocodile_bite</t>
  </si>
  <si>
    <t>攻击附带减速。</t>
  </si>
  <si>
    <t>tier_5|epic|bruiser|slow|melee|skill</t>
  </si>
  <si>
    <t>鳄鱼：持续撕咬。</t>
  </si>
  <si>
    <t>elephant</t>
  </si>
  <si>
    <t>大象</t>
  </si>
  <si>
    <t>legendary</t>
  </si>
  <si>
    <t>res://assets/card_art/animals/elephant.png</t>
  </si>
  <si>
    <t>elephant_standard</t>
  </si>
  <si>
    <t>大范围提高友军生命。</t>
  </si>
  <si>
    <t>tier_6|legendary|guard|aura|hp|skill</t>
  </si>
  <si>
    <t>大象：传说团队前排。</t>
  </si>
  <si>
    <t>blue_whale</t>
  </si>
  <si>
    <t>蓝鲸</t>
  </si>
  <si>
    <t>res://assets/card_art/animals/blue_whale.png</t>
  </si>
  <si>
    <t>whale_tide</t>
  </si>
  <si>
    <t>周期为多名友军提供护盾。</t>
  </si>
  <si>
    <t>tier_6|legendary|support|shield|skill</t>
  </si>
  <si>
    <t>蓝鲸：传说护军核心。</t>
  </si>
  <si>
    <t>orca</t>
  </si>
  <si>
    <t>虎鲸</t>
  </si>
  <si>
    <t>res://assets/card_art/animals/orca.png</t>
  </si>
  <si>
    <t>orca_hunt</t>
  </si>
  <si>
    <t>对低血目标造成斩杀伤害。</t>
  </si>
  <si>
    <t>tier_6|legendary|striker|execute|skill</t>
  </si>
  <si>
    <t>虎鲸：传说猎杀者。</t>
  </si>
  <si>
    <t>shark</t>
  </si>
  <si>
    <t>鲨鱼</t>
  </si>
  <si>
    <t>res://assets/card_art/animals/shark.png</t>
  </si>
  <si>
    <t>tier_6|legendary|striker|no_skill</t>
  </si>
  <si>
    <t>鲨鱼：无技能传说输出，面板最高。</t>
  </si>
  <si>
    <t>python</t>
  </si>
  <si>
    <t>巨蟒</t>
  </si>
  <si>
    <t>res://assets/card_art/animals/python.png</t>
  </si>
  <si>
    <t>python_constrict</t>
  </si>
  <si>
    <t>周期缠绕目标并短暂眩晕。</t>
  </si>
  <si>
    <t>tier_6|legendary|controller|control|skill</t>
  </si>
  <si>
    <t>巨蟒：传说控制核心。</t>
  </si>
  <si>
    <t>komodo_dragon</t>
  </si>
  <si>
    <t>科莫多龙</t>
  </si>
  <si>
    <t>res://assets/card_art/animals/komodo_dragon.png</t>
  </si>
  <si>
    <t>komodo_venom</t>
  </si>
  <si>
    <t>攻击施加剧毒减速。</t>
  </si>
  <si>
    <t>tier_6|legendary|bruiser|poison|skill</t>
  </si>
  <si>
    <t>科莫多龙：传说毒压。</t>
  </si>
  <si>
    <t>polar_bear</t>
  </si>
  <si>
    <t>北极熊</t>
  </si>
  <si>
    <t>res://assets/card_art/animals/polar_bear.png</t>
  </si>
  <si>
    <t>polar_freeze</t>
  </si>
  <si>
    <t>低血时获得冰盾。</t>
  </si>
  <si>
    <t>tier_6|legendary|guard|shield|skill</t>
  </si>
  <si>
    <t>北极熊：传说冰墙前排。</t>
  </si>
  <si>
    <t>silverback</t>
  </si>
  <si>
    <t>银背猩猩</t>
  </si>
  <si>
    <t>res://assets/card_art/animals/silverback.png</t>
  </si>
  <si>
    <t>silverback_legacy</t>
  </si>
  <si>
    <t>阵亡时召唤1个大猩猩。</t>
  </si>
  <si>
    <t>tier_6|legendary|bruiser|summon|skill</t>
  </si>
  <si>
    <t>银背猩猩：传说返场压迫。</t>
  </si>
  <si>
    <t>golden_eagle</t>
  </si>
  <si>
    <t>金雕</t>
  </si>
  <si>
    <t>res://assets/card_art/animals/golden_eagle.png</t>
  </si>
  <si>
    <t>golden_eagle_judgement</t>
  </si>
  <si>
    <t>周期打击最远目标。</t>
  </si>
  <si>
    <t>tier_6|legendary|ranged|skill</t>
  </si>
  <si>
    <t>金雕：传说远程点杀。</t>
  </si>
  <si>
    <t>mammoth</t>
  </si>
  <si>
    <t>猛犸象</t>
  </si>
  <si>
    <t>res://assets/card_art/animals/mammoth.png</t>
  </si>
  <si>
    <t>mammoth_wall</t>
  </si>
  <si>
    <t>出生时为附近友军提供厚护盾。</t>
  </si>
  <si>
    <t>tier_6|legendary|guard|shield|tank|skill</t>
  </si>
  <si>
    <t>猛犸象：传说终局肉盾。</t>
  </si>
  <si>
    <t>gold_mine_card</t>
  </si>
  <si>
    <t>金矿</t>
  </si>
  <si>
    <t>res://assets/art/buildings/mine.png</t>
  </si>
  <si>
    <t>mine_income</t>
  </si>
  <si>
    <t>每3秒提供10金币。</t>
  </si>
  <si>
    <t>building|mine|gold|economy|mandatory</t>
  </si>
  <si>
    <t>金矿：紫色品质经济建筑卡，每套编组必须携带。</t>
  </si>
  <si>
    <t>defense_watch_tower</t>
  </si>
  <si>
    <t>哨戒箭塔</t>
  </si>
  <si>
    <t>res://assets/art/buildings/tower.png</t>
  </si>
  <si>
    <t>skill_ranger_shot</t>
  </si>
  <si>
    <t>稳定攻击最近敌方单位。</t>
  </si>
  <si>
    <t>building|defense|tower|common|starter</t>
  </si>
  <si>
    <t>哨戒箭塔：玩家初始拥有的绿色防御塔卡。</t>
  </si>
  <si>
    <t>defense_cannon_tower</t>
  </si>
  <si>
    <t>火炮塔</t>
  </si>
  <si>
    <t>skill_cannon_blast</t>
  </si>
  <si>
    <t>较慢但伤害更高的远程防御塔。</t>
  </si>
  <si>
    <t>building|defense|tower|rare|gacha</t>
  </si>
  <si>
    <t>火炮塔：可通过抽卡获得的蓝色防御塔卡。</t>
  </si>
  <si>
    <t>defense_repair_beacon</t>
  </si>
  <si>
    <t>修复信标</t>
  </si>
  <si>
    <t>skill_repair_field</t>
  </si>
  <si>
    <t>原型中先作为中速防御塔攻击最近敌人。</t>
  </si>
  <si>
    <t>building|defense|tower|epic|gacha</t>
  </si>
  <si>
    <t>修复信标：紫色防御塔卡，后续可接入修复光环。</t>
  </si>
  <si>
    <t>defense_storm_obelisk</t>
  </si>
  <si>
    <t>风暴方尖碑</t>
  </si>
  <si>
    <t>skill_chain_storm</t>
  </si>
  <si>
    <t>长射程高伤害防御塔。</t>
  </si>
  <si>
    <t>building|defense|tower|legendary|gacha</t>
  </si>
  <si>
    <t>风暴方尖碑：金色防御塔卡，可通过抽卡获得。</t>
  </si>
  <si>
    <t>品质</t>
  </si>
  <si>
    <t>攻击修正</t>
  </si>
  <si>
    <t>生命修正</t>
  </si>
  <si>
    <t>数量+1</t>
  </si>
  <si>
    <t>atk</t>
  </si>
  <si>
    <t>hp</t>
  </si>
  <si>
    <t>cd</t>
  </si>
  <si>
    <t>数量+1，优先攻击敌方建筑</t>
  </si>
  <si>
    <t>阵亡时，金币+1</t>
  </si>
  <si>
    <t>阵亡时，击杀者获得攻击+1/生命+1</t>
  </si>
  <si>
    <t>召唤时，随机友军获得+1攻击</t>
  </si>
  <si>
    <t>击杀后，50%概率攻击+1</t>
  </si>
  <si>
    <t>攻击后，50%概率金币+1</t>
  </si>
  <si>
    <t>占领地块时获得5金币。</t>
  </si>
  <si>
    <t>受到近战伤害时，对伤害来源造成1伤害。</t>
  </si>
  <si>
    <t>受到伤害-1</t>
  </si>
  <si>
    <t>登场时，随机友军生命+2</t>
  </si>
  <si>
    <t>所有友军生命+1</t>
  </si>
  <si>
    <t>每次攻击额外攻击1个敌人</t>
  </si>
  <si>
    <t>我方动物攻击+1</t>
  </si>
  <si>
    <t>生命低于敌人时，攻击翻倍</t>
  </si>
  <si>
    <t>阵亡时，击杀者获得5金币</t>
  </si>
  <si>
    <t>阵亡时，我方2只随机动物攻击+1</t>
  </si>
  <si>
    <t>优先攻击敌方建筑，且对建筑造成双倍伤害</t>
  </si>
  <si>
    <t>友军阵亡时，获得1金币</t>
  </si>
  <si>
    <t>优先攻击远程单位，且对远程单位造成双倍伤害</t>
  </si>
  <si>
    <t>优先攻击后排单位</t>
  </si>
  <si>
    <t>每当有动物死亡时，25%概率生命值+1</t>
  </si>
  <si>
    <t>所有动物攻击+1</t>
  </si>
  <si>
    <t>击杀后，攻击+1/生命+1</t>
  </si>
  <si>
    <t>我方所有动物速度+20</t>
  </si>
  <si>
    <t>参与占领后提供3金币</t>
  </si>
  <si>
    <t>每20点速度，提供1攻击力</t>
  </si>
  <si>
    <t>攻击后，50%攻击+1</t>
  </si>
  <si>
    <t>优先攻击远程单位</t>
  </si>
  <si>
    <t>会比敌人优先攻击</t>
  </si>
  <si>
    <t>每次攻击降低自身1生命值</t>
  </si>
  <si>
    <t>每次攻击造成360°AOE伤害</t>
  </si>
  <si>
    <t>生命高于对方时，攻击造成额外50%伤害</t>
  </si>
  <si>
    <t>生命高于对方时，攻击后提高2攻击</t>
  </si>
  <si>
    <t>提高所有友军生命值3点</t>
  </si>
  <si>
    <t>每次受到伤害后，攻击力+1</t>
  </si>
  <si>
    <t>优先攻击敌方后排，击杀远程单位获得5金币</t>
  </si>
  <si>
    <t>生命值低于对方时，攻击翻倍</t>
  </si>
  <si>
    <t>击杀时，提高3生命</t>
  </si>
  <si>
    <t>受到攻击后，降低1生命值同时提高1攻击力</t>
  </si>
  <si>
    <t>为周围友军承受伤害，受到双倍近战伤害</t>
  </si>
  <si>
    <t>击杀后，提高最大生命值，提高数量为对方最大生命值</t>
  </si>
  <si>
    <t>优先攻击前排单位</t>
  </si>
  <si>
    <t>生命值低于对方时，攻击力翻倍</t>
  </si>
  <si>
    <t>攻击施加剧毒减速，每秒最大生命值降低50%</t>
  </si>
  <si>
    <t>受到伤害-2</t>
  </si>
  <si>
    <t>阵亡时召唤1只猩猩（属性3/16,无技能）</t>
  </si>
  <si>
    <t>额外攻击2个目标</t>
  </si>
  <si>
    <t>为周围友军承受伤害</t>
  </si>
  <si>
    <t>哨塔</t>
  </si>
  <si>
    <t>箭塔</t>
  </si>
  <si>
    <t>炮楼</t>
  </si>
  <si>
    <t>方尖碑</t>
  </si>
  <si>
    <t>召唤</t>
  </si>
  <si>
    <t>伤害</t>
  </si>
  <si>
    <t>随机伤害</t>
  </si>
  <si>
    <t>AOE</t>
  </si>
  <si>
    <t>回血</t>
  </si>
  <si>
    <t>加攻击</t>
  </si>
  <si>
    <t>加生命</t>
  </si>
  <si>
    <t>加速度</t>
  </si>
  <si>
    <t>加攻速</t>
  </si>
  <si>
    <t>暴击</t>
  </si>
  <si>
    <t>闪避</t>
  </si>
  <si>
    <t>加金币</t>
  </si>
  <si>
    <t>偷取金币</t>
  </si>
  <si>
    <t>回复</t>
  </si>
  <si>
    <t>减攻击</t>
  </si>
  <si>
    <t>减生命</t>
  </si>
  <si>
    <t>减速度</t>
  </si>
  <si>
    <t>减金币</t>
  </si>
  <si>
    <t>守护友军</t>
  </si>
  <si>
    <t>被动</t>
  </si>
  <si>
    <t>远程</t>
  </si>
  <si>
    <t>战吼</t>
  </si>
  <si>
    <t>移动方式为跳跃</t>
  </si>
  <si>
    <t>亡语</t>
  </si>
  <si>
    <t>占领地块时，金币+5</t>
  </si>
  <si>
    <t>光环</t>
  </si>
  <si>
    <t>死亡时，金币+1</t>
  </si>
  <si>
    <t>满血时</t>
  </si>
  <si>
    <t>半血以下时</t>
  </si>
  <si>
    <t>被击杀时，击杀者+1/+1</t>
  </si>
  <si>
    <t>半血以上时</t>
  </si>
  <si>
    <t>速度-50%</t>
  </si>
  <si>
    <t>在我方地块时</t>
  </si>
  <si>
    <t>存活8秒后，属性提升变为青蛙</t>
  </si>
  <si>
    <t>在敌方地块时</t>
  </si>
  <si>
    <t>在我方地块时，移动方式为跳跃；击杀时,攻击+1</t>
  </si>
  <si>
    <t>跳跃时</t>
  </si>
  <si>
    <t>攻击生命低于自身的动物时，攻击翻倍</t>
  </si>
  <si>
    <t>攻击时</t>
  </si>
  <si>
    <t>每隔8秒，治疗单个友军2点生命</t>
  </si>
  <si>
    <t>占领时</t>
  </si>
  <si>
    <t>攻击目标+1</t>
  </si>
  <si>
    <t>存活8秒</t>
  </si>
  <si>
    <t>受到伤害时，对伤害来源造成1点伤害</t>
  </si>
  <si>
    <t>击杀时</t>
  </si>
  <si>
    <t>速度-50%；受到伤害-1</t>
  </si>
  <si>
    <t>攻击建筑时</t>
  </si>
  <si>
    <t>移动方式为跳跃；跳跃后对随机敌人造成1点伤害</t>
  </si>
  <si>
    <t>受到伤害时</t>
  </si>
  <si>
    <t>召唤时，立刻提高随机友军3点生命</t>
  </si>
  <si>
    <t>被攻击时</t>
  </si>
  <si>
    <t>受到非攻击伤害时</t>
  </si>
  <si>
    <t>受到伤害时，75%让随机友军承受伤害</t>
  </si>
  <si>
    <t>有敌人死亡时</t>
  </si>
  <si>
    <t>攻击有50%概率暴击</t>
  </si>
  <si>
    <t>有动物死亡时</t>
  </si>
  <si>
    <t>为1格内友军承受伤害</t>
  </si>
  <si>
    <t>有动物召唤时</t>
  </si>
  <si>
    <t>每只我方动物首次跳跃时，鹿生命值+1</t>
  </si>
  <si>
    <t>亡语触发时</t>
  </si>
  <si>
    <t>我方2个随机建筑攻击+1</t>
  </si>
  <si>
    <t>击败建筑时</t>
  </si>
  <si>
    <t>占领时，获得10金币</t>
  </si>
  <si>
    <t>额外攻击2个敌人</t>
  </si>
  <si>
    <t>防御塔</t>
  </si>
  <si>
    <t>攻击</t>
  </si>
  <si>
    <t>生命</t>
  </si>
  <si>
    <t>距离</t>
  </si>
  <si>
    <t>攻击间隔</t>
  </si>
  <si>
    <t>技能效果</t>
  </si>
  <si>
    <t>移动方式为跳跃，且跳跃距离+1</t>
  </si>
  <si>
    <t>攻击距离+1.5，优先攻击远程</t>
  </si>
  <si>
    <t>攻击距离+1</t>
  </si>
  <si>
    <t>攻击+1</t>
  </si>
  <si>
    <t>攻击时，掠夺1金币</t>
  </si>
  <si>
    <t>速度翻倍</t>
  </si>
  <si>
    <t>攻击速度+200%</t>
  </si>
  <si>
    <t>阵亡时，金币+3</t>
  </si>
  <si>
    <t>生命值+200%</t>
  </si>
  <si>
    <t>跳跃，且每次跳跃3格</t>
  </si>
  <si>
    <t>攻击目标+1，攻击距离+1</t>
  </si>
  <si>
    <t>额外攻击1个敌人</t>
  </si>
  <si>
    <t>每存活8秒，最大生命提高2</t>
  </si>
  <si>
    <t>攻击+2，击杀时，获得10金币</t>
  </si>
  <si>
    <t>击杀时，获得10金币</t>
  </si>
  <si>
    <t>无视攻击距离，只要敌人处于我方领地上即可攻击</t>
  </si>
  <si>
    <t>每5秒对所有动物造成1点伤害</t>
  </si>
  <si>
    <t>移动方式为冲锋，对沿途动物造成当前攻击力的伤害</t>
  </si>
  <si>
    <t>击杀时，掠夺3金币</t>
  </si>
  <si>
    <t>攻击+10，但每次攻击后减少3攻击，最低为0</t>
  </si>
  <si>
    <t>暴击+50%；暴击后提高1攻击</t>
  </si>
  <si>
    <t>跳跃；击杀后，提高+2/+2</t>
  </si>
  <si>
    <t>冲锋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</si>
</sst>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B898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8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9" borderId="5">
      <alignment vertical="center"/>
    </xf>
    <xf numFmtId="0" fontId="11" fillId="10" borderId="6">
      <alignment vertical="center"/>
    </xf>
    <xf numFmtId="0" fontId="12" fillId="10" borderId="5">
      <alignment vertical="center"/>
    </xf>
    <xf numFmtId="0" fontId="13" fillId="11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898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342900</xdr:colOff>
      <xdr:row>39</xdr:row>
      <xdr:rowOff>190500</xdr:rowOff>
    </xdr:from>
    <xdr:to>
      <xdr:col>12</xdr:col>
      <xdr:colOff>5715</xdr:colOff>
      <xdr:row>79</xdr:row>
      <xdr:rowOff>111125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7700" y="8362950"/>
          <a:ext cx="5215890" cy="8302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"/>
  <sheetViews>
    <sheetView workbookViewId="0">
      <selection activeCell="W21" sqref="$A1:$XFD1048576"/>
    </sheetView>
  </sheetViews>
  <sheetFormatPr defaultColWidth="9" defaultRowHeight="13.5"/>
  <sheetData>
    <row r="1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>
      <c r="A2" s="10" t="s">
        <v>18</v>
      </c>
      <c r="B2" s="10" t="s">
        <v>19</v>
      </c>
      <c r="C2" s="10" t="s">
        <v>20</v>
      </c>
      <c r="D2" s="10">
        <v>1</v>
      </c>
      <c r="E2" s="10" t="s">
        <v>21</v>
      </c>
      <c r="F2" s="10">
        <v>6</v>
      </c>
      <c r="G2" s="10">
        <v>42</v>
      </c>
      <c r="H2" s="10">
        <v>73</v>
      </c>
      <c r="I2" s="10">
        <v>40</v>
      </c>
      <c r="J2" s="10">
        <v>5</v>
      </c>
      <c r="K2" s="10"/>
      <c r="L2" s="10"/>
      <c r="M2" s="10"/>
      <c r="N2" s="10"/>
      <c r="O2" s="10"/>
      <c r="P2" s="10" t="s">
        <v>22</v>
      </c>
      <c r="Q2" s="10" t="s">
        <v>23</v>
      </c>
      <c r="R2" s="10" t="s">
        <v>24</v>
      </c>
    </row>
    <row r="3" spans="1:18">
      <c r="A3" s="10" t="s">
        <v>25</v>
      </c>
      <c r="B3" s="10" t="s">
        <v>26</v>
      </c>
      <c r="C3" s="10" t="s">
        <v>20</v>
      </c>
      <c r="D3" s="10">
        <v>1</v>
      </c>
      <c r="E3" s="10" t="s">
        <v>27</v>
      </c>
      <c r="F3" s="10">
        <v>5</v>
      </c>
      <c r="G3" s="10">
        <v>38</v>
      </c>
      <c r="H3" s="10">
        <v>73</v>
      </c>
      <c r="I3" s="10">
        <v>40</v>
      </c>
      <c r="J3" s="10">
        <v>5</v>
      </c>
      <c r="K3" s="10" t="s">
        <v>28</v>
      </c>
      <c r="L3" s="10" t="s">
        <v>29</v>
      </c>
      <c r="M3" s="10" t="s">
        <v>30</v>
      </c>
      <c r="N3" s="10">
        <v>1</v>
      </c>
      <c r="O3" s="10">
        <v>6</v>
      </c>
      <c r="P3" s="10" t="s">
        <v>31</v>
      </c>
      <c r="Q3" s="10" t="s">
        <v>32</v>
      </c>
      <c r="R3" s="10" t="s">
        <v>33</v>
      </c>
    </row>
    <row r="4" spans="1:18">
      <c r="A4" s="10" t="s">
        <v>34</v>
      </c>
      <c r="B4" s="10" t="s">
        <v>35</v>
      </c>
      <c r="C4" s="10" t="s">
        <v>20</v>
      </c>
      <c r="D4" s="10">
        <v>1</v>
      </c>
      <c r="E4" s="10" t="s">
        <v>36</v>
      </c>
      <c r="F4" s="10">
        <v>7</v>
      </c>
      <c r="G4" s="10">
        <v>52</v>
      </c>
      <c r="H4" s="10">
        <v>78.1</v>
      </c>
      <c r="I4" s="10">
        <v>42</v>
      </c>
      <c r="J4" s="10">
        <v>5</v>
      </c>
      <c r="K4" s="10"/>
      <c r="L4" s="10"/>
      <c r="M4" s="10"/>
      <c r="N4" s="10"/>
      <c r="O4" s="10"/>
      <c r="P4" s="10" t="s">
        <v>22</v>
      </c>
      <c r="Q4" s="10" t="s">
        <v>37</v>
      </c>
      <c r="R4" s="10" t="s">
        <v>38</v>
      </c>
    </row>
    <row r="5" spans="1:18">
      <c r="A5" s="10" t="s">
        <v>39</v>
      </c>
      <c r="B5" s="10" t="s">
        <v>40</v>
      </c>
      <c r="C5" s="10" t="s">
        <v>20</v>
      </c>
      <c r="D5" s="10">
        <v>1</v>
      </c>
      <c r="E5" s="10" t="s">
        <v>41</v>
      </c>
      <c r="F5" s="10">
        <v>6</v>
      </c>
      <c r="G5" s="10">
        <v>54</v>
      </c>
      <c r="H5" s="10">
        <v>56.3</v>
      </c>
      <c r="I5" s="10">
        <v>108</v>
      </c>
      <c r="J5" s="10">
        <v>5</v>
      </c>
      <c r="K5" s="10" t="s">
        <v>42</v>
      </c>
      <c r="L5" s="10" t="s">
        <v>43</v>
      </c>
      <c r="M5" s="10" t="s">
        <v>44</v>
      </c>
      <c r="N5" s="10">
        <v>25</v>
      </c>
      <c r="O5" s="10">
        <v>4</v>
      </c>
      <c r="P5" s="10" t="s">
        <v>45</v>
      </c>
      <c r="Q5" s="10" t="s">
        <v>46</v>
      </c>
      <c r="R5" s="10" t="s">
        <v>47</v>
      </c>
    </row>
    <row r="6" spans="1:18">
      <c r="A6" s="10" t="s">
        <v>48</v>
      </c>
      <c r="B6" s="10" t="s">
        <v>49</v>
      </c>
      <c r="C6" s="10" t="s">
        <v>20</v>
      </c>
      <c r="D6" s="10">
        <v>1</v>
      </c>
      <c r="E6" s="10" t="s">
        <v>50</v>
      </c>
      <c r="F6" s="10">
        <v>6</v>
      </c>
      <c r="G6" s="10">
        <v>84</v>
      </c>
      <c r="H6" s="10">
        <v>52.5</v>
      </c>
      <c r="I6" s="10">
        <v>40</v>
      </c>
      <c r="J6" s="10">
        <v>5</v>
      </c>
      <c r="K6" s="10" t="s">
        <v>51</v>
      </c>
      <c r="L6" s="10" t="s">
        <v>52</v>
      </c>
      <c r="M6" s="10" t="s">
        <v>53</v>
      </c>
      <c r="N6" s="10">
        <v>18</v>
      </c>
      <c r="O6" s="10">
        <v>0</v>
      </c>
      <c r="P6" s="10" t="s">
        <v>54</v>
      </c>
      <c r="Q6" s="10" t="s">
        <v>55</v>
      </c>
      <c r="R6" s="10" t="s">
        <v>56</v>
      </c>
    </row>
    <row r="7" spans="1:18">
      <c r="A7" s="10" t="s">
        <v>57</v>
      </c>
      <c r="B7" s="10" t="s">
        <v>58</v>
      </c>
      <c r="C7" s="10" t="s">
        <v>20</v>
      </c>
      <c r="D7" s="10">
        <v>1</v>
      </c>
      <c r="E7" s="10" t="s">
        <v>59</v>
      </c>
      <c r="F7" s="10">
        <v>5</v>
      </c>
      <c r="G7" s="10">
        <v>51</v>
      </c>
      <c r="H7" s="10">
        <v>61.4</v>
      </c>
      <c r="I7" s="10">
        <v>92</v>
      </c>
      <c r="J7" s="10">
        <v>5</v>
      </c>
      <c r="K7" s="10" t="s">
        <v>60</v>
      </c>
      <c r="L7" s="10" t="s">
        <v>52</v>
      </c>
      <c r="M7" s="10" t="s">
        <v>30</v>
      </c>
      <c r="N7" s="10">
        <v>1</v>
      </c>
      <c r="O7" s="10">
        <v>0</v>
      </c>
      <c r="P7" s="10" t="s">
        <v>61</v>
      </c>
      <c r="Q7" s="10" t="s">
        <v>62</v>
      </c>
      <c r="R7" s="10" t="s">
        <v>63</v>
      </c>
    </row>
    <row r="8" spans="1:18">
      <c r="A8" s="10" t="s">
        <v>64</v>
      </c>
      <c r="B8" s="10" t="s">
        <v>65</v>
      </c>
      <c r="C8" s="10" t="s">
        <v>20</v>
      </c>
      <c r="D8" s="10">
        <v>1</v>
      </c>
      <c r="E8" s="10" t="s">
        <v>66</v>
      </c>
      <c r="F8" s="10">
        <v>6</v>
      </c>
      <c r="G8" s="10">
        <v>48</v>
      </c>
      <c r="H8" s="10">
        <v>78.1</v>
      </c>
      <c r="I8" s="10">
        <v>42</v>
      </c>
      <c r="J8" s="10">
        <v>5</v>
      </c>
      <c r="K8" s="10" t="s">
        <v>67</v>
      </c>
      <c r="L8" s="10" t="s">
        <v>68</v>
      </c>
      <c r="M8" s="10" t="s">
        <v>69</v>
      </c>
      <c r="N8" s="10">
        <v>3</v>
      </c>
      <c r="O8" s="10">
        <v>0</v>
      </c>
      <c r="P8" s="10" t="s">
        <v>70</v>
      </c>
      <c r="Q8" s="10" t="s">
        <v>71</v>
      </c>
      <c r="R8" s="10" t="s">
        <v>72</v>
      </c>
    </row>
    <row r="9" spans="1:18">
      <c r="A9" s="10" t="s">
        <v>73</v>
      </c>
      <c r="B9" s="10" t="s">
        <v>74</v>
      </c>
      <c r="C9" s="10" t="s">
        <v>20</v>
      </c>
      <c r="D9" s="10">
        <v>1</v>
      </c>
      <c r="E9" s="10" t="s">
        <v>75</v>
      </c>
      <c r="F9" s="10">
        <v>5</v>
      </c>
      <c r="G9" s="10">
        <v>51</v>
      </c>
      <c r="H9" s="10">
        <v>61.4</v>
      </c>
      <c r="I9" s="10">
        <v>92</v>
      </c>
      <c r="J9" s="10">
        <v>5</v>
      </c>
      <c r="K9" s="10" t="s">
        <v>76</v>
      </c>
      <c r="L9" s="10" t="s">
        <v>77</v>
      </c>
      <c r="M9" s="10" t="s">
        <v>69</v>
      </c>
      <c r="N9" s="10">
        <v>2</v>
      </c>
      <c r="O9" s="10">
        <v>8</v>
      </c>
      <c r="P9" s="10" t="s">
        <v>78</v>
      </c>
      <c r="Q9" s="10" t="s">
        <v>79</v>
      </c>
      <c r="R9" s="10" t="s">
        <v>80</v>
      </c>
    </row>
    <row r="10" spans="1:18">
      <c r="A10" s="10" t="s">
        <v>81</v>
      </c>
      <c r="B10" s="10" t="s">
        <v>82</v>
      </c>
      <c r="C10" s="10" t="s">
        <v>20</v>
      </c>
      <c r="D10" s="10">
        <v>1</v>
      </c>
      <c r="E10" s="10" t="s">
        <v>83</v>
      </c>
      <c r="F10" s="10">
        <v>7</v>
      </c>
      <c r="G10" s="10">
        <v>91</v>
      </c>
      <c r="H10" s="10">
        <v>52.5</v>
      </c>
      <c r="I10" s="10">
        <v>40</v>
      </c>
      <c r="J10" s="10">
        <v>5</v>
      </c>
      <c r="K10" s="10"/>
      <c r="L10" s="10"/>
      <c r="M10" s="10"/>
      <c r="N10" s="10"/>
      <c r="O10" s="10"/>
      <c r="P10" s="10" t="s">
        <v>22</v>
      </c>
      <c r="Q10" s="10" t="s">
        <v>84</v>
      </c>
      <c r="R10" s="10" t="s">
        <v>85</v>
      </c>
    </row>
    <row r="11" spans="1:18">
      <c r="A11" s="10" t="s">
        <v>86</v>
      </c>
      <c r="B11" s="10" t="s">
        <v>87</v>
      </c>
      <c r="C11" s="10" t="s">
        <v>20</v>
      </c>
      <c r="D11" s="10">
        <v>1</v>
      </c>
      <c r="E11" s="10" t="s">
        <v>88</v>
      </c>
      <c r="F11" s="10">
        <v>6</v>
      </c>
      <c r="G11" s="10">
        <v>42</v>
      </c>
      <c r="H11" s="10">
        <v>73</v>
      </c>
      <c r="I11" s="10">
        <v>40</v>
      </c>
      <c r="J11" s="10">
        <v>5</v>
      </c>
      <c r="K11" s="10"/>
      <c r="L11" s="10"/>
      <c r="M11" s="10"/>
      <c r="N11" s="10"/>
      <c r="O11" s="10"/>
      <c r="P11" s="10" t="s">
        <v>22</v>
      </c>
      <c r="Q11" s="10" t="s">
        <v>23</v>
      </c>
      <c r="R11" s="10" t="s">
        <v>89</v>
      </c>
    </row>
    <row r="12" spans="1:18">
      <c r="A12" s="10" t="s">
        <v>90</v>
      </c>
      <c r="B12" s="10" t="s">
        <v>91</v>
      </c>
      <c r="C12" s="10" t="s">
        <v>20</v>
      </c>
      <c r="D12" s="10">
        <v>2</v>
      </c>
      <c r="E12" s="10" t="s">
        <v>92</v>
      </c>
      <c r="F12" s="10">
        <v>15</v>
      </c>
      <c r="G12" s="10">
        <v>76</v>
      </c>
      <c r="H12" s="10">
        <v>67</v>
      </c>
      <c r="I12" s="10">
        <v>46</v>
      </c>
      <c r="J12" s="10">
        <v>5</v>
      </c>
      <c r="K12" s="10"/>
      <c r="L12" s="10"/>
      <c r="M12" s="10"/>
      <c r="N12" s="10"/>
      <c r="O12" s="10"/>
      <c r="P12" s="10" t="s">
        <v>22</v>
      </c>
      <c r="Q12" s="10" t="s">
        <v>93</v>
      </c>
      <c r="R12" s="10" t="s">
        <v>94</v>
      </c>
    </row>
    <row r="13" spans="1:18">
      <c r="A13" s="10" t="s">
        <v>95</v>
      </c>
      <c r="B13" s="10" t="s">
        <v>96</v>
      </c>
      <c r="C13" s="10" t="s">
        <v>20</v>
      </c>
      <c r="D13" s="10">
        <v>2</v>
      </c>
      <c r="E13" s="10" t="s">
        <v>97</v>
      </c>
      <c r="F13" s="10">
        <v>9</v>
      </c>
      <c r="G13" s="10">
        <v>112</v>
      </c>
      <c r="H13" s="10">
        <v>50.8</v>
      </c>
      <c r="I13" s="10">
        <v>40</v>
      </c>
      <c r="J13" s="10">
        <v>5</v>
      </c>
      <c r="K13" s="10" t="s">
        <v>98</v>
      </c>
      <c r="L13" s="10" t="s">
        <v>29</v>
      </c>
      <c r="M13" s="10" t="s">
        <v>53</v>
      </c>
      <c r="N13" s="10">
        <v>10</v>
      </c>
      <c r="O13" s="10">
        <v>7</v>
      </c>
      <c r="P13" s="10" t="s">
        <v>99</v>
      </c>
      <c r="Q13" s="10" t="s">
        <v>100</v>
      </c>
      <c r="R13" s="10" t="s">
        <v>101</v>
      </c>
    </row>
    <row r="14" spans="1:18">
      <c r="A14" s="10" t="s">
        <v>102</v>
      </c>
      <c r="B14" s="10" t="s">
        <v>103</v>
      </c>
      <c r="C14" s="10" t="s">
        <v>20</v>
      </c>
      <c r="D14" s="10">
        <v>2</v>
      </c>
      <c r="E14" s="10" t="s">
        <v>104</v>
      </c>
      <c r="F14" s="10">
        <v>8</v>
      </c>
      <c r="G14" s="10">
        <v>51</v>
      </c>
      <c r="H14" s="10">
        <v>70.7</v>
      </c>
      <c r="I14" s="10">
        <v>40</v>
      </c>
      <c r="J14" s="10">
        <v>5</v>
      </c>
      <c r="K14" s="10" t="s">
        <v>105</v>
      </c>
      <c r="L14" s="10" t="s">
        <v>68</v>
      </c>
      <c r="M14" s="10" t="s">
        <v>106</v>
      </c>
      <c r="N14" s="10">
        <v>1</v>
      </c>
      <c r="O14" s="10">
        <v>0</v>
      </c>
      <c r="P14" s="10" t="s">
        <v>107</v>
      </c>
      <c r="Q14" s="10" t="s">
        <v>108</v>
      </c>
      <c r="R14" s="10" t="s">
        <v>109</v>
      </c>
    </row>
    <row r="15" spans="1:18">
      <c r="A15" s="10" t="s">
        <v>110</v>
      </c>
      <c r="B15" s="10" t="s">
        <v>111</v>
      </c>
      <c r="C15" s="10" t="s">
        <v>20</v>
      </c>
      <c r="D15" s="10">
        <v>2</v>
      </c>
      <c r="E15" s="10" t="s">
        <v>112</v>
      </c>
      <c r="F15" s="10">
        <v>10</v>
      </c>
      <c r="G15" s="10">
        <v>65</v>
      </c>
      <c r="H15" s="10">
        <v>75.6</v>
      </c>
      <c r="I15" s="10">
        <v>42</v>
      </c>
      <c r="J15" s="10">
        <v>5</v>
      </c>
      <c r="K15" s="10" t="s">
        <v>113</v>
      </c>
      <c r="L15" s="10" t="s">
        <v>114</v>
      </c>
      <c r="M15" s="10" t="s">
        <v>69</v>
      </c>
      <c r="N15" s="10">
        <v>8</v>
      </c>
      <c r="O15" s="10">
        <v>0</v>
      </c>
      <c r="P15" s="10" t="s">
        <v>115</v>
      </c>
      <c r="Q15" s="10" t="s">
        <v>116</v>
      </c>
      <c r="R15" s="10" t="s">
        <v>117</v>
      </c>
    </row>
    <row r="16" spans="1:18">
      <c r="A16" s="10" t="s">
        <v>118</v>
      </c>
      <c r="B16" s="10" t="s">
        <v>119</v>
      </c>
      <c r="C16" s="10" t="s">
        <v>20</v>
      </c>
      <c r="D16" s="10">
        <v>2</v>
      </c>
      <c r="E16" s="10" t="s">
        <v>120</v>
      </c>
      <c r="F16" s="10">
        <v>12</v>
      </c>
      <c r="G16" s="10">
        <v>91</v>
      </c>
      <c r="H16" s="10">
        <v>59.5</v>
      </c>
      <c r="I16" s="10">
        <v>44</v>
      </c>
      <c r="J16" s="10">
        <v>5</v>
      </c>
      <c r="K16" s="10" t="s">
        <v>121</v>
      </c>
      <c r="L16" s="10" t="s">
        <v>122</v>
      </c>
      <c r="M16" s="10" t="s">
        <v>123</v>
      </c>
      <c r="N16" s="10">
        <v>20</v>
      </c>
      <c r="O16" s="10">
        <v>0</v>
      </c>
      <c r="P16" s="10" t="s">
        <v>124</v>
      </c>
      <c r="Q16" s="10" t="s">
        <v>125</v>
      </c>
      <c r="R16" s="10" t="s">
        <v>126</v>
      </c>
    </row>
    <row r="17" spans="1:18">
      <c r="A17" s="10" t="s">
        <v>127</v>
      </c>
      <c r="B17" s="10" t="s">
        <v>128</v>
      </c>
      <c r="C17" s="10" t="s">
        <v>20</v>
      </c>
      <c r="D17" s="10">
        <v>2</v>
      </c>
      <c r="E17" s="10" t="s">
        <v>129</v>
      </c>
      <c r="F17" s="10">
        <v>9</v>
      </c>
      <c r="G17" s="10">
        <v>112</v>
      </c>
      <c r="H17" s="10">
        <v>50.8</v>
      </c>
      <c r="I17" s="10">
        <v>40</v>
      </c>
      <c r="J17" s="10">
        <v>5</v>
      </c>
      <c r="K17" s="10" t="s">
        <v>130</v>
      </c>
      <c r="L17" s="10" t="s">
        <v>122</v>
      </c>
      <c r="M17" s="10" t="s">
        <v>53</v>
      </c>
      <c r="N17" s="10">
        <v>26</v>
      </c>
      <c r="O17" s="10">
        <v>8</v>
      </c>
      <c r="P17" s="10" t="s">
        <v>131</v>
      </c>
      <c r="Q17" s="10" t="s">
        <v>132</v>
      </c>
      <c r="R17" s="10" t="s">
        <v>133</v>
      </c>
    </row>
    <row r="18" spans="1:18">
      <c r="A18" s="10" t="s">
        <v>134</v>
      </c>
      <c r="B18" s="10" t="s">
        <v>135</v>
      </c>
      <c r="C18" s="10" t="s">
        <v>20</v>
      </c>
      <c r="D18" s="10">
        <v>2</v>
      </c>
      <c r="E18" s="10" t="s">
        <v>136</v>
      </c>
      <c r="F18" s="10">
        <v>8</v>
      </c>
      <c r="G18" s="10">
        <v>68</v>
      </c>
      <c r="H18" s="10">
        <v>59.5</v>
      </c>
      <c r="I18" s="10">
        <v>92</v>
      </c>
      <c r="J18" s="10">
        <v>5</v>
      </c>
      <c r="K18" s="10" t="s">
        <v>137</v>
      </c>
      <c r="L18" s="10" t="s">
        <v>29</v>
      </c>
      <c r="M18" s="10" t="s">
        <v>138</v>
      </c>
      <c r="N18" s="10">
        <v>18</v>
      </c>
      <c r="O18" s="10">
        <v>8</v>
      </c>
      <c r="P18" s="10" t="s">
        <v>139</v>
      </c>
      <c r="Q18" s="10" t="s">
        <v>140</v>
      </c>
      <c r="R18" s="10" t="s">
        <v>141</v>
      </c>
    </row>
    <row r="19" spans="1:18">
      <c r="A19" s="10" t="s">
        <v>142</v>
      </c>
      <c r="B19" s="10" t="s">
        <v>143</v>
      </c>
      <c r="C19" s="10" t="s">
        <v>20</v>
      </c>
      <c r="D19" s="10">
        <v>2</v>
      </c>
      <c r="E19" s="10" t="s">
        <v>144</v>
      </c>
      <c r="F19" s="10">
        <v>8</v>
      </c>
      <c r="G19" s="10">
        <v>68</v>
      </c>
      <c r="H19" s="10">
        <v>59.5</v>
      </c>
      <c r="I19" s="10">
        <v>92</v>
      </c>
      <c r="J19" s="10">
        <v>5</v>
      </c>
      <c r="K19" s="10" t="s">
        <v>145</v>
      </c>
      <c r="L19" s="10" t="s">
        <v>52</v>
      </c>
      <c r="M19" s="10" t="s">
        <v>53</v>
      </c>
      <c r="N19" s="10">
        <v>14</v>
      </c>
      <c r="O19" s="10">
        <v>0</v>
      </c>
      <c r="P19" s="10" t="s">
        <v>146</v>
      </c>
      <c r="Q19" s="10" t="s">
        <v>147</v>
      </c>
      <c r="R19" s="10" t="s">
        <v>148</v>
      </c>
    </row>
    <row r="20" spans="1:18">
      <c r="A20" s="10" t="s">
        <v>149</v>
      </c>
      <c r="B20" s="10" t="s">
        <v>150</v>
      </c>
      <c r="C20" s="10" t="s">
        <v>20</v>
      </c>
      <c r="D20" s="10">
        <v>2</v>
      </c>
      <c r="E20" s="10" t="s">
        <v>151</v>
      </c>
      <c r="F20" s="10">
        <v>8</v>
      </c>
      <c r="G20" s="10">
        <v>68</v>
      </c>
      <c r="H20" s="10">
        <v>59.5</v>
      </c>
      <c r="I20" s="10">
        <v>92</v>
      </c>
      <c r="J20" s="10">
        <v>5</v>
      </c>
      <c r="K20" s="10" t="s">
        <v>152</v>
      </c>
      <c r="L20" s="10" t="s">
        <v>52</v>
      </c>
      <c r="M20" s="10" t="s">
        <v>153</v>
      </c>
      <c r="N20" s="10">
        <v>1</v>
      </c>
      <c r="O20" s="10">
        <v>12</v>
      </c>
      <c r="P20" s="10" t="s">
        <v>154</v>
      </c>
      <c r="Q20" s="10" t="s">
        <v>155</v>
      </c>
      <c r="R20" s="10" t="s">
        <v>156</v>
      </c>
    </row>
    <row r="21" spans="1:18">
      <c r="A21" s="10" t="s">
        <v>157</v>
      </c>
      <c r="B21" s="10" t="s">
        <v>158</v>
      </c>
      <c r="C21" s="10" t="s">
        <v>20</v>
      </c>
      <c r="D21" s="10">
        <v>2</v>
      </c>
      <c r="E21" s="10" t="s">
        <v>159</v>
      </c>
      <c r="F21" s="10">
        <v>11</v>
      </c>
      <c r="G21" s="10">
        <v>71</v>
      </c>
      <c r="H21" s="10">
        <v>75.6</v>
      </c>
      <c r="I21" s="10">
        <v>42</v>
      </c>
      <c r="J21" s="10">
        <v>5</v>
      </c>
      <c r="K21" s="10"/>
      <c r="L21" s="10"/>
      <c r="M21" s="10"/>
      <c r="N21" s="10"/>
      <c r="O21" s="10"/>
      <c r="P21" s="10" t="s">
        <v>22</v>
      </c>
      <c r="Q21" s="10" t="s">
        <v>160</v>
      </c>
      <c r="R21" s="10" t="s">
        <v>161</v>
      </c>
    </row>
    <row r="22" spans="1:18">
      <c r="A22" s="10" t="s">
        <v>162</v>
      </c>
      <c r="B22" s="10" t="s">
        <v>163</v>
      </c>
      <c r="C22" s="10" t="s">
        <v>164</v>
      </c>
      <c r="D22" s="10">
        <v>3</v>
      </c>
      <c r="E22" s="10" t="s">
        <v>165</v>
      </c>
      <c r="F22" s="10">
        <v>11</v>
      </c>
      <c r="G22" s="10">
        <v>89</v>
      </c>
      <c r="H22" s="10">
        <v>58.6</v>
      </c>
      <c r="I22" s="10">
        <v>92</v>
      </c>
      <c r="J22" s="10">
        <v>5</v>
      </c>
      <c r="K22" s="10" t="s">
        <v>166</v>
      </c>
      <c r="L22" s="10" t="s">
        <v>52</v>
      </c>
      <c r="M22" s="10" t="s">
        <v>153</v>
      </c>
      <c r="N22" s="10">
        <v>1</v>
      </c>
      <c r="O22" s="10">
        <v>10</v>
      </c>
      <c r="P22" s="10" t="s">
        <v>167</v>
      </c>
      <c r="Q22" s="10" t="s">
        <v>168</v>
      </c>
      <c r="R22" s="10" t="s">
        <v>169</v>
      </c>
    </row>
    <row r="23" spans="1:18">
      <c r="A23" s="10" t="s">
        <v>170</v>
      </c>
      <c r="B23" s="10" t="s">
        <v>171</v>
      </c>
      <c r="C23" s="10" t="s">
        <v>164</v>
      </c>
      <c r="D23" s="10">
        <v>3</v>
      </c>
      <c r="E23" s="10" t="s">
        <v>172</v>
      </c>
      <c r="F23" s="10">
        <v>13</v>
      </c>
      <c r="G23" s="10">
        <v>146</v>
      </c>
      <c r="H23" s="10">
        <v>50</v>
      </c>
      <c r="I23" s="10">
        <v>40</v>
      </c>
      <c r="J23" s="10">
        <v>5</v>
      </c>
      <c r="K23" s="10" t="s">
        <v>173</v>
      </c>
      <c r="L23" s="10" t="s">
        <v>68</v>
      </c>
      <c r="M23" s="10" t="s">
        <v>69</v>
      </c>
      <c r="N23" s="10">
        <v>18</v>
      </c>
      <c r="O23" s="10">
        <v>0</v>
      </c>
      <c r="P23" s="10" t="s">
        <v>174</v>
      </c>
      <c r="Q23" s="10" t="s">
        <v>175</v>
      </c>
      <c r="R23" s="10" t="s">
        <v>176</v>
      </c>
    </row>
    <row r="24" spans="1:18">
      <c r="A24" s="10" t="s">
        <v>177</v>
      </c>
      <c r="B24" s="10" t="s">
        <v>178</v>
      </c>
      <c r="C24" s="10" t="s">
        <v>164</v>
      </c>
      <c r="D24" s="10">
        <v>3</v>
      </c>
      <c r="E24" s="10" t="s">
        <v>179</v>
      </c>
      <c r="F24" s="10">
        <v>19</v>
      </c>
      <c r="G24" s="10">
        <v>91</v>
      </c>
      <c r="H24" s="10">
        <v>65.9</v>
      </c>
      <c r="I24" s="10">
        <v>46</v>
      </c>
      <c r="J24" s="10">
        <v>5</v>
      </c>
      <c r="K24" s="10" t="s">
        <v>180</v>
      </c>
      <c r="L24" s="10" t="s">
        <v>52</v>
      </c>
      <c r="M24" s="10" t="s">
        <v>181</v>
      </c>
      <c r="N24" s="10">
        <v>22</v>
      </c>
      <c r="O24" s="10">
        <v>6</v>
      </c>
      <c r="P24" s="10" t="s">
        <v>182</v>
      </c>
      <c r="Q24" s="10" t="s">
        <v>183</v>
      </c>
      <c r="R24" s="10" t="s">
        <v>184</v>
      </c>
    </row>
    <row r="25" spans="1:18">
      <c r="A25" s="10" t="s">
        <v>185</v>
      </c>
      <c r="B25" s="10" t="s">
        <v>186</v>
      </c>
      <c r="C25" s="10" t="s">
        <v>164</v>
      </c>
      <c r="D25" s="10">
        <v>3</v>
      </c>
      <c r="E25" s="10" t="s">
        <v>187</v>
      </c>
      <c r="F25" s="10">
        <v>17</v>
      </c>
      <c r="G25" s="10">
        <v>118</v>
      </c>
      <c r="H25" s="10">
        <v>58.6</v>
      </c>
      <c r="I25" s="10">
        <v>44</v>
      </c>
      <c r="J25" s="10">
        <v>5</v>
      </c>
      <c r="K25" s="10" t="s">
        <v>188</v>
      </c>
      <c r="L25" s="10" t="s">
        <v>77</v>
      </c>
      <c r="M25" s="10" t="s">
        <v>189</v>
      </c>
      <c r="N25" s="10">
        <v>22</v>
      </c>
      <c r="O25" s="10">
        <v>7</v>
      </c>
      <c r="P25" s="10" t="s">
        <v>190</v>
      </c>
      <c r="Q25" s="10" t="s">
        <v>191</v>
      </c>
      <c r="R25" s="10" t="s">
        <v>192</v>
      </c>
    </row>
    <row r="26" spans="1:18">
      <c r="A26" s="10" t="s">
        <v>193</v>
      </c>
      <c r="B26" s="10" t="s">
        <v>194</v>
      </c>
      <c r="C26" s="10" t="s">
        <v>164</v>
      </c>
      <c r="D26" s="10">
        <v>3</v>
      </c>
      <c r="E26" s="10" t="s">
        <v>195</v>
      </c>
      <c r="F26" s="10">
        <v>11</v>
      </c>
      <c r="G26" s="10">
        <v>89</v>
      </c>
      <c r="H26" s="10">
        <v>58.6</v>
      </c>
      <c r="I26" s="10">
        <v>92</v>
      </c>
      <c r="J26" s="10">
        <v>5</v>
      </c>
      <c r="K26" s="10" t="s">
        <v>196</v>
      </c>
      <c r="L26" s="10" t="s">
        <v>52</v>
      </c>
      <c r="M26" s="10" t="s">
        <v>53</v>
      </c>
      <c r="N26" s="10">
        <v>28</v>
      </c>
      <c r="O26" s="10">
        <v>0</v>
      </c>
      <c r="P26" s="10" t="s">
        <v>197</v>
      </c>
      <c r="Q26" s="10" t="s">
        <v>198</v>
      </c>
      <c r="R26" s="10" t="s">
        <v>199</v>
      </c>
    </row>
    <row r="27" spans="1:18">
      <c r="A27" s="10" t="s">
        <v>200</v>
      </c>
      <c r="B27" s="10" t="s">
        <v>201</v>
      </c>
      <c r="C27" s="10" t="s">
        <v>164</v>
      </c>
      <c r="D27" s="10">
        <v>3</v>
      </c>
      <c r="E27" s="10" t="s">
        <v>202</v>
      </c>
      <c r="F27" s="10">
        <v>11</v>
      </c>
      <c r="G27" s="10">
        <v>89</v>
      </c>
      <c r="H27" s="10">
        <v>58.6</v>
      </c>
      <c r="I27" s="10">
        <v>92</v>
      </c>
      <c r="J27" s="10">
        <v>5</v>
      </c>
      <c r="K27" s="10" t="s">
        <v>203</v>
      </c>
      <c r="L27" s="10" t="s">
        <v>29</v>
      </c>
      <c r="M27" s="10" t="s">
        <v>30</v>
      </c>
      <c r="N27" s="10">
        <v>2</v>
      </c>
      <c r="O27" s="10">
        <v>8</v>
      </c>
      <c r="P27" s="10" t="s">
        <v>204</v>
      </c>
      <c r="Q27" s="10" t="s">
        <v>205</v>
      </c>
      <c r="R27" s="10" t="s">
        <v>206</v>
      </c>
    </row>
    <row r="28" spans="1:18">
      <c r="A28" s="10" t="s">
        <v>207</v>
      </c>
      <c r="B28" s="10" t="s">
        <v>208</v>
      </c>
      <c r="C28" s="10" t="s">
        <v>164</v>
      </c>
      <c r="D28" s="10">
        <v>3</v>
      </c>
      <c r="E28" s="10" t="s">
        <v>209</v>
      </c>
      <c r="F28" s="10">
        <v>16</v>
      </c>
      <c r="G28" s="10">
        <v>80</v>
      </c>
      <c r="H28" s="10">
        <v>56.1</v>
      </c>
      <c r="I28" s="10">
        <v>130</v>
      </c>
      <c r="J28" s="10">
        <v>5</v>
      </c>
      <c r="K28" s="10" t="s">
        <v>210</v>
      </c>
      <c r="L28" s="10" t="s">
        <v>52</v>
      </c>
      <c r="M28" s="10" t="s">
        <v>30</v>
      </c>
      <c r="N28" s="10">
        <v>7</v>
      </c>
      <c r="O28" s="10">
        <v>0</v>
      </c>
      <c r="P28" s="10" t="s">
        <v>211</v>
      </c>
      <c r="Q28" s="10" t="s">
        <v>212</v>
      </c>
      <c r="R28" s="10" t="s">
        <v>213</v>
      </c>
    </row>
    <row r="29" spans="1:18">
      <c r="A29" s="10" t="s">
        <v>214</v>
      </c>
      <c r="B29" s="10" t="s">
        <v>215</v>
      </c>
      <c r="C29" s="10" t="s">
        <v>164</v>
      </c>
      <c r="D29" s="10">
        <v>3</v>
      </c>
      <c r="E29" s="10" t="s">
        <v>216</v>
      </c>
      <c r="F29" s="10">
        <v>19</v>
      </c>
      <c r="G29" s="10">
        <v>91</v>
      </c>
      <c r="H29" s="10">
        <v>65.9</v>
      </c>
      <c r="I29" s="10">
        <v>46</v>
      </c>
      <c r="J29" s="10">
        <v>5</v>
      </c>
      <c r="K29" s="10" t="s">
        <v>217</v>
      </c>
      <c r="L29" s="10" t="s">
        <v>43</v>
      </c>
      <c r="M29" s="10" t="s">
        <v>218</v>
      </c>
      <c r="N29" s="10">
        <v>8</v>
      </c>
      <c r="O29" s="10">
        <v>5</v>
      </c>
      <c r="P29" s="10" t="s">
        <v>219</v>
      </c>
      <c r="Q29" s="10" t="s">
        <v>220</v>
      </c>
      <c r="R29" s="10" t="s">
        <v>221</v>
      </c>
    </row>
    <row r="30" spans="1:18">
      <c r="A30" s="10" t="s">
        <v>222</v>
      </c>
      <c r="B30" s="10" t="s">
        <v>223</v>
      </c>
      <c r="C30" s="10" t="s">
        <v>164</v>
      </c>
      <c r="D30" s="10">
        <v>3</v>
      </c>
      <c r="E30" s="10" t="s">
        <v>224</v>
      </c>
      <c r="F30" s="10">
        <v>14</v>
      </c>
      <c r="G30" s="10">
        <v>159</v>
      </c>
      <c r="H30" s="10">
        <v>50</v>
      </c>
      <c r="I30" s="10">
        <v>40</v>
      </c>
      <c r="J30" s="10">
        <v>5</v>
      </c>
      <c r="K30" s="10"/>
      <c r="L30" s="10"/>
      <c r="M30" s="10"/>
      <c r="N30" s="10"/>
      <c r="O30" s="10"/>
      <c r="P30" s="10" t="s">
        <v>22</v>
      </c>
      <c r="Q30" s="10" t="s">
        <v>225</v>
      </c>
      <c r="R30" s="10" t="s">
        <v>226</v>
      </c>
    </row>
    <row r="31" spans="1:18">
      <c r="A31" s="10" t="s">
        <v>227</v>
      </c>
      <c r="B31" s="10" t="s">
        <v>228</v>
      </c>
      <c r="C31" s="10" t="s">
        <v>164</v>
      </c>
      <c r="D31" s="10">
        <v>3</v>
      </c>
      <c r="E31" s="10" t="s">
        <v>229</v>
      </c>
      <c r="F31" s="10">
        <v>11</v>
      </c>
      <c r="G31" s="10">
        <v>89</v>
      </c>
      <c r="H31" s="10">
        <v>58.6</v>
      </c>
      <c r="I31" s="10">
        <v>92</v>
      </c>
      <c r="J31" s="10">
        <v>5</v>
      </c>
      <c r="K31" s="10" t="s">
        <v>230</v>
      </c>
      <c r="L31" s="10" t="s">
        <v>29</v>
      </c>
      <c r="M31" s="10" t="s">
        <v>53</v>
      </c>
      <c r="N31" s="10">
        <v>18</v>
      </c>
      <c r="O31" s="10">
        <v>8</v>
      </c>
      <c r="P31" s="10" t="s">
        <v>231</v>
      </c>
      <c r="Q31" s="10" t="s">
        <v>232</v>
      </c>
      <c r="R31" s="10" t="s">
        <v>233</v>
      </c>
    </row>
    <row r="32" spans="1:18">
      <c r="A32" s="10" t="s">
        <v>234</v>
      </c>
      <c r="B32" s="10" t="s">
        <v>235</v>
      </c>
      <c r="C32" s="10" t="s">
        <v>164</v>
      </c>
      <c r="D32" s="10">
        <v>4</v>
      </c>
      <c r="E32" s="10" t="s">
        <v>236</v>
      </c>
      <c r="F32" s="10">
        <v>22</v>
      </c>
      <c r="G32" s="10">
        <v>153</v>
      </c>
      <c r="H32" s="10">
        <v>56.6</v>
      </c>
      <c r="I32" s="10">
        <v>44</v>
      </c>
      <c r="J32" s="10">
        <v>5</v>
      </c>
      <c r="K32" s="10" t="s">
        <v>237</v>
      </c>
      <c r="L32" s="10" t="s">
        <v>29</v>
      </c>
      <c r="M32" s="10" t="s">
        <v>30</v>
      </c>
      <c r="N32" s="10">
        <v>3</v>
      </c>
      <c r="O32" s="10">
        <v>7</v>
      </c>
      <c r="P32" s="10" t="s">
        <v>238</v>
      </c>
      <c r="Q32" s="10" t="s">
        <v>239</v>
      </c>
      <c r="R32" s="10" t="s">
        <v>240</v>
      </c>
    </row>
    <row r="33" spans="1:18">
      <c r="A33" s="10" t="s">
        <v>241</v>
      </c>
      <c r="B33" s="10" t="s">
        <v>242</v>
      </c>
      <c r="C33" s="10" t="s">
        <v>164</v>
      </c>
      <c r="D33" s="10">
        <v>4</v>
      </c>
      <c r="E33" s="10" t="s">
        <v>243</v>
      </c>
      <c r="F33" s="10">
        <v>17</v>
      </c>
      <c r="G33" s="10">
        <v>109</v>
      </c>
      <c r="H33" s="10">
        <v>72</v>
      </c>
      <c r="I33" s="10">
        <v>42</v>
      </c>
      <c r="J33" s="10">
        <v>5</v>
      </c>
      <c r="K33" s="10" t="s">
        <v>244</v>
      </c>
      <c r="L33" s="10" t="s">
        <v>29</v>
      </c>
      <c r="M33" s="10" t="s">
        <v>181</v>
      </c>
      <c r="N33" s="10">
        <v>18</v>
      </c>
      <c r="O33" s="10">
        <v>7</v>
      </c>
      <c r="P33" s="10" t="s">
        <v>245</v>
      </c>
      <c r="Q33" s="10" t="s">
        <v>246</v>
      </c>
      <c r="R33" s="10" t="s">
        <v>247</v>
      </c>
    </row>
    <row r="34" spans="1:18">
      <c r="A34" s="10" t="s">
        <v>248</v>
      </c>
      <c r="B34" s="10" t="s">
        <v>249</v>
      </c>
      <c r="C34" s="10" t="s">
        <v>164</v>
      </c>
      <c r="D34" s="10">
        <v>4</v>
      </c>
      <c r="E34" s="10" t="s">
        <v>250</v>
      </c>
      <c r="F34" s="10">
        <v>16</v>
      </c>
      <c r="G34" s="10">
        <v>189</v>
      </c>
      <c r="H34" s="10">
        <v>48.4</v>
      </c>
      <c r="I34" s="10">
        <v>40</v>
      </c>
      <c r="J34" s="10">
        <v>5</v>
      </c>
      <c r="K34" s="10" t="s">
        <v>251</v>
      </c>
      <c r="L34" s="10" t="s">
        <v>114</v>
      </c>
      <c r="M34" s="10" t="s">
        <v>69</v>
      </c>
      <c r="N34" s="10">
        <v>20</v>
      </c>
      <c r="O34" s="10">
        <v>0</v>
      </c>
      <c r="P34" s="10" t="s">
        <v>252</v>
      </c>
      <c r="Q34" s="10" t="s">
        <v>253</v>
      </c>
      <c r="R34" s="10" t="s">
        <v>254</v>
      </c>
    </row>
    <row r="35" spans="1:18">
      <c r="A35" s="10" t="s">
        <v>255</v>
      </c>
      <c r="B35" s="10" t="s">
        <v>256</v>
      </c>
      <c r="C35" s="10" t="s">
        <v>164</v>
      </c>
      <c r="D35" s="10">
        <v>4</v>
      </c>
      <c r="E35" s="10" t="s">
        <v>257</v>
      </c>
      <c r="F35" s="10">
        <v>17</v>
      </c>
      <c r="G35" s="10">
        <v>109</v>
      </c>
      <c r="H35" s="10">
        <v>72</v>
      </c>
      <c r="I35" s="10">
        <v>42</v>
      </c>
      <c r="J35" s="10">
        <v>5</v>
      </c>
      <c r="K35" s="10" t="s">
        <v>258</v>
      </c>
      <c r="L35" s="10" t="s">
        <v>29</v>
      </c>
      <c r="M35" s="10" t="s">
        <v>30</v>
      </c>
      <c r="N35" s="10">
        <v>3</v>
      </c>
      <c r="O35" s="10">
        <v>8</v>
      </c>
      <c r="P35" s="10" t="s">
        <v>259</v>
      </c>
      <c r="Q35" s="10" t="s">
        <v>260</v>
      </c>
      <c r="R35" s="10" t="s">
        <v>261</v>
      </c>
    </row>
    <row r="36" spans="1:18">
      <c r="A36" s="10" t="s">
        <v>262</v>
      </c>
      <c r="B36" s="10" t="s">
        <v>263</v>
      </c>
      <c r="C36" s="10" t="s">
        <v>164</v>
      </c>
      <c r="D36" s="10">
        <v>4</v>
      </c>
      <c r="E36" s="10" t="s">
        <v>264</v>
      </c>
      <c r="F36" s="10">
        <v>16</v>
      </c>
      <c r="G36" s="10">
        <v>189</v>
      </c>
      <c r="H36" s="10">
        <v>48.4</v>
      </c>
      <c r="I36" s="10">
        <v>40</v>
      </c>
      <c r="J36" s="10">
        <v>5</v>
      </c>
      <c r="K36" s="10" t="s">
        <v>265</v>
      </c>
      <c r="L36" s="10" t="s">
        <v>122</v>
      </c>
      <c r="M36" s="10" t="s">
        <v>266</v>
      </c>
      <c r="N36" s="10">
        <v>24</v>
      </c>
      <c r="O36" s="10">
        <v>8</v>
      </c>
      <c r="P36" s="10" t="s">
        <v>267</v>
      </c>
      <c r="Q36" s="10" t="s">
        <v>268</v>
      </c>
      <c r="R36" s="10" t="s">
        <v>269</v>
      </c>
    </row>
    <row r="37" spans="1:18">
      <c r="A37" s="10" t="s">
        <v>270</v>
      </c>
      <c r="B37" s="10" t="s">
        <v>271</v>
      </c>
      <c r="C37" s="10" t="s">
        <v>164</v>
      </c>
      <c r="D37" s="10">
        <v>4</v>
      </c>
      <c r="E37" s="10" t="s">
        <v>272</v>
      </c>
      <c r="F37" s="10">
        <v>20</v>
      </c>
      <c r="G37" s="10">
        <v>104</v>
      </c>
      <c r="H37" s="10">
        <v>54.3</v>
      </c>
      <c r="I37" s="10">
        <v>130</v>
      </c>
      <c r="J37" s="10">
        <v>5</v>
      </c>
      <c r="K37" s="10" t="s">
        <v>273</v>
      </c>
      <c r="L37" s="10" t="s">
        <v>43</v>
      </c>
      <c r="M37" s="10" t="s">
        <v>53</v>
      </c>
      <c r="N37" s="10">
        <v>16</v>
      </c>
      <c r="O37" s="10">
        <v>6</v>
      </c>
      <c r="P37" s="10" t="s">
        <v>274</v>
      </c>
      <c r="Q37" s="10" t="s">
        <v>275</v>
      </c>
      <c r="R37" s="10" t="s">
        <v>276</v>
      </c>
    </row>
    <row r="38" spans="1:18">
      <c r="A38" s="10" t="s">
        <v>277</v>
      </c>
      <c r="B38" s="10" t="s">
        <v>278</v>
      </c>
      <c r="C38" s="10" t="s">
        <v>164</v>
      </c>
      <c r="D38" s="10">
        <v>4</v>
      </c>
      <c r="E38" s="10" t="s">
        <v>279</v>
      </c>
      <c r="F38" s="10">
        <v>20</v>
      </c>
      <c r="G38" s="10">
        <v>104</v>
      </c>
      <c r="H38" s="10">
        <v>54.3</v>
      </c>
      <c r="I38" s="10">
        <v>130</v>
      </c>
      <c r="J38" s="10">
        <v>5</v>
      </c>
      <c r="K38" s="10" t="s">
        <v>280</v>
      </c>
      <c r="L38" s="10" t="s">
        <v>43</v>
      </c>
      <c r="M38" s="10" t="s">
        <v>218</v>
      </c>
      <c r="N38" s="10">
        <v>10</v>
      </c>
      <c r="O38" s="10">
        <v>5</v>
      </c>
      <c r="P38" s="10" t="s">
        <v>281</v>
      </c>
      <c r="Q38" s="10" t="s">
        <v>282</v>
      </c>
      <c r="R38" s="10" t="s">
        <v>283</v>
      </c>
    </row>
    <row r="39" spans="1:18">
      <c r="A39" s="10" t="s">
        <v>284</v>
      </c>
      <c r="B39" s="10" t="s">
        <v>285</v>
      </c>
      <c r="C39" s="10" t="s">
        <v>164</v>
      </c>
      <c r="D39" s="10">
        <v>4</v>
      </c>
      <c r="E39" s="10" t="s">
        <v>286</v>
      </c>
      <c r="F39" s="10">
        <v>22</v>
      </c>
      <c r="G39" s="10">
        <v>153</v>
      </c>
      <c r="H39" s="10">
        <v>56.6</v>
      </c>
      <c r="I39" s="10">
        <v>44</v>
      </c>
      <c r="J39" s="10">
        <v>5</v>
      </c>
      <c r="K39" s="10" t="s">
        <v>287</v>
      </c>
      <c r="L39" s="10" t="s">
        <v>52</v>
      </c>
      <c r="M39" s="10" t="s">
        <v>288</v>
      </c>
      <c r="N39" s="10">
        <v>0.8</v>
      </c>
      <c r="O39" s="10">
        <v>7</v>
      </c>
      <c r="P39" s="10" t="s">
        <v>289</v>
      </c>
      <c r="Q39" s="10" t="s">
        <v>290</v>
      </c>
      <c r="R39" s="10" t="s">
        <v>291</v>
      </c>
    </row>
    <row r="40" spans="1:18">
      <c r="A40" s="10" t="s">
        <v>292</v>
      </c>
      <c r="B40" s="10" t="s">
        <v>293</v>
      </c>
      <c r="C40" s="10" t="s">
        <v>164</v>
      </c>
      <c r="D40" s="10">
        <v>4</v>
      </c>
      <c r="E40" s="10" t="s">
        <v>294</v>
      </c>
      <c r="F40" s="10">
        <v>15</v>
      </c>
      <c r="G40" s="10">
        <v>115</v>
      </c>
      <c r="H40" s="10">
        <v>56.6</v>
      </c>
      <c r="I40" s="10">
        <v>92</v>
      </c>
      <c r="J40" s="10">
        <v>5</v>
      </c>
      <c r="K40" s="10" t="s">
        <v>295</v>
      </c>
      <c r="L40" s="10" t="s">
        <v>77</v>
      </c>
      <c r="M40" s="10" t="s">
        <v>266</v>
      </c>
      <c r="N40" s="10">
        <v>20</v>
      </c>
      <c r="O40" s="10">
        <v>7</v>
      </c>
      <c r="P40" s="10" t="s">
        <v>296</v>
      </c>
      <c r="Q40" s="10" t="s">
        <v>297</v>
      </c>
      <c r="R40" s="10" t="s">
        <v>298</v>
      </c>
    </row>
    <row r="41" spans="1:18">
      <c r="A41" s="10" t="s">
        <v>299</v>
      </c>
      <c r="B41" s="10" t="s">
        <v>300</v>
      </c>
      <c r="C41" s="10" t="s">
        <v>164</v>
      </c>
      <c r="D41" s="10">
        <v>4</v>
      </c>
      <c r="E41" s="10" t="s">
        <v>301</v>
      </c>
      <c r="F41" s="10">
        <v>27</v>
      </c>
      <c r="G41" s="10">
        <v>128</v>
      </c>
      <c r="H41" s="10">
        <v>63.7</v>
      </c>
      <c r="I41" s="10">
        <v>46</v>
      </c>
      <c r="J41" s="10">
        <v>5</v>
      </c>
      <c r="K41" s="10"/>
      <c r="L41" s="10"/>
      <c r="M41" s="10"/>
      <c r="N41" s="10"/>
      <c r="O41" s="10"/>
      <c r="P41" s="10" t="s">
        <v>22</v>
      </c>
      <c r="Q41" s="10" t="s">
        <v>302</v>
      </c>
      <c r="R41" s="10" t="s">
        <v>303</v>
      </c>
    </row>
    <row r="42" spans="1:18">
      <c r="A42" s="10" t="s">
        <v>304</v>
      </c>
      <c r="B42" s="10" t="s">
        <v>305</v>
      </c>
      <c r="C42" s="10" t="s">
        <v>306</v>
      </c>
      <c r="D42" s="10">
        <v>5</v>
      </c>
      <c r="E42" s="10" t="s">
        <v>307</v>
      </c>
      <c r="F42" s="10">
        <v>21</v>
      </c>
      <c r="G42" s="10">
        <v>246</v>
      </c>
      <c r="H42" s="10">
        <v>46.7</v>
      </c>
      <c r="I42" s="10">
        <v>40</v>
      </c>
      <c r="J42" s="10">
        <v>5</v>
      </c>
      <c r="K42" s="10" t="s">
        <v>308</v>
      </c>
      <c r="L42" s="10" t="s">
        <v>52</v>
      </c>
      <c r="M42" s="10" t="s">
        <v>288</v>
      </c>
      <c r="N42" s="10">
        <v>1</v>
      </c>
      <c r="O42" s="10">
        <v>9</v>
      </c>
      <c r="P42" s="10" t="s">
        <v>309</v>
      </c>
      <c r="Q42" s="10" t="s">
        <v>310</v>
      </c>
      <c r="R42" s="10" t="s">
        <v>311</v>
      </c>
    </row>
    <row r="43" spans="1:18">
      <c r="A43" s="10" t="s">
        <v>312</v>
      </c>
      <c r="B43" s="10" t="s">
        <v>313</v>
      </c>
      <c r="C43" s="10" t="s">
        <v>306</v>
      </c>
      <c r="D43" s="10">
        <v>5</v>
      </c>
      <c r="E43" s="10" t="s">
        <v>314</v>
      </c>
      <c r="F43" s="10">
        <v>32</v>
      </c>
      <c r="G43" s="10">
        <v>152</v>
      </c>
      <c r="H43" s="10">
        <v>61.6</v>
      </c>
      <c r="I43" s="10">
        <v>46</v>
      </c>
      <c r="J43" s="10">
        <v>5</v>
      </c>
      <c r="K43" s="10" t="s">
        <v>315</v>
      </c>
      <c r="L43" s="10" t="s">
        <v>43</v>
      </c>
      <c r="M43" s="10" t="s">
        <v>218</v>
      </c>
      <c r="N43" s="10">
        <v>16</v>
      </c>
      <c r="O43" s="10">
        <v>5.5</v>
      </c>
      <c r="P43" s="10" t="s">
        <v>316</v>
      </c>
      <c r="Q43" s="10" t="s">
        <v>317</v>
      </c>
      <c r="R43" s="10" t="s">
        <v>318</v>
      </c>
    </row>
    <row r="44" spans="1:18">
      <c r="A44" s="10" t="s">
        <v>319</v>
      </c>
      <c r="B44" s="10" t="s">
        <v>320</v>
      </c>
      <c r="C44" s="10" t="s">
        <v>306</v>
      </c>
      <c r="D44" s="10">
        <v>5</v>
      </c>
      <c r="E44" s="10" t="s">
        <v>321</v>
      </c>
      <c r="F44" s="10">
        <v>29</v>
      </c>
      <c r="G44" s="10">
        <v>199</v>
      </c>
      <c r="H44" s="10">
        <v>54.7</v>
      </c>
      <c r="I44" s="10">
        <v>44</v>
      </c>
      <c r="J44" s="10">
        <v>5</v>
      </c>
      <c r="K44" s="10" t="s">
        <v>322</v>
      </c>
      <c r="L44" s="10" t="s">
        <v>68</v>
      </c>
      <c r="M44" s="10" t="s">
        <v>106</v>
      </c>
      <c r="N44" s="10">
        <v>1</v>
      </c>
      <c r="O44" s="10">
        <v>0</v>
      </c>
      <c r="P44" s="10" t="s">
        <v>323</v>
      </c>
      <c r="Q44" s="10" t="s">
        <v>324</v>
      </c>
      <c r="R44" s="10" t="s">
        <v>325</v>
      </c>
    </row>
    <row r="45" spans="1:18">
      <c r="A45" s="10" t="s">
        <v>326</v>
      </c>
      <c r="B45" s="10" t="s">
        <v>327</v>
      </c>
      <c r="C45" s="10" t="s">
        <v>306</v>
      </c>
      <c r="D45" s="10">
        <v>5</v>
      </c>
      <c r="E45" s="10" t="s">
        <v>328</v>
      </c>
      <c r="F45" s="10">
        <v>21</v>
      </c>
      <c r="G45" s="10">
        <v>246</v>
      </c>
      <c r="H45" s="10">
        <v>46.7</v>
      </c>
      <c r="I45" s="10">
        <v>40</v>
      </c>
      <c r="J45" s="10">
        <v>5</v>
      </c>
      <c r="K45" s="10" t="s">
        <v>329</v>
      </c>
      <c r="L45" s="10" t="s">
        <v>52</v>
      </c>
      <c r="M45" s="10" t="s">
        <v>288</v>
      </c>
      <c r="N45" s="10">
        <v>1.2</v>
      </c>
      <c r="O45" s="10">
        <v>9</v>
      </c>
      <c r="P45" s="10" t="s">
        <v>330</v>
      </c>
      <c r="Q45" s="10" t="s">
        <v>331</v>
      </c>
      <c r="R45" s="10" t="s">
        <v>332</v>
      </c>
    </row>
    <row r="46" spans="1:18">
      <c r="A46" s="10" t="s">
        <v>333</v>
      </c>
      <c r="B46" s="10" t="s">
        <v>334</v>
      </c>
      <c r="C46" s="10" t="s">
        <v>306</v>
      </c>
      <c r="D46" s="10">
        <v>5</v>
      </c>
      <c r="E46" s="10" t="s">
        <v>335</v>
      </c>
      <c r="F46" s="10">
        <v>24</v>
      </c>
      <c r="G46" s="10">
        <v>267</v>
      </c>
      <c r="H46" s="10">
        <v>46.7</v>
      </c>
      <c r="I46" s="10">
        <v>40</v>
      </c>
      <c r="J46" s="10">
        <v>5</v>
      </c>
      <c r="K46" s="10"/>
      <c r="L46" s="10"/>
      <c r="M46" s="10"/>
      <c r="N46" s="10"/>
      <c r="O46" s="10"/>
      <c r="P46" s="10" t="s">
        <v>22</v>
      </c>
      <c r="Q46" s="10" t="s">
        <v>336</v>
      </c>
      <c r="R46" s="10" t="s">
        <v>337</v>
      </c>
    </row>
    <row r="47" spans="1:18">
      <c r="A47" s="10" t="s">
        <v>338</v>
      </c>
      <c r="B47" s="10" t="s">
        <v>339</v>
      </c>
      <c r="C47" s="10" t="s">
        <v>306</v>
      </c>
      <c r="D47" s="10">
        <v>5</v>
      </c>
      <c r="E47" s="10" t="s">
        <v>340</v>
      </c>
      <c r="F47" s="10">
        <v>27</v>
      </c>
      <c r="G47" s="10">
        <v>135</v>
      </c>
      <c r="H47" s="10">
        <v>52.4</v>
      </c>
      <c r="I47" s="10">
        <v>130</v>
      </c>
      <c r="J47" s="10">
        <v>5</v>
      </c>
      <c r="K47" s="10" t="s">
        <v>341</v>
      </c>
      <c r="L47" s="10" t="s">
        <v>29</v>
      </c>
      <c r="M47" s="10" t="s">
        <v>138</v>
      </c>
      <c r="N47" s="10">
        <v>28</v>
      </c>
      <c r="O47" s="10">
        <v>8</v>
      </c>
      <c r="P47" s="10" t="s">
        <v>342</v>
      </c>
      <c r="Q47" s="10" t="s">
        <v>343</v>
      </c>
      <c r="R47" s="10" t="s">
        <v>344</v>
      </c>
    </row>
    <row r="48" spans="1:18">
      <c r="A48" s="10" t="s">
        <v>345</v>
      </c>
      <c r="B48" s="10" t="s">
        <v>346</v>
      </c>
      <c r="C48" s="10" t="s">
        <v>306</v>
      </c>
      <c r="D48" s="10">
        <v>5</v>
      </c>
      <c r="E48" s="10" t="s">
        <v>347</v>
      </c>
      <c r="F48" s="10">
        <v>29</v>
      </c>
      <c r="G48" s="10">
        <v>199</v>
      </c>
      <c r="H48" s="10">
        <v>54.7</v>
      </c>
      <c r="I48" s="10">
        <v>44</v>
      </c>
      <c r="J48" s="10">
        <v>5</v>
      </c>
      <c r="K48" s="10" t="s">
        <v>348</v>
      </c>
      <c r="L48" s="10" t="s">
        <v>43</v>
      </c>
      <c r="M48" s="10" t="s">
        <v>218</v>
      </c>
      <c r="N48" s="10">
        <v>18</v>
      </c>
      <c r="O48" s="10">
        <v>6</v>
      </c>
      <c r="P48" s="10" t="s">
        <v>349</v>
      </c>
      <c r="Q48" s="10" t="s">
        <v>350</v>
      </c>
      <c r="R48" s="10" t="s">
        <v>351</v>
      </c>
    </row>
    <row r="49" spans="1:18">
      <c r="A49" s="10" t="s">
        <v>352</v>
      </c>
      <c r="B49" s="10" t="s">
        <v>353</v>
      </c>
      <c r="C49" s="10" t="s">
        <v>306</v>
      </c>
      <c r="D49" s="10">
        <v>5</v>
      </c>
      <c r="E49" s="10" t="s">
        <v>354</v>
      </c>
      <c r="F49" s="10">
        <v>26</v>
      </c>
      <c r="G49" s="10">
        <v>154</v>
      </c>
      <c r="H49" s="10">
        <v>69.5</v>
      </c>
      <c r="I49" s="10">
        <v>42</v>
      </c>
      <c r="J49" s="10">
        <v>5</v>
      </c>
      <c r="K49" s="10"/>
      <c r="L49" s="10"/>
      <c r="M49" s="10"/>
      <c r="N49" s="10"/>
      <c r="O49" s="10"/>
      <c r="P49" s="10" t="s">
        <v>22</v>
      </c>
      <c r="Q49" s="10" t="s">
        <v>355</v>
      </c>
      <c r="R49" s="10" t="s">
        <v>356</v>
      </c>
    </row>
    <row r="50" spans="1:18">
      <c r="A50" s="10" t="s">
        <v>357</v>
      </c>
      <c r="B50" s="10" t="s">
        <v>358</v>
      </c>
      <c r="C50" s="10" t="s">
        <v>306</v>
      </c>
      <c r="D50" s="10">
        <v>5</v>
      </c>
      <c r="E50" s="10" t="s">
        <v>359</v>
      </c>
      <c r="F50" s="10">
        <v>27</v>
      </c>
      <c r="G50" s="10">
        <v>135</v>
      </c>
      <c r="H50" s="10">
        <v>52.4</v>
      </c>
      <c r="I50" s="10">
        <v>130</v>
      </c>
      <c r="J50" s="10">
        <v>5</v>
      </c>
      <c r="K50" s="10" t="s">
        <v>360</v>
      </c>
      <c r="L50" s="10" t="s">
        <v>43</v>
      </c>
      <c r="M50" s="10" t="s">
        <v>361</v>
      </c>
      <c r="N50" s="10">
        <v>18</v>
      </c>
      <c r="O50" s="10">
        <v>7</v>
      </c>
      <c r="P50" s="10" t="s">
        <v>362</v>
      </c>
      <c r="Q50" s="10" t="s">
        <v>363</v>
      </c>
      <c r="R50" s="10" t="s">
        <v>364</v>
      </c>
    </row>
    <row r="51" spans="1:18">
      <c r="A51" s="10" t="s">
        <v>365</v>
      </c>
      <c r="B51" s="10" t="s">
        <v>366</v>
      </c>
      <c r="C51" s="10" t="s">
        <v>306</v>
      </c>
      <c r="D51" s="10">
        <v>5</v>
      </c>
      <c r="E51" s="10" t="s">
        <v>367</v>
      </c>
      <c r="F51" s="10">
        <v>29</v>
      </c>
      <c r="G51" s="10">
        <v>199</v>
      </c>
      <c r="H51" s="10">
        <v>54.7</v>
      </c>
      <c r="I51" s="10">
        <v>44</v>
      </c>
      <c r="J51" s="10">
        <v>5</v>
      </c>
      <c r="K51" s="10" t="s">
        <v>368</v>
      </c>
      <c r="L51" s="10" t="s">
        <v>43</v>
      </c>
      <c r="M51" s="10" t="s">
        <v>44</v>
      </c>
      <c r="N51" s="10">
        <v>18</v>
      </c>
      <c r="O51" s="10">
        <v>5.5</v>
      </c>
      <c r="P51" s="10" t="s">
        <v>369</v>
      </c>
      <c r="Q51" s="10" t="s">
        <v>370</v>
      </c>
      <c r="R51" s="10" t="s">
        <v>371</v>
      </c>
    </row>
    <row r="52" spans="1:18">
      <c r="A52" s="10" t="s">
        <v>372</v>
      </c>
      <c r="B52" s="10" t="s">
        <v>373</v>
      </c>
      <c r="C52" s="10" t="s">
        <v>374</v>
      </c>
      <c r="D52" s="10">
        <v>6</v>
      </c>
      <c r="E52" s="10" t="s">
        <v>375</v>
      </c>
      <c r="F52" s="10">
        <v>27</v>
      </c>
      <c r="G52" s="10">
        <v>320</v>
      </c>
      <c r="H52" s="10">
        <v>45.1</v>
      </c>
      <c r="I52" s="10">
        <v>40</v>
      </c>
      <c r="J52" s="10">
        <v>5</v>
      </c>
      <c r="K52" s="10" t="s">
        <v>376</v>
      </c>
      <c r="L52" s="10" t="s">
        <v>29</v>
      </c>
      <c r="M52" s="10" t="s">
        <v>138</v>
      </c>
      <c r="N52" s="10">
        <v>45</v>
      </c>
      <c r="O52" s="10">
        <v>9</v>
      </c>
      <c r="P52" s="10" t="s">
        <v>377</v>
      </c>
      <c r="Q52" s="10" t="s">
        <v>378</v>
      </c>
      <c r="R52" s="10" t="s">
        <v>379</v>
      </c>
    </row>
    <row r="53" spans="1:18">
      <c r="A53" s="10" t="s">
        <v>380</v>
      </c>
      <c r="B53" s="10" t="s">
        <v>381</v>
      </c>
      <c r="C53" s="10" t="s">
        <v>374</v>
      </c>
      <c r="D53" s="10">
        <v>6</v>
      </c>
      <c r="E53" s="10" t="s">
        <v>382</v>
      </c>
      <c r="F53" s="10">
        <v>25</v>
      </c>
      <c r="G53" s="10">
        <v>194</v>
      </c>
      <c r="H53" s="10">
        <v>52.8</v>
      </c>
      <c r="I53" s="10">
        <v>92</v>
      </c>
      <c r="J53" s="10">
        <v>5</v>
      </c>
      <c r="K53" s="10" t="s">
        <v>383</v>
      </c>
      <c r="L53" s="10" t="s">
        <v>77</v>
      </c>
      <c r="M53" s="10" t="s">
        <v>53</v>
      </c>
      <c r="N53" s="10">
        <v>46</v>
      </c>
      <c r="O53" s="10">
        <v>8</v>
      </c>
      <c r="P53" s="10" t="s">
        <v>384</v>
      </c>
      <c r="Q53" s="10" t="s">
        <v>385</v>
      </c>
      <c r="R53" s="10" t="s">
        <v>386</v>
      </c>
    </row>
    <row r="54" spans="1:18">
      <c r="A54" s="10" t="s">
        <v>387</v>
      </c>
      <c r="B54" s="10" t="s">
        <v>388</v>
      </c>
      <c r="C54" s="10" t="s">
        <v>374</v>
      </c>
      <c r="D54" s="10">
        <v>6</v>
      </c>
      <c r="E54" s="10" t="s">
        <v>389</v>
      </c>
      <c r="F54" s="10">
        <v>41</v>
      </c>
      <c r="G54" s="10">
        <v>198</v>
      </c>
      <c r="H54" s="10">
        <v>59.4</v>
      </c>
      <c r="I54" s="10">
        <v>46</v>
      </c>
      <c r="J54" s="10">
        <v>5</v>
      </c>
      <c r="K54" s="10" t="s">
        <v>390</v>
      </c>
      <c r="L54" s="10" t="s">
        <v>43</v>
      </c>
      <c r="M54" s="10" t="s">
        <v>361</v>
      </c>
      <c r="N54" s="10">
        <v>24</v>
      </c>
      <c r="O54" s="10">
        <v>6</v>
      </c>
      <c r="P54" s="10" t="s">
        <v>391</v>
      </c>
      <c r="Q54" s="10" t="s">
        <v>392</v>
      </c>
      <c r="R54" s="10" t="s">
        <v>393</v>
      </c>
    </row>
    <row r="55" spans="1:18">
      <c r="A55" s="10" t="s">
        <v>394</v>
      </c>
      <c r="B55" s="10" t="s">
        <v>395</v>
      </c>
      <c r="C55" s="10" t="s">
        <v>374</v>
      </c>
      <c r="D55" s="10">
        <v>6</v>
      </c>
      <c r="E55" s="10" t="s">
        <v>396</v>
      </c>
      <c r="F55" s="10">
        <v>46</v>
      </c>
      <c r="G55" s="10">
        <v>216</v>
      </c>
      <c r="H55" s="10">
        <v>59.4</v>
      </c>
      <c r="I55" s="10">
        <v>46</v>
      </c>
      <c r="J55" s="10">
        <v>5</v>
      </c>
      <c r="K55" s="10"/>
      <c r="L55" s="10"/>
      <c r="M55" s="10"/>
      <c r="N55" s="10"/>
      <c r="O55" s="10"/>
      <c r="P55" s="10" t="s">
        <v>22</v>
      </c>
      <c r="Q55" s="10" t="s">
        <v>397</v>
      </c>
      <c r="R55" s="10" t="s">
        <v>398</v>
      </c>
    </row>
    <row r="56" spans="1:18">
      <c r="A56" s="10" t="s">
        <v>399</v>
      </c>
      <c r="B56" s="10" t="s">
        <v>400</v>
      </c>
      <c r="C56" s="10" t="s">
        <v>374</v>
      </c>
      <c r="D56" s="10">
        <v>6</v>
      </c>
      <c r="E56" s="10" t="s">
        <v>401</v>
      </c>
      <c r="F56" s="10">
        <v>29</v>
      </c>
      <c r="G56" s="10">
        <v>207</v>
      </c>
      <c r="H56" s="10">
        <v>48.4</v>
      </c>
      <c r="I56" s="10">
        <v>108</v>
      </c>
      <c r="J56" s="10">
        <v>5</v>
      </c>
      <c r="K56" s="10" t="s">
        <v>402</v>
      </c>
      <c r="L56" s="10" t="s">
        <v>43</v>
      </c>
      <c r="M56" s="10" t="s">
        <v>288</v>
      </c>
      <c r="N56" s="10">
        <v>1.4</v>
      </c>
      <c r="O56" s="10">
        <v>7</v>
      </c>
      <c r="P56" s="10" t="s">
        <v>403</v>
      </c>
      <c r="Q56" s="10" t="s">
        <v>404</v>
      </c>
      <c r="R56" s="10" t="s">
        <v>405</v>
      </c>
    </row>
    <row r="57" spans="1:18">
      <c r="A57" s="10" t="s">
        <v>406</v>
      </c>
      <c r="B57" s="10" t="s">
        <v>407</v>
      </c>
      <c r="C57" s="10" t="s">
        <v>374</v>
      </c>
      <c r="D57" s="10">
        <v>6</v>
      </c>
      <c r="E57" s="10" t="s">
        <v>408</v>
      </c>
      <c r="F57" s="10">
        <v>37</v>
      </c>
      <c r="G57" s="10">
        <v>259</v>
      </c>
      <c r="H57" s="10">
        <v>52.8</v>
      </c>
      <c r="I57" s="10">
        <v>44</v>
      </c>
      <c r="J57" s="10">
        <v>5</v>
      </c>
      <c r="K57" s="10" t="s">
        <v>409</v>
      </c>
      <c r="L57" s="10" t="s">
        <v>43</v>
      </c>
      <c r="M57" s="10" t="s">
        <v>44</v>
      </c>
      <c r="N57" s="10">
        <v>30</v>
      </c>
      <c r="O57" s="10">
        <v>5.5</v>
      </c>
      <c r="P57" s="10" t="s">
        <v>410</v>
      </c>
      <c r="Q57" s="10" t="s">
        <v>411</v>
      </c>
      <c r="R57" s="10" t="s">
        <v>412</v>
      </c>
    </row>
    <row r="58" spans="1:18">
      <c r="A58" s="10" t="s">
        <v>413</v>
      </c>
      <c r="B58" s="10" t="s">
        <v>414</v>
      </c>
      <c r="C58" s="10" t="s">
        <v>374</v>
      </c>
      <c r="D58" s="10">
        <v>6</v>
      </c>
      <c r="E58" s="10" t="s">
        <v>415</v>
      </c>
      <c r="F58" s="10">
        <v>27</v>
      </c>
      <c r="G58" s="10">
        <v>320</v>
      </c>
      <c r="H58" s="10">
        <v>45.1</v>
      </c>
      <c r="I58" s="10">
        <v>40</v>
      </c>
      <c r="J58" s="10">
        <v>5</v>
      </c>
      <c r="K58" s="10" t="s">
        <v>416</v>
      </c>
      <c r="L58" s="10" t="s">
        <v>122</v>
      </c>
      <c r="M58" s="10" t="s">
        <v>53</v>
      </c>
      <c r="N58" s="10">
        <v>52</v>
      </c>
      <c r="O58" s="10">
        <v>8</v>
      </c>
      <c r="P58" s="10" t="s">
        <v>417</v>
      </c>
      <c r="Q58" s="10" t="s">
        <v>418</v>
      </c>
      <c r="R58" s="10" t="s">
        <v>419</v>
      </c>
    </row>
    <row r="59" spans="1:18">
      <c r="A59" s="10" t="s">
        <v>420</v>
      </c>
      <c r="B59" s="10" t="s">
        <v>421</v>
      </c>
      <c r="C59" s="10" t="s">
        <v>374</v>
      </c>
      <c r="D59" s="10">
        <v>6</v>
      </c>
      <c r="E59" s="10" t="s">
        <v>422</v>
      </c>
      <c r="F59" s="10">
        <v>37</v>
      </c>
      <c r="G59" s="10">
        <v>259</v>
      </c>
      <c r="H59" s="10">
        <v>52.8</v>
      </c>
      <c r="I59" s="10">
        <v>44</v>
      </c>
      <c r="J59" s="10">
        <v>5</v>
      </c>
      <c r="K59" s="10" t="s">
        <v>423</v>
      </c>
      <c r="L59" s="10" t="s">
        <v>68</v>
      </c>
      <c r="M59" s="10" t="s">
        <v>106</v>
      </c>
      <c r="N59" s="10">
        <v>1</v>
      </c>
      <c r="O59" s="10">
        <v>0</v>
      </c>
      <c r="P59" s="10" t="s">
        <v>424</v>
      </c>
      <c r="Q59" s="10" t="s">
        <v>425</v>
      </c>
      <c r="R59" s="10" t="s">
        <v>426</v>
      </c>
    </row>
    <row r="60" spans="1:18">
      <c r="A60" s="10" t="s">
        <v>427</v>
      </c>
      <c r="B60" s="10" t="s">
        <v>428</v>
      </c>
      <c r="C60" s="10" t="s">
        <v>374</v>
      </c>
      <c r="D60" s="10">
        <v>6</v>
      </c>
      <c r="E60" s="10" t="s">
        <v>429</v>
      </c>
      <c r="F60" s="10">
        <v>34</v>
      </c>
      <c r="G60" s="10">
        <v>176</v>
      </c>
      <c r="H60" s="10">
        <v>50.6</v>
      </c>
      <c r="I60" s="10">
        <v>130</v>
      </c>
      <c r="J60" s="10">
        <v>5</v>
      </c>
      <c r="K60" s="10" t="s">
        <v>430</v>
      </c>
      <c r="L60" s="10" t="s">
        <v>43</v>
      </c>
      <c r="M60" s="10" t="s">
        <v>218</v>
      </c>
      <c r="N60" s="10">
        <v>28</v>
      </c>
      <c r="O60" s="10">
        <v>6.5</v>
      </c>
      <c r="P60" s="10" t="s">
        <v>431</v>
      </c>
      <c r="Q60" s="10" t="s">
        <v>432</v>
      </c>
      <c r="R60" s="10" t="s">
        <v>433</v>
      </c>
    </row>
    <row r="61" spans="1:18">
      <c r="A61" s="10" t="s">
        <v>434</v>
      </c>
      <c r="B61" s="10" t="s">
        <v>435</v>
      </c>
      <c r="C61" s="10" t="s">
        <v>374</v>
      </c>
      <c r="D61" s="10">
        <v>6</v>
      </c>
      <c r="E61" s="10" t="s">
        <v>436</v>
      </c>
      <c r="F61" s="10">
        <v>27</v>
      </c>
      <c r="G61" s="10">
        <v>320</v>
      </c>
      <c r="H61" s="10">
        <v>45.1</v>
      </c>
      <c r="I61" s="10">
        <v>40</v>
      </c>
      <c r="J61" s="10">
        <v>5</v>
      </c>
      <c r="K61" s="10" t="s">
        <v>437</v>
      </c>
      <c r="L61" s="10" t="s">
        <v>52</v>
      </c>
      <c r="M61" s="10" t="s">
        <v>53</v>
      </c>
      <c r="N61" s="10">
        <v>70</v>
      </c>
      <c r="O61" s="10">
        <v>0</v>
      </c>
      <c r="P61" s="10" t="s">
        <v>438</v>
      </c>
      <c r="Q61" s="10" t="s">
        <v>439</v>
      </c>
      <c r="R61" s="10" t="s">
        <v>440</v>
      </c>
    </row>
    <row r="62" spans="1:18">
      <c r="A62" s="10" t="s">
        <v>441</v>
      </c>
      <c r="B62" s="10" t="s">
        <v>442</v>
      </c>
      <c r="C62" s="10" t="s">
        <v>306</v>
      </c>
      <c r="D62" s="10">
        <v>5</v>
      </c>
      <c r="E62" s="10" t="s">
        <v>443</v>
      </c>
      <c r="F62" s="10">
        <v>0</v>
      </c>
      <c r="G62" s="10">
        <v>125</v>
      </c>
      <c r="H62" s="10">
        <v>0</v>
      </c>
      <c r="I62" s="10">
        <v>0</v>
      </c>
      <c r="J62" s="10">
        <v>3</v>
      </c>
      <c r="K62" s="10" t="s">
        <v>444</v>
      </c>
      <c r="L62" s="10" t="s">
        <v>77</v>
      </c>
      <c r="M62" s="10" t="s">
        <v>69</v>
      </c>
      <c r="N62" s="10">
        <v>10</v>
      </c>
      <c r="O62" s="10">
        <v>3</v>
      </c>
      <c r="P62" s="10" t="s">
        <v>445</v>
      </c>
      <c r="Q62" s="10" t="s">
        <v>446</v>
      </c>
      <c r="R62" s="10" t="s">
        <v>447</v>
      </c>
    </row>
    <row r="63" spans="1:18">
      <c r="A63" s="10" t="s">
        <v>448</v>
      </c>
      <c r="B63" s="10" t="s">
        <v>449</v>
      </c>
      <c r="C63" s="10" t="s">
        <v>20</v>
      </c>
      <c r="D63" s="10">
        <v>2</v>
      </c>
      <c r="E63" s="10" t="s">
        <v>450</v>
      </c>
      <c r="F63" s="10">
        <v>16</v>
      </c>
      <c r="G63" s="10">
        <v>180</v>
      </c>
      <c r="H63" s="10">
        <v>0</v>
      </c>
      <c r="I63" s="10">
        <v>210</v>
      </c>
      <c r="J63" s="10">
        <v>1.2</v>
      </c>
      <c r="K63" s="10" t="s">
        <v>451</v>
      </c>
      <c r="L63" s="10" t="s">
        <v>77</v>
      </c>
      <c r="M63" s="10" t="s">
        <v>218</v>
      </c>
      <c r="N63" s="10">
        <v>16</v>
      </c>
      <c r="O63" s="10">
        <v>1.2</v>
      </c>
      <c r="P63" s="10" t="s">
        <v>452</v>
      </c>
      <c r="Q63" s="10" t="s">
        <v>453</v>
      </c>
      <c r="R63" s="10" t="s">
        <v>454</v>
      </c>
    </row>
    <row r="64" spans="1:18">
      <c r="A64" s="10" t="s">
        <v>455</v>
      </c>
      <c r="B64" s="10" t="s">
        <v>456</v>
      </c>
      <c r="C64" s="10" t="s">
        <v>164</v>
      </c>
      <c r="D64" s="10">
        <v>3</v>
      </c>
      <c r="E64" s="10" t="s">
        <v>450</v>
      </c>
      <c r="F64" s="10">
        <v>34</v>
      </c>
      <c r="G64" s="10">
        <v>240</v>
      </c>
      <c r="H64" s="10">
        <v>0</v>
      </c>
      <c r="I64" s="10">
        <v>235</v>
      </c>
      <c r="J64" s="10">
        <v>1.9</v>
      </c>
      <c r="K64" s="10" t="s">
        <v>457</v>
      </c>
      <c r="L64" s="10" t="s">
        <v>77</v>
      </c>
      <c r="M64" s="10" t="s">
        <v>218</v>
      </c>
      <c r="N64" s="10">
        <v>34</v>
      </c>
      <c r="O64" s="10">
        <v>1.9</v>
      </c>
      <c r="P64" s="10" t="s">
        <v>458</v>
      </c>
      <c r="Q64" s="10" t="s">
        <v>459</v>
      </c>
      <c r="R64" s="10" t="s">
        <v>460</v>
      </c>
    </row>
    <row r="65" spans="1:18">
      <c r="A65" s="10" t="s">
        <v>461</v>
      </c>
      <c r="B65" s="10" t="s">
        <v>462</v>
      </c>
      <c r="C65" s="10" t="s">
        <v>306</v>
      </c>
      <c r="D65" s="10">
        <v>5</v>
      </c>
      <c r="E65" s="10" t="s">
        <v>450</v>
      </c>
      <c r="F65" s="10">
        <v>24</v>
      </c>
      <c r="G65" s="10">
        <v>220</v>
      </c>
      <c r="H65" s="10">
        <v>0</v>
      </c>
      <c r="I65" s="10">
        <v>185</v>
      </c>
      <c r="J65" s="10">
        <v>1.6</v>
      </c>
      <c r="K65" s="10" t="s">
        <v>463</v>
      </c>
      <c r="L65" s="10" t="s">
        <v>77</v>
      </c>
      <c r="M65" s="10" t="s">
        <v>218</v>
      </c>
      <c r="N65" s="10">
        <v>24</v>
      </c>
      <c r="O65" s="10">
        <v>1.6</v>
      </c>
      <c r="P65" s="10" t="s">
        <v>464</v>
      </c>
      <c r="Q65" s="10" t="s">
        <v>465</v>
      </c>
      <c r="R65" s="10" t="s">
        <v>466</v>
      </c>
    </row>
    <row r="66" spans="1:18">
      <c r="A66" s="10" t="s">
        <v>467</v>
      </c>
      <c r="B66" s="10" t="s">
        <v>468</v>
      </c>
      <c r="C66" s="10" t="s">
        <v>374</v>
      </c>
      <c r="D66" s="10">
        <v>6</v>
      </c>
      <c r="E66" s="10" t="s">
        <v>450</v>
      </c>
      <c r="F66" s="10">
        <v>42</v>
      </c>
      <c r="G66" s="10">
        <v>300</v>
      </c>
      <c r="H66" s="10">
        <v>0</v>
      </c>
      <c r="I66" s="10">
        <v>258</v>
      </c>
      <c r="J66" s="10">
        <v>2.2</v>
      </c>
      <c r="K66" s="10" t="s">
        <v>469</v>
      </c>
      <c r="L66" s="10" t="s">
        <v>77</v>
      </c>
      <c r="M66" s="10" t="s">
        <v>218</v>
      </c>
      <c r="N66" s="10">
        <v>42</v>
      </c>
      <c r="O66" s="10">
        <v>2.2</v>
      </c>
      <c r="P66" s="10" t="s">
        <v>470</v>
      </c>
      <c r="Q66" s="10" t="s">
        <v>471</v>
      </c>
      <c r="R66" s="10" t="s">
        <v>472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6"/>
  <sheetViews>
    <sheetView topLeftCell="A19" workbookViewId="0">
      <selection activeCell="W43" sqref="W43"/>
    </sheetView>
  </sheetViews>
  <sheetFormatPr defaultColWidth="9" defaultRowHeight="13.5"/>
  <cols>
    <col min="3" max="17" width="9" hidden="1" customWidth="1"/>
    <col min="18" max="18" width="50.725" customWidth="1"/>
  </cols>
  <sheetData>
    <row r="1" spans="1:27">
      <c r="A1" s="9" t="s">
        <v>0</v>
      </c>
      <c r="B1" s="9" t="s">
        <v>1</v>
      </c>
      <c r="C1" s="10" t="s">
        <v>473</v>
      </c>
      <c r="D1" s="10" t="s">
        <v>3</v>
      </c>
      <c r="E1" s="10" t="s">
        <v>4</v>
      </c>
      <c r="F1" s="9" t="s">
        <v>5</v>
      </c>
      <c r="G1" s="9" t="s">
        <v>6</v>
      </c>
      <c r="H1" s="2" t="s">
        <v>474</v>
      </c>
      <c r="I1" s="2" t="s">
        <v>475</v>
      </c>
      <c r="J1" s="9" t="s">
        <v>7</v>
      </c>
      <c r="K1" s="9" t="s">
        <v>8</v>
      </c>
      <c r="L1" s="9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9" t="s">
        <v>15</v>
      </c>
      <c r="S1" s="10" t="s">
        <v>16</v>
      </c>
      <c r="T1" s="10" t="s">
        <v>17</v>
      </c>
    </row>
    <row r="2" spans="1:27">
      <c r="A2" s="10" t="s">
        <v>18</v>
      </c>
      <c r="B2" s="11" t="s">
        <v>19</v>
      </c>
      <c r="C2" s="10" t="s">
        <v>20</v>
      </c>
      <c r="D2" s="10">
        <v>2</v>
      </c>
      <c r="E2" s="10" t="s">
        <v>21</v>
      </c>
      <c r="F2" s="10">
        <f>_xlfn.XLOOKUP($C2,$X$3:$X$6,$Y$3:$Y$6)+H2</f>
        <v>1</v>
      </c>
      <c r="G2" s="10">
        <f>_xlfn.XLOOKUP($C2,$X$3:$X$6,$Z$3:$Z$6)+I2</f>
        <v>1</v>
      </c>
      <c r="H2" s="10"/>
      <c r="I2" s="10">
        <v>-2</v>
      </c>
      <c r="J2" s="10">
        <v>60</v>
      </c>
      <c r="K2" s="10">
        <v>40</v>
      </c>
      <c r="L2" s="10">
        <f>_xlfn.XLOOKUP(C2,$X$3:$X$6,$AA$3:$AA$6)</f>
        <v>5</v>
      </c>
      <c r="M2" s="10"/>
      <c r="N2" s="10"/>
      <c r="O2" s="10"/>
      <c r="P2" s="10"/>
      <c r="Q2" s="10"/>
      <c r="R2" s="10" t="s">
        <v>476</v>
      </c>
      <c r="S2" s="10" t="s">
        <v>23</v>
      </c>
      <c r="T2" s="10" t="s">
        <v>24</v>
      </c>
      <c r="X2" t="s">
        <v>473</v>
      </c>
      <c r="Y2" t="s">
        <v>477</v>
      </c>
      <c r="Z2" t="s">
        <v>478</v>
      </c>
      <c r="AA2" t="s">
        <v>479</v>
      </c>
    </row>
    <row r="3" spans="1:27">
      <c r="A3" s="10" t="s">
        <v>25</v>
      </c>
      <c r="B3" s="11" t="s">
        <v>26</v>
      </c>
      <c r="C3" s="10" t="s">
        <v>20</v>
      </c>
      <c r="D3" s="10">
        <v>2</v>
      </c>
      <c r="E3" s="10" t="s">
        <v>27</v>
      </c>
      <c r="F3" s="10">
        <f t="shared" ref="F3:F34" si="0">_xlfn.XLOOKUP($C3,$X$3:$X$6,$Y$3:$Y$6)+H3</f>
        <v>1</v>
      </c>
      <c r="G3" s="10">
        <f t="shared" ref="G3:G34" si="1">_xlfn.XLOOKUP($C3,$X$3:$X$6,$Z$3:$Z$6)+I3</f>
        <v>1</v>
      </c>
      <c r="H3" s="10"/>
      <c r="I3" s="10">
        <v>-2</v>
      </c>
      <c r="J3" s="10">
        <v>40</v>
      </c>
      <c r="K3" s="10">
        <v>40</v>
      </c>
      <c r="L3" s="10">
        <f t="shared" ref="L3:L34" si="2">_xlfn.XLOOKUP(C3,$X$3:$X$6,$AA$3:$AA$6)</f>
        <v>5</v>
      </c>
      <c r="M3" s="10" t="s">
        <v>28</v>
      </c>
      <c r="N3" s="10" t="s">
        <v>29</v>
      </c>
      <c r="O3" s="10" t="s">
        <v>30</v>
      </c>
      <c r="P3" s="10">
        <v>1</v>
      </c>
      <c r="Q3" s="10">
        <v>6</v>
      </c>
      <c r="R3" s="10" t="s">
        <v>480</v>
      </c>
      <c r="S3" s="10" t="s">
        <v>32</v>
      </c>
      <c r="T3" s="10" t="s">
        <v>33</v>
      </c>
      <c r="X3" s="10" t="s">
        <v>20</v>
      </c>
      <c r="Y3">
        <v>1</v>
      </c>
      <c r="Z3">
        <v>3</v>
      </c>
      <c r="AA3">
        <v>5</v>
      </c>
    </row>
    <row r="4" spans="1:27">
      <c r="A4" s="10" t="s">
        <v>34</v>
      </c>
      <c r="B4" s="11" t="s">
        <v>35</v>
      </c>
      <c r="C4" s="10" t="s">
        <v>20</v>
      </c>
      <c r="D4" s="10">
        <v>2</v>
      </c>
      <c r="E4" s="10" t="s">
        <v>36</v>
      </c>
      <c r="F4" s="10">
        <f t="shared" si="0"/>
        <v>1</v>
      </c>
      <c r="G4" s="10">
        <f t="shared" si="1"/>
        <v>1</v>
      </c>
      <c r="H4" s="10"/>
      <c r="I4" s="10">
        <v>-2</v>
      </c>
      <c r="J4" s="10">
        <v>40</v>
      </c>
      <c r="K4" s="10">
        <v>80</v>
      </c>
      <c r="L4" s="10">
        <f t="shared" si="2"/>
        <v>5</v>
      </c>
      <c r="M4" s="10"/>
      <c r="N4" s="10"/>
      <c r="O4" s="10"/>
      <c r="P4" s="10"/>
      <c r="Q4" s="10"/>
      <c r="R4" s="10"/>
      <c r="S4" s="10" t="s">
        <v>37</v>
      </c>
      <c r="T4" s="10" t="s">
        <v>38</v>
      </c>
      <c r="X4" s="10" t="s">
        <v>164</v>
      </c>
      <c r="Y4">
        <v>2</v>
      </c>
      <c r="Z4">
        <v>5</v>
      </c>
      <c r="AA4">
        <v>7</v>
      </c>
    </row>
    <row r="5" spans="1:27">
      <c r="A5" s="10" t="s">
        <v>39</v>
      </c>
      <c r="B5" s="11" t="s">
        <v>40</v>
      </c>
      <c r="C5" s="10" t="s">
        <v>20</v>
      </c>
      <c r="D5" s="10">
        <v>2</v>
      </c>
      <c r="E5" s="10" t="s">
        <v>41</v>
      </c>
      <c r="F5" s="10">
        <f t="shared" si="0"/>
        <v>1</v>
      </c>
      <c r="G5" s="10">
        <v>2</v>
      </c>
      <c r="H5" s="10"/>
      <c r="I5" s="10">
        <v>-2</v>
      </c>
      <c r="J5" s="10">
        <v>40</v>
      </c>
      <c r="K5" s="10">
        <v>60</v>
      </c>
      <c r="L5" s="10">
        <f t="shared" si="2"/>
        <v>5</v>
      </c>
      <c r="M5" s="10" t="s">
        <v>42</v>
      </c>
      <c r="N5" s="10" t="s">
        <v>43</v>
      </c>
      <c r="O5" s="10" t="s">
        <v>44</v>
      </c>
      <c r="P5" s="10">
        <v>25</v>
      </c>
      <c r="Q5" s="10">
        <v>4</v>
      </c>
      <c r="R5" s="10"/>
      <c r="S5" s="10" t="s">
        <v>46</v>
      </c>
      <c r="T5" s="10" t="s">
        <v>47</v>
      </c>
      <c r="X5" s="10" t="s">
        <v>306</v>
      </c>
      <c r="Y5">
        <v>3</v>
      </c>
      <c r="Z5">
        <v>8</v>
      </c>
      <c r="AA5">
        <v>10</v>
      </c>
    </row>
    <row r="6" spans="1:27">
      <c r="A6" s="10" t="s">
        <v>48</v>
      </c>
      <c r="B6" s="11" t="s">
        <v>49</v>
      </c>
      <c r="C6" s="10" t="s">
        <v>20</v>
      </c>
      <c r="D6" s="10">
        <v>2</v>
      </c>
      <c r="E6" s="10" t="s">
        <v>50</v>
      </c>
      <c r="F6" s="10">
        <f t="shared" si="0"/>
        <v>1</v>
      </c>
      <c r="G6" s="10">
        <f t="shared" si="1"/>
        <v>3</v>
      </c>
      <c r="H6" s="10"/>
      <c r="I6" s="10"/>
      <c r="J6" s="10">
        <v>80</v>
      </c>
      <c r="K6" s="10">
        <v>40</v>
      </c>
      <c r="L6" s="10">
        <f t="shared" si="2"/>
        <v>5</v>
      </c>
      <c r="M6" s="10" t="s">
        <v>51</v>
      </c>
      <c r="N6" s="10" t="s">
        <v>52</v>
      </c>
      <c r="O6" s="10" t="s">
        <v>53</v>
      </c>
      <c r="P6" s="10">
        <v>18</v>
      </c>
      <c r="Q6" s="10">
        <v>0</v>
      </c>
      <c r="R6" s="10"/>
      <c r="S6" s="10" t="s">
        <v>55</v>
      </c>
      <c r="T6" s="10" t="s">
        <v>56</v>
      </c>
      <c r="X6" s="10" t="s">
        <v>374</v>
      </c>
      <c r="Y6">
        <v>5</v>
      </c>
      <c r="Z6">
        <v>16</v>
      </c>
      <c r="AA6">
        <v>12</v>
      </c>
    </row>
    <row r="7" spans="1:27">
      <c r="A7" s="10" t="s">
        <v>57</v>
      </c>
      <c r="B7" s="11" t="s">
        <v>58</v>
      </c>
      <c r="C7" s="10" t="s">
        <v>20</v>
      </c>
      <c r="D7" s="10">
        <v>2</v>
      </c>
      <c r="E7" s="10" t="s">
        <v>59</v>
      </c>
      <c r="F7" s="10">
        <f t="shared" si="0"/>
        <v>1</v>
      </c>
      <c r="G7" s="10">
        <f t="shared" si="1"/>
        <v>3</v>
      </c>
      <c r="H7" s="10"/>
      <c r="I7" s="10"/>
      <c r="J7" s="10">
        <v>40</v>
      </c>
      <c r="K7" s="10">
        <v>40</v>
      </c>
      <c r="L7" s="10">
        <f t="shared" si="2"/>
        <v>5</v>
      </c>
      <c r="M7" s="10" t="s">
        <v>60</v>
      </c>
      <c r="N7" s="10" t="s">
        <v>52</v>
      </c>
      <c r="O7" s="10" t="s">
        <v>30</v>
      </c>
      <c r="P7" s="10">
        <v>1</v>
      </c>
      <c r="Q7" s="10">
        <v>0</v>
      </c>
      <c r="R7" s="10" t="s">
        <v>481</v>
      </c>
      <c r="S7" s="10" t="s">
        <v>62</v>
      </c>
      <c r="T7" s="10" t="s">
        <v>63</v>
      </c>
    </row>
    <row r="8" spans="1:27">
      <c r="A8" s="10" t="s">
        <v>64</v>
      </c>
      <c r="B8" s="11" t="s">
        <v>65</v>
      </c>
      <c r="C8" s="10" t="s">
        <v>20</v>
      </c>
      <c r="D8" s="10">
        <v>2</v>
      </c>
      <c r="E8" s="10" t="s">
        <v>66</v>
      </c>
      <c r="F8" s="10">
        <f t="shared" si="0"/>
        <v>1</v>
      </c>
      <c r="G8" s="10">
        <f t="shared" si="1"/>
        <v>1</v>
      </c>
      <c r="H8" s="10"/>
      <c r="I8" s="10">
        <v>-2</v>
      </c>
      <c r="J8" s="10">
        <v>80</v>
      </c>
      <c r="K8" s="10">
        <v>80</v>
      </c>
      <c r="L8" s="10">
        <f t="shared" si="2"/>
        <v>5</v>
      </c>
      <c r="M8" s="10" t="s">
        <v>67</v>
      </c>
      <c r="N8" s="10" t="s">
        <v>68</v>
      </c>
      <c r="O8" s="10" t="s">
        <v>69</v>
      </c>
      <c r="P8" s="10">
        <v>3</v>
      </c>
      <c r="Q8" s="10">
        <v>0</v>
      </c>
      <c r="R8" s="10"/>
      <c r="S8" s="10" t="s">
        <v>71</v>
      </c>
      <c r="T8" s="10" t="s">
        <v>72</v>
      </c>
    </row>
    <row r="9" spans="1:27">
      <c r="A9" s="10" t="s">
        <v>73</v>
      </c>
      <c r="B9" s="11" t="s">
        <v>74</v>
      </c>
      <c r="C9" s="10" t="s">
        <v>20</v>
      </c>
      <c r="D9" s="10">
        <v>2</v>
      </c>
      <c r="E9" s="10" t="s">
        <v>75</v>
      </c>
      <c r="F9" s="10">
        <f t="shared" si="0"/>
        <v>1</v>
      </c>
      <c r="G9" s="10">
        <v>8</v>
      </c>
      <c r="H9" s="10"/>
      <c r="I9" s="10"/>
      <c r="J9" s="10">
        <v>80</v>
      </c>
      <c r="K9" s="10">
        <v>40</v>
      </c>
      <c r="L9" s="10">
        <f t="shared" si="2"/>
        <v>5</v>
      </c>
      <c r="M9" s="10" t="s">
        <v>76</v>
      </c>
      <c r="N9" s="10" t="s">
        <v>77</v>
      </c>
      <c r="O9" s="10" t="s">
        <v>69</v>
      </c>
      <c r="P9" s="10">
        <v>2</v>
      </c>
      <c r="Q9" s="10">
        <v>8</v>
      </c>
      <c r="R9" s="10" t="s">
        <v>482</v>
      </c>
      <c r="S9" s="10" t="s">
        <v>79</v>
      </c>
      <c r="T9" s="10" t="s">
        <v>80</v>
      </c>
    </row>
    <row r="10" spans="1:27">
      <c r="A10" s="10" t="s">
        <v>81</v>
      </c>
      <c r="B10" s="11" t="s">
        <v>82</v>
      </c>
      <c r="C10" s="10" t="s">
        <v>20</v>
      </c>
      <c r="D10" s="10">
        <v>2</v>
      </c>
      <c r="E10" s="10" t="s">
        <v>83</v>
      </c>
      <c r="F10" s="10">
        <v>0</v>
      </c>
      <c r="G10" s="10">
        <f t="shared" si="1"/>
        <v>6</v>
      </c>
      <c r="H10" s="10">
        <v>-1</v>
      </c>
      <c r="I10" s="10">
        <v>3</v>
      </c>
      <c r="J10" s="10">
        <v>20</v>
      </c>
      <c r="K10" s="10">
        <v>40</v>
      </c>
      <c r="L10" s="10">
        <f t="shared" si="2"/>
        <v>5</v>
      </c>
      <c r="M10" s="10"/>
      <c r="N10" s="10"/>
      <c r="O10" s="10"/>
      <c r="P10" s="10"/>
      <c r="Q10" s="10"/>
      <c r="R10" s="10"/>
      <c r="S10" s="10" t="s">
        <v>84</v>
      </c>
      <c r="T10" s="10" t="s">
        <v>85</v>
      </c>
    </row>
    <row r="11" spans="1:27">
      <c r="A11" s="10" t="s">
        <v>86</v>
      </c>
      <c r="B11" s="11" t="s">
        <v>87</v>
      </c>
      <c r="C11" s="10" t="s">
        <v>20</v>
      </c>
      <c r="D11" s="10">
        <v>2</v>
      </c>
      <c r="E11" s="10" t="s">
        <v>88</v>
      </c>
      <c r="F11" s="10">
        <f t="shared" si="0"/>
        <v>0</v>
      </c>
      <c r="G11" s="10">
        <f t="shared" si="1"/>
        <v>1</v>
      </c>
      <c r="H11" s="10">
        <v>-1</v>
      </c>
      <c r="I11" s="10">
        <v>-2</v>
      </c>
      <c r="J11" s="10">
        <v>40</v>
      </c>
      <c r="K11" s="10">
        <v>40</v>
      </c>
      <c r="L11" s="10">
        <f t="shared" si="2"/>
        <v>5</v>
      </c>
      <c r="M11" s="10"/>
      <c r="N11" s="10"/>
      <c r="O11" s="10"/>
      <c r="P11" s="10"/>
      <c r="Q11" s="10"/>
      <c r="R11" s="10" t="s">
        <v>483</v>
      </c>
      <c r="S11" s="10" t="s">
        <v>23</v>
      </c>
      <c r="T11" s="10" t="s">
        <v>89</v>
      </c>
    </row>
    <row r="12" spans="1:27">
      <c r="A12" s="10" t="s">
        <v>90</v>
      </c>
      <c r="B12" s="12" t="s">
        <v>91</v>
      </c>
      <c r="C12" s="10" t="s">
        <v>164</v>
      </c>
      <c r="D12" s="10">
        <v>3</v>
      </c>
      <c r="E12" s="10" t="s">
        <v>92</v>
      </c>
      <c r="F12" s="10">
        <f t="shared" si="0"/>
        <v>1</v>
      </c>
      <c r="G12" s="10">
        <f t="shared" si="1"/>
        <v>5</v>
      </c>
      <c r="H12" s="10">
        <v>-1</v>
      </c>
      <c r="I12" s="10"/>
      <c r="J12" s="10">
        <v>80</v>
      </c>
      <c r="K12" s="10">
        <v>40</v>
      </c>
      <c r="L12" s="10">
        <f t="shared" si="2"/>
        <v>7</v>
      </c>
      <c r="M12" s="10"/>
      <c r="N12" s="10"/>
      <c r="O12" s="10"/>
      <c r="P12" s="10"/>
      <c r="Q12" s="10"/>
      <c r="R12" s="10" t="s">
        <v>484</v>
      </c>
      <c r="S12" s="10" t="s">
        <v>93</v>
      </c>
      <c r="T12" s="10" t="s">
        <v>94</v>
      </c>
    </row>
    <row r="13" spans="1:27">
      <c r="A13" s="10" t="s">
        <v>95</v>
      </c>
      <c r="B13" s="12" t="s">
        <v>96</v>
      </c>
      <c r="C13" s="10" t="s">
        <v>164</v>
      </c>
      <c r="D13" s="10">
        <v>3</v>
      </c>
      <c r="E13" s="10" t="s">
        <v>97</v>
      </c>
      <c r="F13" s="10">
        <f t="shared" si="0"/>
        <v>2</v>
      </c>
      <c r="G13" s="10">
        <f t="shared" si="1"/>
        <v>3</v>
      </c>
      <c r="H13" s="10"/>
      <c r="I13" s="10">
        <v>-2</v>
      </c>
      <c r="J13" s="10">
        <v>80</v>
      </c>
      <c r="K13" s="10">
        <v>40</v>
      </c>
      <c r="L13" s="10">
        <f t="shared" si="2"/>
        <v>7</v>
      </c>
      <c r="M13" s="10" t="s">
        <v>98</v>
      </c>
      <c r="N13" s="10" t="s">
        <v>29</v>
      </c>
      <c r="O13" s="10" t="s">
        <v>53</v>
      </c>
      <c r="P13" s="10">
        <v>10</v>
      </c>
      <c r="Q13" s="10">
        <v>7</v>
      </c>
      <c r="R13" s="10" t="s">
        <v>485</v>
      </c>
      <c r="S13" s="10" t="s">
        <v>100</v>
      </c>
      <c r="T13" s="10" t="s">
        <v>101</v>
      </c>
    </row>
    <row r="14" spans="1:27">
      <c r="A14" s="10" t="s">
        <v>102</v>
      </c>
      <c r="B14" s="12" t="s">
        <v>103</v>
      </c>
      <c r="C14" s="10" t="s">
        <v>164</v>
      </c>
      <c r="D14" s="10">
        <v>3</v>
      </c>
      <c r="E14" s="10" t="s">
        <v>104</v>
      </c>
      <c r="F14" s="10">
        <f t="shared" si="0"/>
        <v>1</v>
      </c>
      <c r="G14" s="10">
        <f t="shared" si="1"/>
        <v>5</v>
      </c>
      <c r="H14" s="10">
        <v>-1</v>
      </c>
      <c r="I14" s="10"/>
      <c r="J14" s="10">
        <v>40</v>
      </c>
      <c r="K14" s="10">
        <v>80</v>
      </c>
      <c r="L14" s="10">
        <f t="shared" si="2"/>
        <v>7</v>
      </c>
      <c r="M14" s="10" t="s">
        <v>105</v>
      </c>
      <c r="N14" s="10" t="s">
        <v>68</v>
      </c>
      <c r="O14" s="10" t="s">
        <v>106</v>
      </c>
      <c r="P14" s="10">
        <v>1</v>
      </c>
      <c r="Q14" s="10">
        <v>0</v>
      </c>
      <c r="R14" s="10"/>
      <c r="S14" s="10" t="s">
        <v>108</v>
      </c>
      <c r="T14" s="10" t="s">
        <v>109</v>
      </c>
    </row>
    <row r="15" spans="1:27">
      <c r="A15" s="10" t="s">
        <v>110</v>
      </c>
      <c r="B15" s="12" t="s">
        <v>111</v>
      </c>
      <c r="C15" s="10" t="s">
        <v>164</v>
      </c>
      <c r="D15" s="10">
        <v>3</v>
      </c>
      <c r="E15" s="10" t="s">
        <v>112</v>
      </c>
      <c r="F15" s="10">
        <f t="shared" si="0"/>
        <v>2</v>
      </c>
      <c r="G15" s="10">
        <v>3</v>
      </c>
      <c r="H15" s="10"/>
      <c r="I15" s="10"/>
      <c r="J15" s="10">
        <v>40</v>
      </c>
      <c r="K15" s="10">
        <v>40</v>
      </c>
      <c r="L15" s="10">
        <f t="shared" si="2"/>
        <v>7</v>
      </c>
      <c r="M15" s="10" t="s">
        <v>113</v>
      </c>
      <c r="N15" s="10" t="s">
        <v>114</v>
      </c>
      <c r="O15" s="10" t="s">
        <v>69</v>
      </c>
      <c r="P15" s="10">
        <v>8</v>
      </c>
      <c r="Q15" s="10">
        <v>0</v>
      </c>
      <c r="R15" s="10" t="s">
        <v>486</v>
      </c>
      <c r="S15" s="10" t="s">
        <v>116</v>
      </c>
      <c r="T15" s="10" t="s">
        <v>117</v>
      </c>
    </row>
    <row r="16" spans="1:27">
      <c r="A16" s="10" t="s">
        <v>118</v>
      </c>
      <c r="B16" s="12" t="s">
        <v>119</v>
      </c>
      <c r="C16" s="10" t="s">
        <v>164</v>
      </c>
      <c r="D16" s="10">
        <v>3</v>
      </c>
      <c r="E16" s="10" t="s">
        <v>120</v>
      </c>
      <c r="F16" s="10">
        <f t="shared" si="0"/>
        <v>0</v>
      </c>
      <c r="G16" s="10">
        <f t="shared" si="1"/>
        <v>8</v>
      </c>
      <c r="H16" s="10">
        <v>-2</v>
      </c>
      <c r="I16" s="10">
        <v>3</v>
      </c>
      <c r="J16" s="10">
        <v>40</v>
      </c>
      <c r="K16" s="10">
        <v>40</v>
      </c>
      <c r="L16" s="10">
        <f t="shared" si="2"/>
        <v>7</v>
      </c>
      <c r="M16" s="10" t="s">
        <v>121</v>
      </c>
      <c r="N16" s="10" t="s">
        <v>122</v>
      </c>
      <c r="O16" s="10" t="s">
        <v>123</v>
      </c>
      <c r="P16" s="10">
        <v>20</v>
      </c>
      <c r="Q16" s="10">
        <v>0</v>
      </c>
      <c r="R16" s="10" t="s">
        <v>487</v>
      </c>
      <c r="S16" s="10" t="s">
        <v>125</v>
      </c>
      <c r="T16" s="10" t="s">
        <v>126</v>
      </c>
    </row>
    <row r="17" spans="1:20">
      <c r="A17" s="10" t="s">
        <v>127</v>
      </c>
      <c r="B17" s="12" t="s">
        <v>128</v>
      </c>
      <c r="C17" s="10" t="s">
        <v>164</v>
      </c>
      <c r="D17" s="10">
        <v>3</v>
      </c>
      <c r="E17" s="10" t="s">
        <v>129</v>
      </c>
      <c r="F17" s="10">
        <f t="shared" si="0"/>
        <v>0</v>
      </c>
      <c r="G17" s="10">
        <f t="shared" si="1"/>
        <v>5</v>
      </c>
      <c r="H17" s="10">
        <v>-2</v>
      </c>
      <c r="I17" s="10"/>
      <c r="J17" s="10">
        <v>20</v>
      </c>
      <c r="K17" s="10">
        <v>40</v>
      </c>
      <c r="L17" s="10">
        <f t="shared" si="2"/>
        <v>7</v>
      </c>
      <c r="M17" s="10" t="s">
        <v>130</v>
      </c>
      <c r="N17" s="10" t="s">
        <v>122</v>
      </c>
      <c r="O17" s="10" t="s">
        <v>53</v>
      </c>
      <c r="P17" s="10">
        <v>26</v>
      </c>
      <c r="Q17" s="10">
        <v>8</v>
      </c>
      <c r="R17" s="10" t="s">
        <v>488</v>
      </c>
      <c r="S17" s="10" t="s">
        <v>132</v>
      </c>
      <c r="T17" s="10" t="s">
        <v>133</v>
      </c>
    </row>
    <row r="18" spans="1:20">
      <c r="A18" s="10" t="s">
        <v>134</v>
      </c>
      <c r="B18" s="12" t="s">
        <v>135</v>
      </c>
      <c r="C18" s="10" t="s">
        <v>164</v>
      </c>
      <c r="D18" s="10">
        <v>3</v>
      </c>
      <c r="E18" s="10" t="s">
        <v>136</v>
      </c>
      <c r="F18" s="10">
        <f t="shared" si="0"/>
        <v>2</v>
      </c>
      <c r="G18" s="10">
        <f t="shared" si="1"/>
        <v>3</v>
      </c>
      <c r="H18" s="10"/>
      <c r="I18" s="10">
        <v>-2</v>
      </c>
      <c r="J18" s="10">
        <v>40</v>
      </c>
      <c r="K18" s="10">
        <v>40</v>
      </c>
      <c r="L18" s="10">
        <f t="shared" si="2"/>
        <v>7</v>
      </c>
      <c r="M18" s="10" t="s">
        <v>137</v>
      </c>
      <c r="N18" s="10" t="s">
        <v>29</v>
      </c>
      <c r="O18" s="10" t="s">
        <v>138</v>
      </c>
      <c r="P18" s="10">
        <v>18</v>
      </c>
      <c r="Q18" s="10">
        <v>8</v>
      </c>
      <c r="R18" s="10" t="s">
        <v>489</v>
      </c>
      <c r="S18" s="10" t="s">
        <v>140</v>
      </c>
      <c r="T18" s="10" t="s">
        <v>141</v>
      </c>
    </row>
    <row r="19" spans="1:20">
      <c r="A19" s="10" t="s">
        <v>142</v>
      </c>
      <c r="B19" s="12" t="s">
        <v>143</v>
      </c>
      <c r="C19" s="10" t="s">
        <v>164</v>
      </c>
      <c r="D19" s="10">
        <v>3</v>
      </c>
      <c r="E19" s="10" t="s">
        <v>144</v>
      </c>
      <c r="F19" s="10">
        <f t="shared" si="0"/>
        <v>2</v>
      </c>
      <c r="G19" s="10">
        <f t="shared" si="1"/>
        <v>2</v>
      </c>
      <c r="H19" s="10"/>
      <c r="I19" s="10">
        <v>-3</v>
      </c>
      <c r="J19" s="10">
        <v>40</v>
      </c>
      <c r="K19" s="10">
        <v>40</v>
      </c>
      <c r="L19" s="10">
        <f t="shared" si="2"/>
        <v>7</v>
      </c>
      <c r="M19" s="10" t="s">
        <v>145</v>
      </c>
      <c r="N19" s="10" t="s">
        <v>52</v>
      </c>
      <c r="O19" s="10" t="s">
        <v>53</v>
      </c>
      <c r="P19" s="10">
        <v>14</v>
      </c>
      <c r="Q19" s="10">
        <v>0</v>
      </c>
      <c r="R19" s="10" t="s">
        <v>490</v>
      </c>
      <c r="S19" s="10" t="s">
        <v>147</v>
      </c>
      <c r="T19" s="10" t="s">
        <v>148</v>
      </c>
    </row>
    <row r="20" spans="1:20">
      <c r="A20" s="10" t="s">
        <v>149</v>
      </c>
      <c r="B20" s="12" t="s">
        <v>150</v>
      </c>
      <c r="C20" s="10" t="s">
        <v>164</v>
      </c>
      <c r="D20" s="10">
        <v>3</v>
      </c>
      <c r="E20" s="10" t="s">
        <v>151</v>
      </c>
      <c r="F20" s="10">
        <f t="shared" si="0"/>
        <v>1</v>
      </c>
      <c r="G20" s="10">
        <f t="shared" si="1"/>
        <v>3</v>
      </c>
      <c r="H20" s="10">
        <v>-1</v>
      </c>
      <c r="I20" s="10">
        <v>-2</v>
      </c>
      <c r="J20" s="10">
        <v>40</v>
      </c>
      <c r="K20" s="10">
        <v>80</v>
      </c>
      <c r="L20" s="10">
        <f t="shared" si="2"/>
        <v>7</v>
      </c>
      <c r="M20" s="10" t="s">
        <v>152</v>
      </c>
      <c r="N20" s="10" t="s">
        <v>52</v>
      </c>
      <c r="O20" s="10" t="s">
        <v>153</v>
      </c>
      <c r="P20" s="10">
        <v>1</v>
      </c>
      <c r="Q20" s="10">
        <v>12</v>
      </c>
      <c r="R20" s="10" t="s">
        <v>491</v>
      </c>
      <c r="S20" s="10" t="s">
        <v>155</v>
      </c>
      <c r="T20" s="10" t="s">
        <v>156</v>
      </c>
    </row>
    <row r="21" spans="1:20">
      <c r="A21" s="10" t="s">
        <v>157</v>
      </c>
      <c r="B21" s="13" t="s">
        <v>158</v>
      </c>
      <c r="C21" s="10" t="s">
        <v>306</v>
      </c>
      <c r="D21" s="10">
        <v>4</v>
      </c>
      <c r="E21" s="10" t="s">
        <v>159</v>
      </c>
      <c r="F21" s="10">
        <f t="shared" si="0"/>
        <v>1</v>
      </c>
      <c r="G21" s="10">
        <v>4</v>
      </c>
      <c r="H21" s="10">
        <v>-2</v>
      </c>
      <c r="I21" s="10">
        <v>-2</v>
      </c>
      <c r="J21" s="10">
        <v>40</v>
      </c>
      <c r="K21" s="10">
        <v>40</v>
      </c>
      <c r="L21" s="10">
        <f t="shared" si="2"/>
        <v>10</v>
      </c>
      <c r="M21" s="10"/>
      <c r="N21" s="10"/>
      <c r="O21" s="10"/>
      <c r="P21" s="10"/>
      <c r="Q21" s="10"/>
      <c r="R21" s="10" t="s">
        <v>492</v>
      </c>
      <c r="S21" s="10" t="s">
        <v>160</v>
      </c>
      <c r="T21" s="10" t="s">
        <v>161</v>
      </c>
    </row>
    <row r="22" spans="1:20">
      <c r="A22" s="10" t="s">
        <v>162</v>
      </c>
      <c r="B22" s="13" t="s">
        <v>163</v>
      </c>
      <c r="C22" s="10" t="s">
        <v>306</v>
      </c>
      <c r="D22" s="10">
        <v>4</v>
      </c>
      <c r="E22" s="10" t="s">
        <v>165</v>
      </c>
      <c r="F22" s="10">
        <f t="shared" si="0"/>
        <v>3</v>
      </c>
      <c r="G22" s="10">
        <f t="shared" si="1"/>
        <v>7</v>
      </c>
      <c r="H22" s="10"/>
      <c r="I22" s="10">
        <v>-1</v>
      </c>
      <c r="J22" s="10">
        <v>40</v>
      </c>
      <c r="K22" s="10">
        <v>40</v>
      </c>
      <c r="L22" s="10">
        <f t="shared" si="2"/>
        <v>10</v>
      </c>
      <c r="M22" s="10" t="s">
        <v>166</v>
      </c>
      <c r="N22" s="10" t="s">
        <v>52</v>
      </c>
      <c r="O22" s="10" t="s">
        <v>153</v>
      </c>
      <c r="P22" s="10">
        <v>1</v>
      </c>
      <c r="Q22" s="10">
        <v>10</v>
      </c>
      <c r="R22" s="10" t="s">
        <v>493</v>
      </c>
      <c r="S22" s="10" t="s">
        <v>168</v>
      </c>
      <c r="T22" s="10" t="s">
        <v>169</v>
      </c>
    </row>
    <row r="23" spans="1:20">
      <c r="A23" s="10" t="s">
        <v>170</v>
      </c>
      <c r="B23" s="13" t="s">
        <v>171</v>
      </c>
      <c r="C23" s="10" t="s">
        <v>306</v>
      </c>
      <c r="D23" s="10">
        <v>4</v>
      </c>
      <c r="E23" s="10" t="s">
        <v>172</v>
      </c>
      <c r="F23" s="10">
        <f t="shared" si="0"/>
        <v>2</v>
      </c>
      <c r="G23" s="10">
        <f t="shared" si="1"/>
        <v>15</v>
      </c>
      <c r="H23" s="10">
        <v>-1</v>
      </c>
      <c r="I23" s="10">
        <v>7</v>
      </c>
      <c r="J23" s="10">
        <v>40</v>
      </c>
      <c r="K23" s="10">
        <v>40</v>
      </c>
      <c r="L23" s="10">
        <f t="shared" si="2"/>
        <v>10</v>
      </c>
      <c r="M23" s="10" t="s">
        <v>173</v>
      </c>
      <c r="N23" s="10" t="s">
        <v>68</v>
      </c>
      <c r="O23" s="10" t="s">
        <v>69</v>
      </c>
      <c r="P23" s="10">
        <v>18</v>
      </c>
      <c r="Q23" s="10">
        <v>0</v>
      </c>
      <c r="R23" s="10" t="s">
        <v>494</v>
      </c>
      <c r="S23" s="10" t="s">
        <v>175</v>
      </c>
      <c r="T23" s="10" t="s">
        <v>176</v>
      </c>
    </row>
    <row r="24" spans="1:20">
      <c r="A24" s="10" t="s">
        <v>177</v>
      </c>
      <c r="B24" s="13" t="s">
        <v>178</v>
      </c>
      <c r="C24" s="10" t="s">
        <v>306</v>
      </c>
      <c r="D24" s="10">
        <v>4</v>
      </c>
      <c r="E24" s="10" t="s">
        <v>179</v>
      </c>
      <c r="F24" s="10">
        <f t="shared" si="0"/>
        <v>3</v>
      </c>
      <c r="G24" s="10">
        <f t="shared" si="1"/>
        <v>3</v>
      </c>
      <c r="H24" s="10"/>
      <c r="I24" s="10">
        <v>-5</v>
      </c>
      <c r="J24" s="10">
        <v>40</v>
      </c>
      <c r="K24" s="10">
        <v>40</v>
      </c>
      <c r="L24" s="10">
        <f t="shared" si="2"/>
        <v>10</v>
      </c>
      <c r="M24" s="10" t="s">
        <v>180</v>
      </c>
      <c r="N24" s="10" t="s">
        <v>52</v>
      </c>
      <c r="O24" s="10" t="s">
        <v>181</v>
      </c>
      <c r="P24" s="10">
        <v>22</v>
      </c>
      <c r="Q24" s="10">
        <v>6</v>
      </c>
      <c r="R24" s="10" t="s">
        <v>495</v>
      </c>
      <c r="S24" s="10" t="s">
        <v>183</v>
      </c>
      <c r="T24" s="10" t="s">
        <v>184</v>
      </c>
    </row>
    <row r="25" spans="1:20">
      <c r="A25" s="10" t="s">
        <v>185</v>
      </c>
      <c r="B25" s="13" t="s">
        <v>186</v>
      </c>
      <c r="C25" s="10" t="s">
        <v>306</v>
      </c>
      <c r="D25" s="10">
        <v>4</v>
      </c>
      <c r="E25" s="10" t="s">
        <v>187</v>
      </c>
      <c r="F25" s="10">
        <f t="shared" si="0"/>
        <v>3</v>
      </c>
      <c r="G25" s="10">
        <f t="shared" si="1"/>
        <v>8</v>
      </c>
      <c r="H25" s="10"/>
      <c r="I25" s="10"/>
      <c r="J25" s="10">
        <v>60</v>
      </c>
      <c r="K25" s="10">
        <v>40</v>
      </c>
      <c r="L25" s="10">
        <f t="shared" si="2"/>
        <v>10</v>
      </c>
      <c r="M25" s="10" t="s">
        <v>188</v>
      </c>
      <c r="N25" s="10" t="s">
        <v>77</v>
      </c>
      <c r="O25" s="10" t="s">
        <v>189</v>
      </c>
      <c r="P25" s="10">
        <v>22</v>
      </c>
      <c r="Q25" s="10">
        <v>7</v>
      </c>
      <c r="R25" s="10" t="s">
        <v>496</v>
      </c>
      <c r="S25" s="10" t="s">
        <v>191</v>
      </c>
      <c r="T25" s="10" t="s">
        <v>192</v>
      </c>
    </row>
    <row r="26" spans="1:20">
      <c r="A26" s="10" t="s">
        <v>193</v>
      </c>
      <c r="B26" s="13" t="s">
        <v>194</v>
      </c>
      <c r="C26" s="10" t="s">
        <v>306</v>
      </c>
      <c r="D26" s="10">
        <v>4</v>
      </c>
      <c r="E26" s="10" t="s">
        <v>195</v>
      </c>
      <c r="F26" s="10">
        <f t="shared" si="0"/>
        <v>1</v>
      </c>
      <c r="G26" s="10">
        <f t="shared" si="1"/>
        <v>8</v>
      </c>
      <c r="H26" s="10">
        <v>-2</v>
      </c>
      <c r="I26" s="10"/>
      <c r="J26" s="10">
        <v>40</v>
      </c>
      <c r="K26" s="10">
        <v>40</v>
      </c>
      <c r="L26" s="10">
        <f t="shared" si="2"/>
        <v>10</v>
      </c>
      <c r="M26" s="10" t="s">
        <v>196</v>
      </c>
      <c r="N26" s="10" t="s">
        <v>52</v>
      </c>
      <c r="O26" s="10" t="s">
        <v>53</v>
      </c>
      <c r="P26" s="10">
        <v>28</v>
      </c>
      <c r="Q26" s="10">
        <v>0</v>
      </c>
      <c r="R26" s="10" t="s">
        <v>497</v>
      </c>
      <c r="S26" s="10" t="s">
        <v>198</v>
      </c>
      <c r="T26" s="10" t="s">
        <v>199</v>
      </c>
    </row>
    <row r="27" spans="1:20">
      <c r="A27" s="10" t="s">
        <v>200</v>
      </c>
      <c r="B27" s="13" t="s">
        <v>201</v>
      </c>
      <c r="C27" s="10" t="s">
        <v>306</v>
      </c>
      <c r="D27" s="10">
        <v>4</v>
      </c>
      <c r="E27" s="10" t="s">
        <v>202</v>
      </c>
      <c r="F27" s="10">
        <f t="shared" si="0"/>
        <v>1</v>
      </c>
      <c r="G27" s="10">
        <f t="shared" si="1"/>
        <v>3</v>
      </c>
      <c r="H27" s="10">
        <v>-2</v>
      </c>
      <c r="I27" s="10">
        <v>-5</v>
      </c>
      <c r="J27" s="10">
        <v>40</v>
      </c>
      <c r="K27" s="10">
        <v>80</v>
      </c>
      <c r="L27" s="10">
        <f t="shared" si="2"/>
        <v>10</v>
      </c>
      <c r="M27" s="10" t="s">
        <v>203</v>
      </c>
      <c r="N27" s="10" t="s">
        <v>29</v>
      </c>
      <c r="O27" s="10" t="s">
        <v>30</v>
      </c>
      <c r="P27" s="10">
        <v>2</v>
      </c>
      <c r="Q27" s="10">
        <v>8</v>
      </c>
      <c r="R27" s="10" t="s">
        <v>476</v>
      </c>
      <c r="S27" s="10" t="s">
        <v>205</v>
      </c>
      <c r="T27" s="10" t="s">
        <v>206</v>
      </c>
    </row>
    <row r="28" spans="1:20">
      <c r="A28" s="10" t="s">
        <v>207</v>
      </c>
      <c r="B28" s="13" t="s">
        <v>208</v>
      </c>
      <c r="C28" s="10" t="s">
        <v>306</v>
      </c>
      <c r="D28" s="10">
        <v>4</v>
      </c>
      <c r="E28" s="10" t="s">
        <v>209</v>
      </c>
      <c r="F28" s="10">
        <f t="shared" si="0"/>
        <v>2</v>
      </c>
      <c r="G28" s="10">
        <v>5</v>
      </c>
      <c r="H28" s="10">
        <v>-1</v>
      </c>
      <c r="I28" s="10"/>
      <c r="J28" s="10">
        <v>40</v>
      </c>
      <c r="K28" s="10">
        <v>100</v>
      </c>
      <c r="L28" s="10">
        <f t="shared" si="2"/>
        <v>10</v>
      </c>
      <c r="M28" s="10" t="s">
        <v>210</v>
      </c>
      <c r="N28" s="10" t="s">
        <v>52</v>
      </c>
      <c r="O28" s="10" t="s">
        <v>30</v>
      </c>
      <c r="P28" s="10">
        <v>7</v>
      </c>
      <c r="Q28" s="10">
        <v>0</v>
      </c>
      <c r="R28" s="10" t="s">
        <v>498</v>
      </c>
      <c r="S28" s="10" t="s">
        <v>212</v>
      </c>
      <c r="T28" s="10" t="s">
        <v>213</v>
      </c>
    </row>
    <row r="29" spans="1:20">
      <c r="A29" s="10" t="s">
        <v>214</v>
      </c>
      <c r="B29" s="13" t="s">
        <v>215</v>
      </c>
      <c r="C29" s="10" t="s">
        <v>306</v>
      </c>
      <c r="D29" s="10">
        <v>4</v>
      </c>
      <c r="E29" s="10" t="s">
        <v>216</v>
      </c>
      <c r="F29" s="10">
        <v>2</v>
      </c>
      <c r="G29" s="10">
        <f t="shared" si="1"/>
        <v>8</v>
      </c>
      <c r="H29" s="10"/>
      <c r="I29" s="10"/>
      <c r="J29" s="10">
        <v>80</v>
      </c>
      <c r="K29" s="10">
        <v>40</v>
      </c>
      <c r="L29" s="10">
        <f t="shared" si="2"/>
        <v>10</v>
      </c>
      <c r="M29" s="10" t="s">
        <v>217</v>
      </c>
      <c r="N29" s="10" t="s">
        <v>43</v>
      </c>
      <c r="O29" s="10" t="s">
        <v>218</v>
      </c>
      <c r="P29" s="10">
        <v>8</v>
      </c>
      <c r="Q29" s="10">
        <v>5</v>
      </c>
      <c r="R29" s="10" t="s">
        <v>499</v>
      </c>
      <c r="S29" s="10" t="s">
        <v>220</v>
      </c>
      <c r="T29" s="10" t="s">
        <v>221</v>
      </c>
    </row>
    <row r="30" spans="1:20">
      <c r="A30" s="10" t="s">
        <v>222</v>
      </c>
      <c r="B30" s="13" t="s">
        <v>223</v>
      </c>
      <c r="C30" s="10" t="s">
        <v>306</v>
      </c>
      <c r="D30" s="10">
        <v>4</v>
      </c>
      <c r="E30" s="10" t="s">
        <v>224</v>
      </c>
      <c r="F30" s="10">
        <f t="shared" si="0"/>
        <v>3</v>
      </c>
      <c r="G30" s="10">
        <f t="shared" si="1"/>
        <v>3</v>
      </c>
      <c r="H30" s="10"/>
      <c r="I30" s="10">
        <v>-5</v>
      </c>
      <c r="J30" s="10">
        <v>40</v>
      </c>
      <c r="K30" s="10">
        <v>40</v>
      </c>
      <c r="L30" s="10">
        <f t="shared" si="2"/>
        <v>10</v>
      </c>
      <c r="M30" s="10"/>
      <c r="N30" s="10"/>
      <c r="O30" s="10"/>
      <c r="P30" s="10"/>
      <c r="Q30" s="10"/>
      <c r="R30" s="10" t="s">
        <v>500</v>
      </c>
      <c r="S30" s="10" t="s">
        <v>225</v>
      </c>
      <c r="T30" s="10" t="s">
        <v>226</v>
      </c>
    </row>
    <row r="31" spans="1:20">
      <c r="A31" s="10" t="s">
        <v>227</v>
      </c>
      <c r="B31" s="13" t="s">
        <v>228</v>
      </c>
      <c r="C31" s="10" t="s">
        <v>306</v>
      </c>
      <c r="D31" s="10">
        <v>4</v>
      </c>
      <c r="E31" s="10" t="s">
        <v>229</v>
      </c>
      <c r="F31" s="10">
        <f t="shared" si="0"/>
        <v>1</v>
      </c>
      <c r="G31" s="10">
        <f t="shared" si="1"/>
        <v>8</v>
      </c>
      <c r="H31" s="10">
        <v>-2</v>
      </c>
      <c r="I31" s="10"/>
      <c r="J31" s="10">
        <v>40</v>
      </c>
      <c r="K31" s="10">
        <v>40</v>
      </c>
      <c r="L31" s="10">
        <f t="shared" si="2"/>
        <v>10</v>
      </c>
      <c r="M31" s="10" t="s">
        <v>230</v>
      </c>
      <c r="N31" s="10" t="s">
        <v>29</v>
      </c>
      <c r="O31" s="10" t="s">
        <v>53</v>
      </c>
      <c r="P31" s="10">
        <v>18</v>
      </c>
      <c r="Q31" s="10">
        <v>8</v>
      </c>
      <c r="R31" s="10" t="s">
        <v>501</v>
      </c>
      <c r="S31" s="10" t="s">
        <v>232</v>
      </c>
      <c r="T31" s="10" t="s">
        <v>233</v>
      </c>
    </row>
    <row r="32" spans="1:20">
      <c r="A32" s="10" t="s">
        <v>234</v>
      </c>
      <c r="B32" s="13" t="s">
        <v>235</v>
      </c>
      <c r="C32" s="10" t="s">
        <v>306</v>
      </c>
      <c r="D32" s="10">
        <v>4</v>
      </c>
      <c r="E32" s="10" t="s">
        <v>236</v>
      </c>
      <c r="F32" s="10">
        <v>2</v>
      </c>
      <c r="G32" s="10">
        <v>6</v>
      </c>
      <c r="H32" s="10">
        <v>-2</v>
      </c>
      <c r="I32" s="10">
        <v>-4</v>
      </c>
      <c r="J32" s="10">
        <v>40</v>
      </c>
      <c r="K32" s="10">
        <v>40</v>
      </c>
      <c r="L32" s="10">
        <f t="shared" si="2"/>
        <v>10</v>
      </c>
      <c r="M32" s="10" t="s">
        <v>237</v>
      </c>
      <c r="N32" s="10" t="s">
        <v>29</v>
      </c>
      <c r="O32" s="10" t="s">
        <v>30</v>
      </c>
      <c r="P32" s="10">
        <v>3</v>
      </c>
      <c r="Q32" s="10">
        <v>7</v>
      </c>
      <c r="R32" s="10" t="s">
        <v>502</v>
      </c>
      <c r="S32" s="10" t="s">
        <v>239</v>
      </c>
      <c r="T32" s="10" t="s">
        <v>240</v>
      </c>
    </row>
    <row r="33" spans="1:20">
      <c r="A33" s="10" t="s">
        <v>241</v>
      </c>
      <c r="B33" s="13" t="s">
        <v>242</v>
      </c>
      <c r="C33" s="10" t="s">
        <v>306</v>
      </c>
      <c r="D33" s="10">
        <v>4</v>
      </c>
      <c r="E33" s="10" t="s">
        <v>243</v>
      </c>
      <c r="F33" s="10">
        <f t="shared" si="0"/>
        <v>3</v>
      </c>
      <c r="G33" s="10">
        <f t="shared" si="1"/>
        <v>8</v>
      </c>
      <c r="H33" s="10"/>
      <c r="I33" s="10"/>
      <c r="J33" s="10">
        <v>60</v>
      </c>
      <c r="K33" s="10">
        <v>40</v>
      </c>
      <c r="L33" s="10">
        <f t="shared" si="2"/>
        <v>10</v>
      </c>
      <c r="M33" s="10" t="s">
        <v>244</v>
      </c>
      <c r="N33" s="10" t="s">
        <v>29</v>
      </c>
      <c r="O33" s="10" t="s">
        <v>181</v>
      </c>
      <c r="P33" s="10">
        <v>18</v>
      </c>
      <c r="Q33" s="10">
        <v>7</v>
      </c>
      <c r="R33" s="10" t="s">
        <v>503</v>
      </c>
      <c r="S33" s="10" t="s">
        <v>246</v>
      </c>
      <c r="T33" s="10" t="s">
        <v>247</v>
      </c>
    </row>
    <row r="34" spans="1:20">
      <c r="A34" s="10" t="s">
        <v>248</v>
      </c>
      <c r="B34" s="13" t="s">
        <v>249</v>
      </c>
      <c r="C34" s="10" t="s">
        <v>306</v>
      </c>
      <c r="D34" s="10">
        <v>4</v>
      </c>
      <c r="E34" s="10" t="s">
        <v>250</v>
      </c>
      <c r="F34" s="10">
        <f t="shared" si="0"/>
        <v>2</v>
      </c>
      <c r="G34" s="10">
        <f t="shared" si="1"/>
        <v>8</v>
      </c>
      <c r="H34" s="10">
        <v>-1</v>
      </c>
      <c r="I34" s="10"/>
      <c r="J34" s="10">
        <v>40</v>
      </c>
      <c r="K34" s="10">
        <v>40</v>
      </c>
      <c r="L34" s="10">
        <f t="shared" si="2"/>
        <v>10</v>
      </c>
      <c r="M34" s="10" t="s">
        <v>251</v>
      </c>
      <c r="N34" s="10" t="s">
        <v>114</v>
      </c>
      <c r="O34" s="10" t="s">
        <v>69</v>
      </c>
      <c r="P34" s="10">
        <v>20</v>
      </c>
      <c r="Q34" s="10">
        <v>0</v>
      </c>
      <c r="R34" s="10" t="s">
        <v>504</v>
      </c>
      <c r="S34" s="10" t="s">
        <v>253</v>
      </c>
      <c r="T34" s="10" t="s">
        <v>254</v>
      </c>
    </row>
    <row r="35" spans="1:20">
      <c r="A35" s="10" t="s">
        <v>255</v>
      </c>
      <c r="B35" s="13" t="s">
        <v>256</v>
      </c>
      <c r="C35" s="10" t="s">
        <v>306</v>
      </c>
      <c r="D35" s="10">
        <v>4</v>
      </c>
      <c r="E35" s="10" t="s">
        <v>257</v>
      </c>
      <c r="F35" s="10">
        <f t="shared" ref="F35:F66" si="3">_xlfn.XLOOKUP($C35,$X$3:$X$6,$Y$3:$Y$6)+H35</f>
        <v>1</v>
      </c>
      <c r="G35" s="10">
        <f t="shared" ref="G35:G66" si="4">_xlfn.XLOOKUP($C35,$X$3:$X$6,$Z$3:$Z$6)+I35</f>
        <v>2</v>
      </c>
      <c r="H35" s="10">
        <v>-2</v>
      </c>
      <c r="I35" s="10">
        <v>-6</v>
      </c>
      <c r="J35" s="10">
        <v>80</v>
      </c>
      <c r="K35" s="10">
        <v>40</v>
      </c>
      <c r="L35" s="10">
        <f t="shared" ref="L35:L66" si="5">_xlfn.XLOOKUP(C35,$X$3:$X$6,$AA$3:$AA$6)</f>
        <v>10</v>
      </c>
      <c r="M35" s="10" t="s">
        <v>258</v>
      </c>
      <c r="N35" s="10" t="s">
        <v>29</v>
      </c>
      <c r="O35" s="10" t="s">
        <v>30</v>
      </c>
      <c r="P35" s="10">
        <v>3</v>
      </c>
      <c r="Q35" s="10">
        <v>8</v>
      </c>
      <c r="R35" s="10" t="s">
        <v>505</v>
      </c>
      <c r="S35" s="10" t="s">
        <v>260</v>
      </c>
      <c r="T35" s="10" t="s">
        <v>261</v>
      </c>
    </row>
    <row r="36" spans="1:20">
      <c r="A36" s="10" t="s">
        <v>262</v>
      </c>
      <c r="B36" s="13" t="s">
        <v>263</v>
      </c>
      <c r="C36" s="10" t="s">
        <v>306</v>
      </c>
      <c r="D36" s="10">
        <v>4</v>
      </c>
      <c r="E36" s="10" t="s">
        <v>264</v>
      </c>
      <c r="F36" s="10">
        <f t="shared" si="3"/>
        <v>1</v>
      </c>
      <c r="G36" s="10">
        <f t="shared" si="4"/>
        <v>16</v>
      </c>
      <c r="H36" s="10">
        <v>-2</v>
      </c>
      <c r="I36" s="10">
        <v>8</v>
      </c>
      <c r="J36" s="10">
        <v>40</v>
      </c>
      <c r="K36" s="10">
        <v>40</v>
      </c>
      <c r="L36" s="10">
        <f t="shared" si="5"/>
        <v>10</v>
      </c>
      <c r="M36" s="10" t="s">
        <v>265</v>
      </c>
      <c r="N36" s="10" t="s">
        <v>122</v>
      </c>
      <c r="O36" s="10" t="s">
        <v>266</v>
      </c>
      <c r="P36" s="10">
        <v>24</v>
      </c>
      <c r="Q36" s="10">
        <v>8</v>
      </c>
      <c r="R36" s="10"/>
      <c r="S36" s="10" t="s">
        <v>268</v>
      </c>
      <c r="T36" s="10" t="s">
        <v>269</v>
      </c>
    </row>
    <row r="37" spans="1:20">
      <c r="A37" s="10" t="s">
        <v>270</v>
      </c>
      <c r="B37" s="13" t="s">
        <v>271</v>
      </c>
      <c r="C37" s="10" t="s">
        <v>306</v>
      </c>
      <c r="D37" s="10">
        <v>4</v>
      </c>
      <c r="E37" s="10" t="s">
        <v>272</v>
      </c>
      <c r="F37" s="10">
        <f t="shared" si="3"/>
        <v>1</v>
      </c>
      <c r="G37" s="10">
        <v>8</v>
      </c>
      <c r="H37" s="10">
        <v>-2</v>
      </c>
      <c r="I37" s="10">
        <v>-2</v>
      </c>
      <c r="J37" s="10">
        <v>80</v>
      </c>
      <c r="K37" s="10">
        <v>40</v>
      </c>
      <c r="L37" s="10">
        <f t="shared" si="5"/>
        <v>10</v>
      </c>
      <c r="M37" s="10" t="s">
        <v>273</v>
      </c>
      <c r="N37" s="10" t="s">
        <v>43</v>
      </c>
      <c r="O37" s="10" t="s">
        <v>53</v>
      </c>
      <c r="P37" s="10">
        <v>16</v>
      </c>
      <c r="Q37" s="10">
        <v>6</v>
      </c>
      <c r="R37" s="10" t="s">
        <v>506</v>
      </c>
      <c r="S37" s="10" t="s">
        <v>275</v>
      </c>
      <c r="T37" s="10" t="s">
        <v>276</v>
      </c>
    </row>
    <row r="38" spans="1:20">
      <c r="A38" s="10" t="s">
        <v>277</v>
      </c>
      <c r="B38" s="13" t="s">
        <v>278</v>
      </c>
      <c r="C38" s="10" t="s">
        <v>306</v>
      </c>
      <c r="D38" s="10">
        <v>4</v>
      </c>
      <c r="E38" s="10" t="s">
        <v>279</v>
      </c>
      <c r="F38" s="10">
        <f t="shared" si="3"/>
        <v>2</v>
      </c>
      <c r="G38" s="10">
        <f t="shared" si="4"/>
        <v>8</v>
      </c>
      <c r="H38" s="10">
        <v>-1</v>
      </c>
      <c r="I38" s="10"/>
      <c r="J38" s="10">
        <v>80</v>
      </c>
      <c r="K38" s="10">
        <v>80</v>
      </c>
      <c r="L38" s="10">
        <f t="shared" si="5"/>
        <v>10</v>
      </c>
      <c r="M38" s="10" t="s">
        <v>280</v>
      </c>
      <c r="N38" s="10" t="s">
        <v>43</v>
      </c>
      <c r="O38" s="10" t="s">
        <v>218</v>
      </c>
      <c r="P38" s="10">
        <v>10</v>
      </c>
      <c r="Q38" s="10">
        <v>5</v>
      </c>
      <c r="R38" s="10" t="s">
        <v>507</v>
      </c>
      <c r="S38" s="10" t="s">
        <v>282</v>
      </c>
      <c r="T38" s="10" t="s">
        <v>283</v>
      </c>
    </row>
    <row r="39" spans="1:20">
      <c r="A39" s="10" t="s">
        <v>284</v>
      </c>
      <c r="B39" s="13" t="s">
        <v>285</v>
      </c>
      <c r="C39" s="10" t="s">
        <v>306</v>
      </c>
      <c r="D39" s="10">
        <v>4</v>
      </c>
      <c r="E39" s="10" t="s">
        <v>286</v>
      </c>
      <c r="F39" s="10">
        <f t="shared" si="3"/>
        <v>3</v>
      </c>
      <c r="G39" s="10">
        <f t="shared" si="4"/>
        <v>5</v>
      </c>
      <c r="H39" s="10"/>
      <c r="I39" s="10">
        <v>-3</v>
      </c>
      <c r="J39" s="10">
        <v>40</v>
      </c>
      <c r="K39" s="10">
        <v>40</v>
      </c>
      <c r="L39" s="10">
        <f t="shared" si="5"/>
        <v>10</v>
      </c>
      <c r="M39" s="10" t="s">
        <v>287</v>
      </c>
      <c r="N39" s="10" t="s">
        <v>52</v>
      </c>
      <c r="O39" s="10" t="s">
        <v>288</v>
      </c>
      <c r="P39" s="10">
        <v>0.8</v>
      </c>
      <c r="Q39" s="10">
        <v>7</v>
      </c>
      <c r="R39" s="10" t="s">
        <v>508</v>
      </c>
      <c r="S39" s="10" t="s">
        <v>290</v>
      </c>
      <c r="T39" s="10" t="s">
        <v>291</v>
      </c>
    </row>
    <row r="40" spans="1:20">
      <c r="A40" s="10" t="s">
        <v>292</v>
      </c>
      <c r="B40" s="13" t="s">
        <v>293</v>
      </c>
      <c r="C40" s="10" t="s">
        <v>306</v>
      </c>
      <c r="D40" s="10">
        <v>4</v>
      </c>
      <c r="E40" s="10" t="s">
        <v>294</v>
      </c>
      <c r="F40" s="10">
        <f t="shared" si="3"/>
        <v>2</v>
      </c>
      <c r="G40" s="10">
        <f t="shared" si="4"/>
        <v>5</v>
      </c>
      <c r="H40" s="10">
        <v>-1</v>
      </c>
      <c r="I40" s="10">
        <v>-3</v>
      </c>
      <c r="J40" s="10">
        <v>40</v>
      </c>
      <c r="K40" s="10">
        <v>80</v>
      </c>
      <c r="L40" s="10">
        <f t="shared" si="5"/>
        <v>10</v>
      </c>
      <c r="M40" s="10" t="s">
        <v>295</v>
      </c>
      <c r="N40" s="10" t="s">
        <v>77</v>
      </c>
      <c r="O40" s="10" t="s">
        <v>266</v>
      </c>
      <c r="P40" s="10">
        <v>20</v>
      </c>
      <c r="Q40" s="10">
        <v>7</v>
      </c>
      <c r="R40" s="10"/>
      <c r="S40" s="10" t="s">
        <v>297</v>
      </c>
      <c r="T40" s="10" t="s">
        <v>298</v>
      </c>
    </row>
    <row r="41" spans="1:20">
      <c r="A41" s="10" t="s">
        <v>299</v>
      </c>
      <c r="B41" s="13" t="s">
        <v>300</v>
      </c>
      <c r="C41" s="10" t="s">
        <v>306</v>
      </c>
      <c r="D41" s="10">
        <v>4</v>
      </c>
      <c r="E41" s="10" t="s">
        <v>301</v>
      </c>
      <c r="F41" s="10">
        <f t="shared" si="3"/>
        <v>3</v>
      </c>
      <c r="G41" s="10">
        <f t="shared" si="4"/>
        <v>8</v>
      </c>
      <c r="H41" s="10"/>
      <c r="I41" s="10"/>
      <c r="J41" s="10">
        <v>80</v>
      </c>
      <c r="K41" s="10">
        <v>40</v>
      </c>
      <c r="L41" s="10">
        <f t="shared" si="5"/>
        <v>10</v>
      </c>
      <c r="M41" s="10"/>
      <c r="N41" s="10"/>
      <c r="O41" s="10"/>
      <c r="P41" s="10"/>
      <c r="Q41" s="10"/>
      <c r="R41" s="10"/>
      <c r="S41" s="10" t="s">
        <v>302</v>
      </c>
      <c r="T41" s="10" t="s">
        <v>303</v>
      </c>
    </row>
    <row r="42" spans="1:20">
      <c r="A42" s="10" t="s">
        <v>304</v>
      </c>
      <c r="B42" s="14" t="s">
        <v>305</v>
      </c>
      <c r="C42" s="10" t="s">
        <v>374</v>
      </c>
      <c r="D42" s="10">
        <v>5</v>
      </c>
      <c r="E42" s="10" t="s">
        <v>307</v>
      </c>
      <c r="F42" s="10">
        <f t="shared" si="3"/>
        <v>5</v>
      </c>
      <c r="G42" s="10">
        <f t="shared" si="4"/>
        <v>28</v>
      </c>
      <c r="H42" s="10"/>
      <c r="I42" s="10">
        <v>12</v>
      </c>
      <c r="J42" s="10">
        <v>40</v>
      </c>
      <c r="K42" s="10">
        <v>40</v>
      </c>
      <c r="L42" s="10">
        <f t="shared" si="5"/>
        <v>12</v>
      </c>
      <c r="M42" s="10" t="s">
        <v>308</v>
      </c>
      <c r="N42" s="10" t="s">
        <v>52</v>
      </c>
      <c r="O42" s="10" t="s">
        <v>288</v>
      </c>
      <c r="P42" s="10">
        <v>1</v>
      </c>
      <c r="Q42" s="10">
        <v>9</v>
      </c>
      <c r="R42" s="10" t="s">
        <v>509</v>
      </c>
      <c r="S42" s="10" t="s">
        <v>310</v>
      </c>
      <c r="T42" s="10" t="s">
        <v>311</v>
      </c>
    </row>
    <row r="43" spans="1:20">
      <c r="A43" s="10" t="s">
        <v>312</v>
      </c>
      <c r="B43" s="14" t="s">
        <v>313</v>
      </c>
      <c r="C43" s="10" t="s">
        <v>374</v>
      </c>
      <c r="D43" s="10">
        <v>5</v>
      </c>
      <c r="E43" s="10" t="s">
        <v>314</v>
      </c>
      <c r="F43" s="10">
        <f t="shared" si="3"/>
        <v>4</v>
      </c>
      <c r="G43" s="10">
        <f t="shared" si="4"/>
        <v>13</v>
      </c>
      <c r="H43" s="10">
        <v>-1</v>
      </c>
      <c r="I43" s="10">
        <v>-3</v>
      </c>
      <c r="J43" s="10">
        <v>40</v>
      </c>
      <c r="K43" s="10">
        <v>40</v>
      </c>
      <c r="L43" s="10">
        <f t="shared" si="5"/>
        <v>12</v>
      </c>
      <c r="M43" s="10" t="s">
        <v>315</v>
      </c>
      <c r="N43" s="10" t="s">
        <v>43</v>
      </c>
      <c r="O43" s="10" t="s">
        <v>218</v>
      </c>
      <c r="P43" s="10">
        <v>16</v>
      </c>
      <c r="Q43" s="10">
        <v>5.5</v>
      </c>
      <c r="R43" s="10" t="s">
        <v>510</v>
      </c>
      <c r="S43" s="10" t="s">
        <v>317</v>
      </c>
      <c r="T43" s="10" t="s">
        <v>318</v>
      </c>
    </row>
    <row r="44" spans="1:20">
      <c r="A44" s="10" t="s">
        <v>319</v>
      </c>
      <c r="B44" s="14" t="s">
        <v>320</v>
      </c>
      <c r="C44" s="10" t="s">
        <v>374</v>
      </c>
      <c r="D44" s="10">
        <v>5</v>
      </c>
      <c r="E44" s="10" t="s">
        <v>321</v>
      </c>
      <c r="F44" s="10">
        <f t="shared" si="3"/>
        <v>5</v>
      </c>
      <c r="G44" s="10">
        <f t="shared" si="4"/>
        <v>11</v>
      </c>
      <c r="H44" s="10"/>
      <c r="I44" s="10">
        <v>-5</v>
      </c>
      <c r="J44" s="10">
        <v>40</v>
      </c>
      <c r="K44" s="10">
        <v>40</v>
      </c>
      <c r="L44" s="10">
        <f t="shared" si="5"/>
        <v>12</v>
      </c>
      <c r="M44" s="10" t="s">
        <v>322</v>
      </c>
      <c r="N44" s="10" t="s">
        <v>68</v>
      </c>
      <c r="O44" s="10" t="s">
        <v>106</v>
      </c>
      <c r="P44" s="10">
        <v>1</v>
      </c>
      <c r="Q44" s="10">
        <v>0</v>
      </c>
      <c r="R44" s="10" t="s">
        <v>510</v>
      </c>
      <c r="S44" s="10" t="s">
        <v>324</v>
      </c>
      <c r="T44" s="10" t="s">
        <v>325</v>
      </c>
    </row>
    <row r="45" spans="1:20">
      <c r="A45" s="10" t="s">
        <v>326</v>
      </c>
      <c r="B45" s="14" t="s">
        <v>327</v>
      </c>
      <c r="C45" s="10" t="s">
        <v>374</v>
      </c>
      <c r="D45" s="10">
        <v>5</v>
      </c>
      <c r="E45" s="10" t="s">
        <v>328</v>
      </c>
      <c r="F45" s="10">
        <f t="shared" si="3"/>
        <v>4</v>
      </c>
      <c r="G45" s="10">
        <f t="shared" si="4"/>
        <v>16</v>
      </c>
      <c r="H45" s="10">
        <v>-1</v>
      </c>
      <c r="I45" s="10"/>
      <c r="J45" s="10">
        <v>40</v>
      </c>
      <c r="K45" s="10">
        <v>40</v>
      </c>
      <c r="L45" s="10">
        <f t="shared" si="5"/>
        <v>12</v>
      </c>
      <c r="M45" s="10" t="s">
        <v>329</v>
      </c>
      <c r="N45" s="10" t="s">
        <v>52</v>
      </c>
      <c r="O45" s="10" t="s">
        <v>288</v>
      </c>
      <c r="P45" s="10">
        <v>1.2</v>
      </c>
      <c r="Q45" s="10">
        <v>9</v>
      </c>
      <c r="R45" s="10" t="s">
        <v>511</v>
      </c>
      <c r="S45" s="10" t="s">
        <v>331</v>
      </c>
      <c r="T45" s="10" t="s">
        <v>332</v>
      </c>
    </row>
    <row r="46" spans="1:20">
      <c r="A46" s="10" t="s">
        <v>333</v>
      </c>
      <c r="B46" s="14" t="s">
        <v>334</v>
      </c>
      <c r="C46" s="10" t="s">
        <v>374</v>
      </c>
      <c r="D46" s="10">
        <v>5</v>
      </c>
      <c r="E46" s="10" t="s">
        <v>335</v>
      </c>
      <c r="F46" s="10">
        <f t="shared" si="3"/>
        <v>3</v>
      </c>
      <c r="G46" s="10">
        <f t="shared" si="4"/>
        <v>16</v>
      </c>
      <c r="H46" s="10">
        <v>-2</v>
      </c>
      <c r="I46" s="10"/>
      <c r="J46" s="10">
        <v>40</v>
      </c>
      <c r="K46" s="10">
        <v>40</v>
      </c>
      <c r="L46" s="10">
        <f t="shared" si="5"/>
        <v>12</v>
      </c>
      <c r="M46" s="10"/>
      <c r="N46" s="10"/>
      <c r="O46" s="10"/>
      <c r="P46" s="10"/>
      <c r="Q46" s="10"/>
      <c r="R46" s="10" t="s">
        <v>512</v>
      </c>
      <c r="S46" s="10" t="s">
        <v>336</v>
      </c>
      <c r="T46" s="10" t="s">
        <v>337</v>
      </c>
    </row>
    <row r="47" spans="1:20">
      <c r="A47" s="10" t="s">
        <v>338</v>
      </c>
      <c r="B47" s="14" t="s">
        <v>339</v>
      </c>
      <c r="C47" s="10" t="s">
        <v>374</v>
      </c>
      <c r="D47" s="10">
        <v>5</v>
      </c>
      <c r="E47" s="10" t="s">
        <v>340</v>
      </c>
      <c r="F47" s="10">
        <f t="shared" si="3"/>
        <v>2</v>
      </c>
      <c r="G47" s="10">
        <f t="shared" si="4"/>
        <v>10</v>
      </c>
      <c r="H47" s="10">
        <v>-3</v>
      </c>
      <c r="I47" s="10">
        <v>-6</v>
      </c>
      <c r="J47" s="10">
        <v>40</v>
      </c>
      <c r="K47" s="10">
        <v>40</v>
      </c>
      <c r="L47" s="10">
        <f t="shared" si="5"/>
        <v>12</v>
      </c>
      <c r="M47" s="10" t="s">
        <v>341</v>
      </c>
      <c r="N47" s="10" t="s">
        <v>29</v>
      </c>
      <c r="O47" s="10" t="s">
        <v>138</v>
      </c>
      <c r="P47" s="10">
        <v>28</v>
      </c>
      <c r="Q47" s="10">
        <v>8</v>
      </c>
      <c r="R47" s="10" t="s">
        <v>513</v>
      </c>
      <c r="S47" s="10" t="s">
        <v>343</v>
      </c>
      <c r="T47" s="10" t="s">
        <v>344</v>
      </c>
    </row>
    <row r="48" spans="1:20">
      <c r="A48" s="10" t="s">
        <v>345</v>
      </c>
      <c r="B48" s="14" t="s">
        <v>346</v>
      </c>
      <c r="C48" s="10" t="s">
        <v>374</v>
      </c>
      <c r="D48" s="10">
        <v>5</v>
      </c>
      <c r="E48" s="10" t="s">
        <v>347</v>
      </c>
      <c r="F48" s="10">
        <f t="shared" si="3"/>
        <v>3</v>
      </c>
      <c r="G48" s="10">
        <f t="shared" si="4"/>
        <v>16</v>
      </c>
      <c r="H48" s="10">
        <v>-2</v>
      </c>
      <c r="I48" s="10"/>
      <c r="J48" s="10">
        <v>40</v>
      </c>
      <c r="K48" s="10">
        <v>40</v>
      </c>
      <c r="L48" s="10">
        <f t="shared" si="5"/>
        <v>12</v>
      </c>
      <c r="M48" s="10" t="s">
        <v>348</v>
      </c>
      <c r="N48" s="10" t="s">
        <v>43</v>
      </c>
      <c r="O48" s="10" t="s">
        <v>218</v>
      </c>
      <c r="P48" s="10">
        <v>18</v>
      </c>
      <c r="Q48" s="10">
        <v>6</v>
      </c>
      <c r="R48" s="10" t="s">
        <v>514</v>
      </c>
      <c r="S48" s="10" t="s">
        <v>350</v>
      </c>
      <c r="T48" s="10" t="s">
        <v>351</v>
      </c>
    </row>
    <row r="49" spans="1:20">
      <c r="A49" s="10" t="s">
        <v>352</v>
      </c>
      <c r="B49" s="14" t="s">
        <v>353</v>
      </c>
      <c r="C49" s="10" t="s">
        <v>374</v>
      </c>
      <c r="D49" s="10">
        <v>5</v>
      </c>
      <c r="E49" s="10" t="s">
        <v>354</v>
      </c>
      <c r="F49" s="10">
        <f t="shared" si="3"/>
        <v>3</v>
      </c>
      <c r="G49" s="10">
        <f t="shared" si="4"/>
        <v>12</v>
      </c>
      <c r="H49" s="10">
        <v>-2</v>
      </c>
      <c r="I49" s="10">
        <v>-4</v>
      </c>
      <c r="J49" s="10">
        <v>120</v>
      </c>
      <c r="K49" s="10">
        <v>40</v>
      </c>
      <c r="L49" s="10">
        <f t="shared" si="5"/>
        <v>12</v>
      </c>
      <c r="M49" s="10"/>
      <c r="N49" s="10"/>
      <c r="O49" s="10"/>
      <c r="P49" s="10"/>
      <c r="Q49" s="10"/>
      <c r="R49" s="10" t="s">
        <v>515</v>
      </c>
      <c r="S49" s="10" t="s">
        <v>355</v>
      </c>
      <c r="T49" s="10" t="s">
        <v>356</v>
      </c>
    </row>
    <row r="50" spans="1:20">
      <c r="A50" s="10" t="s">
        <v>357</v>
      </c>
      <c r="B50" s="14" t="s">
        <v>358</v>
      </c>
      <c r="C50" s="10" t="s">
        <v>374</v>
      </c>
      <c r="D50" s="10">
        <v>5</v>
      </c>
      <c r="E50" s="10" t="s">
        <v>359</v>
      </c>
      <c r="F50" s="10">
        <f t="shared" si="3"/>
        <v>5</v>
      </c>
      <c r="G50" s="10">
        <f t="shared" si="4"/>
        <v>13</v>
      </c>
      <c r="H50" s="10"/>
      <c r="I50" s="10">
        <v>-3</v>
      </c>
      <c r="J50" s="10">
        <v>40</v>
      </c>
      <c r="K50" s="10">
        <v>120</v>
      </c>
      <c r="L50" s="10">
        <f t="shared" si="5"/>
        <v>12</v>
      </c>
      <c r="M50" s="10" t="s">
        <v>360</v>
      </c>
      <c r="N50" s="10" t="s">
        <v>43</v>
      </c>
      <c r="O50" s="10" t="s">
        <v>361</v>
      </c>
      <c r="P50" s="10">
        <v>18</v>
      </c>
      <c r="Q50" s="10">
        <v>7</v>
      </c>
      <c r="R50" s="10" t="s">
        <v>516</v>
      </c>
      <c r="S50" s="10" t="s">
        <v>363</v>
      </c>
      <c r="T50" s="10" t="s">
        <v>364</v>
      </c>
    </row>
    <row r="51" spans="1:20">
      <c r="A51" s="10" t="s">
        <v>365</v>
      </c>
      <c r="B51" s="14" t="s">
        <v>366</v>
      </c>
      <c r="C51" s="10" t="s">
        <v>374</v>
      </c>
      <c r="D51" s="10">
        <v>5</v>
      </c>
      <c r="E51" s="10" t="s">
        <v>367</v>
      </c>
      <c r="F51" s="10">
        <f t="shared" si="3"/>
        <v>5</v>
      </c>
      <c r="G51" s="10">
        <f t="shared" si="4"/>
        <v>10</v>
      </c>
      <c r="H51" s="10"/>
      <c r="I51" s="10">
        <v>-6</v>
      </c>
      <c r="J51" s="10">
        <v>40</v>
      </c>
      <c r="K51" s="10">
        <v>40</v>
      </c>
      <c r="L51" s="10">
        <f t="shared" si="5"/>
        <v>12</v>
      </c>
      <c r="M51" s="10" t="s">
        <v>368</v>
      </c>
      <c r="N51" s="10" t="s">
        <v>43</v>
      </c>
      <c r="O51" s="10" t="s">
        <v>44</v>
      </c>
      <c r="P51" s="10">
        <v>18</v>
      </c>
      <c r="Q51" s="10">
        <v>5.5</v>
      </c>
      <c r="R51" s="10" t="s">
        <v>517</v>
      </c>
      <c r="S51" s="10" t="s">
        <v>370</v>
      </c>
      <c r="T51" s="10" t="s">
        <v>371</v>
      </c>
    </row>
    <row r="52" spans="1:20">
      <c r="A52" s="10" t="s">
        <v>372</v>
      </c>
      <c r="B52" s="14" t="s">
        <v>373</v>
      </c>
      <c r="C52" s="10" t="s">
        <v>374</v>
      </c>
      <c r="D52" s="10">
        <v>5</v>
      </c>
      <c r="E52" s="10" t="s">
        <v>375</v>
      </c>
      <c r="F52" s="10">
        <v>1</v>
      </c>
      <c r="G52" s="10">
        <v>32</v>
      </c>
      <c r="H52" s="10">
        <v>-2</v>
      </c>
      <c r="I52" s="10">
        <v>12</v>
      </c>
      <c r="J52" s="10">
        <v>40</v>
      </c>
      <c r="K52" s="10">
        <v>40</v>
      </c>
      <c r="L52" s="10">
        <f t="shared" si="5"/>
        <v>12</v>
      </c>
      <c r="M52" s="10" t="s">
        <v>376</v>
      </c>
      <c r="N52" s="10" t="s">
        <v>29</v>
      </c>
      <c r="O52" s="10" t="s">
        <v>138</v>
      </c>
      <c r="P52" s="10">
        <v>45</v>
      </c>
      <c r="Q52" s="10">
        <v>9</v>
      </c>
      <c r="R52" s="10" t="s">
        <v>518</v>
      </c>
      <c r="S52" s="10" t="s">
        <v>378</v>
      </c>
      <c r="T52" s="10" t="s">
        <v>379</v>
      </c>
    </row>
    <row r="53" spans="1:20">
      <c r="A53" s="10" t="s">
        <v>380</v>
      </c>
      <c r="B53" s="14" t="s">
        <v>381</v>
      </c>
      <c r="C53" s="10" t="s">
        <v>374</v>
      </c>
      <c r="D53" s="10">
        <v>5</v>
      </c>
      <c r="E53" s="10" t="s">
        <v>382</v>
      </c>
      <c r="F53" s="10">
        <v>1</v>
      </c>
      <c r="G53" s="10">
        <v>50</v>
      </c>
      <c r="H53" s="10">
        <v>-3</v>
      </c>
      <c r="I53" s="10">
        <v>12</v>
      </c>
      <c r="J53" s="10">
        <v>40</v>
      </c>
      <c r="K53" s="10">
        <v>40</v>
      </c>
      <c r="L53" s="10">
        <f t="shared" si="5"/>
        <v>12</v>
      </c>
      <c r="M53" s="10" t="s">
        <v>383</v>
      </c>
      <c r="N53" s="10" t="s">
        <v>77</v>
      </c>
      <c r="O53" s="10" t="s">
        <v>53</v>
      </c>
      <c r="P53" s="10">
        <v>46</v>
      </c>
      <c r="Q53" s="10">
        <v>8</v>
      </c>
      <c r="R53" s="10" t="s">
        <v>519</v>
      </c>
      <c r="S53" s="10" t="s">
        <v>385</v>
      </c>
      <c r="T53" s="10" t="s">
        <v>386</v>
      </c>
    </row>
    <row r="54" spans="1:20">
      <c r="A54" s="10" t="s">
        <v>387</v>
      </c>
      <c r="B54" s="14" t="s">
        <v>388</v>
      </c>
      <c r="C54" s="10" t="s">
        <v>374</v>
      </c>
      <c r="D54" s="10">
        <v>5</v>
      </c>
      <c r="E54" s="10" t="s">
        <v>389</v>
      </c>
      <c r="F54" s="10">
        <f t="shared" si="3"/>
        <v>4</v>
      </c>
      <c r="G54" s="10">
        <v>8</v>
      </c>
      <c r="H54" s="10">
        <v>-1</v>
      </c>
      <c r="I54" s="10"/>
      <c r="J54" s="10">
        <v>40</v>
      </c>
      <c r="K54" s="10">
        <v>40</v>
      </c>
      <c r="L54" s="10">
        <f t="shared" si="5"/>
        <v>12</v>
      </c>
      <c r="M54" s="10" t="s">
        <v>390</v>
      </c>
      <c r="N54" s="10" t="s">
        <v>43</v>
      </c>
      <c r="O54" s="10" t="s">
        <v>361</v>
      </c>
      <c r="P54" s="10">
        <v>24</v>
      </c>
      <c r="Q54" s="10">
        <v>6</v>
      </c>
      <c r="R54" s="10" t="s">
        <v>520</v>
      </c>
      <c r="S54" s="10" t="s">
        <v>392</v>
      </c>
      <c r="T54" s="10" t="s">
        <v>393</v>
      </c>
    </row>
    <row r="55" spans="1:20">
      <c r="A55" s="10" t="s">
        <v>394</v>
      </c>
      <c r="B55" s="14" t="s">
        <v>395</v>
      </c>
      <c r="C55" s="10" t="s">
        <v>374</v>
      </c>
      <c r="D55" s="10">
        <v>5</v>
      </c>
      <c r="E55" s="10" t="s">
        <v>396</v>
      </c>
      <c r="F55" s="10">
        <f t="shared" si="3"/>
        <v>8</v>
      </c>
      <c r="G55" s="10">
        <f t="shared" si="4"/>
        <v>16</v>
      </c>
      <c r="H55" s="10">
        <v>3</v>
      </c>
      <c r="I55" s="10"/>
      <c r="J55" s="10">
        <v>80</v>
      </c>
      <c r="K55" s="10">
        <v>40</v>
      </c>
      <c r="L55" s="10">
        <f t="shared" si="5"/>
        <v>12</v>
      </c>
      <c r="M55" s="10"/>
      <c r="N55" s="10"/>
      <c r="O55" s="10"/>
      <c r="P55" s="10"/>
      <c r="Q55" s="10"/>
      <c r="R55" s="10" t="s">
        <v>521</v>
      </c>
      <c r="S55" s="10" t="s">
        <v>397</v>
      </c>
      <c r="T55" s="10" t="s">
        <v>398</v>
      </c>
    </row>
    <row r="56" spans="1:20">
      <c r="A56" s="10" t="s">
        <v>399</v>
      </c>
      <c r="B56" s="14" t="s">
        <v>400</v>
      </c>
      <c r="C56" s="10" t="s">
        <v>374</v>
      </c>
      <c r="D56" s="10">
        <v>5</v>
      </c>
      <c r="E56" s="10" t="s">
        <v>401</v>
      </c>
      <c r="F56" s="10">
        <f t="shared" si="3"/>
        <v>5</v>
      </c>
      <c r="G56" s="10">
        <f t="shared" si="4"/>
        <v>11</v>
      </c>
      <c r="H56" s="10"/>
      <c r="I56" s="10">
        <v>-5</v>
      </c>
      <c r="J56" s="10">
        <v>40</v>
      </c>
      <c r="K56" s="10">
        <v>40</v>
      </c>
      <c r="L56" s="10">
        <f t="shared" si="5"/>
        <v>12</v>
      </c>
      <c r="M56" s="10" t="s">
        <v>402</v>
      </c>
      <c r="N56" s="10" t="s">
        <v>43</v>
      </c>
      <c r="O56" s="10" t="s">
        <v>288</v>
      </c>
      <c r="P56" s="10">
        <v>1.4</v>
      </c>
      <c r="Q56" s="10">
        <v>7</v>
      </c>
      <c r="R56" s="10" t="s">
        <v>522</v>
      </c>
      <c r="S56" s="10" t="s">
        <v>404</v>
      </c>
      <c r="T56" s="10" t="s">
        <v>405</v>
      </c>
    </row>
    <row r="57" spans="1:20">
      <c r="A57" s="10" t="s">
        <v>406</v>
      </c>
      <c r="B57" s="14" t="s">
        <v>407</v>
      </c>
      <c r="C57" s="10" t="s">
        <v>374</v>
      </c>
      <c r="D57" s="10">
        <v>5</v>
      </c>
      <c r="E57" s="10" t="s">
        <v>408</v>
      </c>
      <c r="F57" s="10">
        <f t="shared" si="3"/>
        <v>5</v>
      </c>
      <c r="G57" s="10">
        <f t="shared" si="4"/>
        <v>16</v>
      </c>
      <c r="H57" s="10"/>
      <c r="I57" s="10"/>
      <c r="J57" s="10">
        <v>40</v>
      </c>
      <c r="K57" s="10">
        <v>40</v>
      </c>
      <c r="L57" s="10">
        <f t="shared" si="5"/>
        <v>12</v>
      </c>
      <c r="M57" s="10" t="s">
        <v>409</v>
      </c>
      <c r="N57" s="10" t="s">
        <v>43</v>
      </c>
      <c r="O57" s="10" t="s">
        <v>44</v>
      </c>
      <c r="P57" s="10">
        <v>30</v>
      </c>
      <c r="Q57" s="10">
        <v>5.5</v>
      </c>
      <c r="R57" s="10" t="s">
        <v>523</v>
      </c>
      <c r="S57" s="10" t="s">
        <v>411</v>
      </c>
      <c r="T57" s="10" t="s">
        <v>412</v>
      </c>
    </row>
    <row r="58" spans="1:20">
      <c r="A58" s="10" t="s">
        <v>413</v>
      </c>
      <c r="B58" s="14" t="s">
        <v>414</v>
      </c>
      <c r="C58" s="10" t="s">
        <v>374</v>
      </c>
      <c r="D58" s="10">
        <v>5</v>
      </c>
      <c r="E58" s="10" t="s">
        <v>415</v>
      </c>
      <c r="F58" s="10">
        <f t="shared" si="3"/>
        <v>4</v>
      </c>
      <c r="G58" s="10">
        <f t="shared" si="4"/>
        <v>14</v>
      </c>
      <c r="H58" s="10">
        <v>-1</v>
      </c>
      <c r="I58" s="10">
        <v>-2</v>
      </c>
      <c r="J58" s="10">
        <v>40</v>
      </c>
      <c r="K58" s="10">
        <v>40</v>
      </c>
      <c r="L58" s="10">
        <f t="shared" si="5"/>
        <v>12</v>
      </c>
      <c r="M58" s="10" t="s">
        <v>416</v>
      </c>
      <c r="N58" s="10" t="s">
        <v>122</v>
      </c>
      <c r="O58" s="10" t="s">
        <v>53</v>
      </c>
      <c r="P58" s="10">
        <v>52</v>
      </c>
      <c r="Q58" s="10">
        <v>8</v>
      </c>
      <c r="R58" s="10" t="s">
        <v>524</v>
      </c>
      <c r="S58" s="10" t="s">
        <v>418</v>
      </c>
      <c r="T58" s="10" t="s">
        <v>419</v>
      </c>
    </row>
    <row r="59" spans="1:20">
      <c r="A59" s="10" t="s">
        <v>420</v>
      </c>
      <c r="B59" s="14" t="s">
        <v>421</v>
      </c>
      <c r="C59" s="10" t="s">
        <v>374</v>
      </c>
      <c r="D59" s="10">
        <v>5</v>
      </c>
      <c r="E59" s="10" t="s">
        <v>422</v>
      </c>
      <c r="F59" s="10">
        <f t="shared" si="3"/>
        <v>3</v>
      </c>
      <c r="G59" s="10">
        <f t="shared" si="4"/>
        <v>16</v>
      </c>
      <c r="H59" s="10">
        <v>-2</v>
      </c>
      <c r="I59" s="10"/>
      <c r="J59" s="10">
        <v>40</v>
      </c>
      <c r="K59" s="10">
        <v>40</v>
      </c>
      <c r="L59" s="10">
        <f t="shared" si="5"/>
        <v>12</v>
      </c>
      <c r="M59" s="10" t="s">
        <v>423</v>
      </c>
      <c r="N59" s="10" t="s">
        <v>68</v>
      </c>
      <c r="O59" s="10" t="s">
        <v>106</v>
      </c>
      <c r="P59" s="10">
        <v>1</v>
      </c>
      <c r="Q59" s="10">
        <v>0</v>
      </c>
      <c r="R59" s="10" t="s">
        <v>525</v>
      </c>
      <c r="S59" s="10" t="s">
        <v>425</v>
      </c>
      <c r="T59" s="10" t="s">
        <v>426</v>
      </c>
    </row>
    <row r="60" spans="1:20">
      <c r="A60" s="10" t="s">
        <v>427</v>
      </c>
      <c r="B60" s="14" t="s">
        <v>428</v>
      </c>
      <c r="C60" s="10" t="s">
        <v>374</v>
      </c>
      <c r="D60" s="10">
        <v>5</v>
      </c>
      <c r="E60" s="10" t="s">
        <v>429</v>
      </c>
      <c r="F60" s="10">
        <f t="shared" si="3"/>
        <v>3</v>
      </c>
      <c r="G60" s="10">
        <f t="shared" si="4"/>
        <v>10</v>
      </c>
      <c r="H60" s="10">
        <v>-2</v>
      </c>
      <c r="I60" s="10">
        <v>-6</v>
      </c>
      <c r="J60" s="10">
        <v>40</v>
      </c>
      <c r="K60" s="10">
        <v>80</v>
      </c>
      <c r="L60" s="10">
        <f t="shared" si="5"/>
        <v>12</v>
      </c>
      <c r="M60" s="10" t="s">
        <v>430</v>
      </c>
      <c r="N60" s="10" t="s">
        <v>43</v>
      </c>
      <c r="O60" s="10" t="s">
        <v>218</v>
      </c>
      <c r="P60" s="10">
        <v>28</v>
      </c>
      <c r="Q60" s="10">
        <v>6.5</v>
      </c>
      <c r="R60" s="10" t="s">
        <v>526</v>
      </c>
      <c r="S60" s="10" t="s">
        <v>432</v>
      </c>
      <c r="T60" s="10" t="s">
        <v>433</v>
      </c>
    </row>
    <row r="61" spans="1:20">
      <c r="A61" s="10" t="s">
        <v>434</v>
      </c>
      <c r="B61" s="14" t="s">
        <v>435</v>
      </c>
      <c r="C61" s="10" t="s">
        <v>374</v>
      </c>
      <c r="D61" s="10">
        <v>5</v>
      </c>
      <c r="E61" s="10" t="s">
        <v>436</v>
      </c>
      <c r="F61" s="10">
        <f t="shared" si="3"/>
        <v>5</v>
      </c>
      <c r="G61" s="10">
        <f t="shared" si="4"/>
        <v>40</v>
      </c>
      <c r="H61" s="10"/>
      <c r="I61" s="10">
        <v>24</v>
      </c>
      <c r="J61" s="10">
        <v>40</v>
      </c>
      <c r="K61" s="10">
        <v>40</v>
      </c>
      <c r="L61" s="10">
        <f t="shared" si="5"/>
        <v>12</v>
      </c>
      <c r="M61" s="10" t="s">
        <v>437</v>
      </c>
      <c r="N61" s="10" t="s">
        <v>52</v>
      </c>
      <c r="O61" s="10" t="s">
        <v>53</v>
      </c>
      <c r="P61" s="10">
        <v>70</v>
      </c>
      <c r="Q61" s="10">
        <v>0</v>
      </c>
      <c r="R61" s="10" t="s">
        <v>527</v>
      </c>
      <c r="S61" s="10" t="s">
        <v>439</v>
      </c>
      <c r="T61" s="10" t="s">
        <v>440</v>
      </c>
    </row>
    <row r="62" spans="1:20">
      <c r="A62" s="10" t="s">
        <v>441</v>
      </c>
      <c r="B62" s="10" t="s">
        <v>442</v>
      </c>
      <c r="C62" s="10" t="s">
        <v>306</v>
      </c>
      <c r="D62" s="10">
        <v>4</v>
      </c>
      <c r="E62" s="10" t="s">
        <v>443</v>
      </c>
      <c r="F62" s="10">
        <f t="shared" si="3"/>
        <v>3</v>
      </c>
      <c r="G62" s="10">
        <f t="shared" si="4"/>
        <v>8</v>
      </c>
      <c r="H62" s="10"/>
      <c r="I62" s="10"/>
      <c r="J62" s="10">
        <v>0</v>
      </c>
      <c r="K62" s="10">
        <v>0</v>
      </c>
      <c r="L62">
        <v>3</v>
      </c>
      <c r="M62" s="10" t="s">
        <v>444</v>
      </c>
      <c r="N62" s="10" t="s">
        <v>77</v>
      </c>
      <c r="O62" s="10" t="s">
        <v>69</v>
      </c>
      <c r="P62" s="10">
        <v>10</v>
      </c>
      <c r="Q62" s="10">
        <v>3</v>
      </c>
      <c r="R62" s="10" t="s">
        <v>445</v>
      </c>
      <c r="S62" s="10" t="s">
        <v>446</v>
      </c>
      <c r="T62" s="10" t="s">
        <v>447</v>
      </c>
    </row>
    <row r="63" spans="1:20">
      <c r="A63" s="10" t="s">
        <v>448</v>
      </c>
      <c r="B63" s="10" t="s">
        <v>528</v>
      </c>
      <c r="C63" s="10" t="s">
        <v>20</v>
      </c>
      <c r="D63" s="10">
        <v>2</v>
      </c>
      <c r="E63" s="10" t="s">
        <v>450</v>
      </c>
      <c r="F63" s="10">
        <f t="shared" si="3"/>
        <v>1</v>
      </c>
      <c r="G63" s="10">
        <v>5</v>
      </c>
      <c r="H63" s="10"/>
      <c r="I63" s="10"/>
      <c r="J63" s="10">
        <v>0</v>
      </c>
      <c r="K63" s="10">
        <v>120</v>
      </c>
      <c r="L63">
        <v>1</v>
      </c>
      <c r="M63" s="10" t="s">
        <v>451</v>
      </c>
      <c r="N63" s="10" t="s">
        <v>77</v>
      </c>
      <c r="O63" s="10" t="s">
        <v>218</v>
      </c>
      <c r="P63" s="10">
        <v>16</v>
      </c>
      <c r="Q63" s="10">
        <v>1.2</v>
      </c>
      <c r="R63" s="10"/>
      <c r="S63" s="10" t="s">
        <v>453</v>
      </c>
      <c r="T63" s="10" t="s">
        <v>454</v>
      </c>
    </row>
    <row r="64" spans="1:20">
      <c r="A64" s="10" t="s">
        <v>455</v>
      </c>
      <c r="B64" s="10" t="s">
        <v>529</v>
      </c>
      <c r="C64" s="10" t="s">
        <v>164</v>
      </c>
      <c r="D64" s="10">
        <v>3</v>
      </c>
      <c r="E64" s="10" t="s">
        <v>450</v>
      </c>
      <c r="F64" s="10">
        <v>1</v>
      </c>
      <c r="G64" s="10">
        <v>10</v>
      </c>
      <c r="H64" s="10"/>
      <c r="I64" s="10"/>
      <c r="J64" s="10">
        <v>0</v>
      </c>
      <c r="K64" s="10">
        <v>120</v>
      </c>
      <c r="L64">
        <v>1</v>
      </c>
      <c r="M64" s="10" t="s">
        <v>457</v>
      </c>
      <c r="N64" s="10" t="s">
        <v>77</v>
      </c>
      <c r="O64" s="10" t="s">
        <v>218</v>
      </c>
      <c r="P64" s="10">
        <v>34</v>
      </c>
      <c r="Q64" s="10">
        <v>1.9</v>
      </c>
      <c r="R64" s="10"/>
      <c r="S64" s="10" t="s">
        <v>459</v>
      </c>
      <c r="T64" s="10" t="s">
        <v>460</v>
      </c>
    </row>
    <row r="65" spans="1:20">
      <c r="A65" s="10" t="s">
        <v>461</v>
      </c>
      <c r="B65" s="10" t="s">
        <v>530</v>
      </c>
      <c r="C65" s="10" t="s">
        <v>306</v>
      </c>
      <c r="D65" s="10">
        <v>4</v>
      </c>
      <c r="E65" s="10" t="s">
        <v>450</v>
      </c>
      <c r="F65" s="10">
        <v>2</v>
      </c>
      <c r="G65" s="10">
        <v>20</v>
      </c>
      <c r="H65" s="10"/>
      <c r="I65" s="10"/>
      <c r="J65" s="10">
        <v>0</v>
      </c>
      <c r="K65" s="10">
        <v>160</v>
      </c>
      <c r="L65">
        <v>1</v>
      </c>
      <c r="M65" s="10" t="s">
        <v>463</v>
      </c>
      <c r="N65" s="10" t="s">
        <v>77</v>
      </c>
      <c r="O65" s="10" t="s">
        <v>218</v>
      </c>
      <c r="P65" s="10">
        <v>24</v>
      </c>
      <c r="Q65" s="10">
        <v>1.6</v>
      </c>
      <c r="R65" s="10"/>
      <c r="S65" s="10" t="s">
        <v>465</v>
      </c>
      <c r="T65" s="10" t="s">
        <v>466</v>
      </c>
    </row>
    <row r="66" spans="1:20">
      <c r="A66" s="10" t="s">
        <v>467</v>
      </c>
      <c r="B66" s="10" t="s">
        <v>531</v>
      </c>
      <c r="C66" s="10" t="s">
        <v>374</v>
      </c>
      <c r="D66" s="10">
        <v>5</v>
      </c>
      <c r="E66" s="10" t="s">
        <v>450</v>
      </c>
      <c r="F66" s="10">
        <v>2</v>
      </c>
      <c r="G66" s="10">
        <v>30</v>
      </c>
      <c r="H66" s="10"/>
      <c r="I66" s="10"/>
      <c r="J66" s="10">
        <v>0</v>
      </c>
      <c r="K66" s="10">
        <v>160</v>
      </c>
      <c r="L66">
        <v>1</v>
      </c>
      <c r="M66" s="10" t="s">
        <v>469</v>
      </c>
      <c r="N66" s="10" t="s">
        <v>77</v>
      </c>
      <c r="O66" s="10" t="s">
        <v>218</v>
      </c>
      <c r="P66" s="10">
        <v>42</v>
      </c>
      <c r="Q66" s="10">
        <v>2.2</v>
      </c>
      <c r="R66" s="10"/>
      <c r="S66" s="10" t="s">
        <v>471</v>
      </c>
      <c r="T66" s="10" t="s">
        <v>472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abSelected="1" workbookViewId="0">
      <selection activeCell="C37" sqref="C37"/>
    </sheetView>
  </sheetViews>
  <sheetFormatPr defaultColWidth="9" defaultRowHeight="16.5"/>
  <cols>
    <col min="1" max="6" width="9" style="1"/>
    <col min="7" max="7" width="27.875" style="1" customWidth="1"/>
    <col min="8" max="27" width="9" style="1"/>
    <col min="30" max="30" width="9" style="1"/>
    <col min="33" max="16384" width="9" style="1"/>
  </cols>
  <sheetData>
    <row r="1" spans="1:26">
      <c r="D1" s="2" t="s">
        <v>474</v>
      </c>
      <c r="E1" s="2" t="s">
        <v>475</v>
      </c>
    </row>
    <row r="2" spans="1:26">
      <c r="A2" s="3" t="s">
        <v>19</v>
      </c>
      <c r="C2" s="1" t="s">
        <v>476</v>
      </c>
      <c r="H2" s="1" t="s">
        <v>532</v>
      </c>
      <c r="I2" s="1" t="s">
        <v>533</v>
      </c>
      <c r="J2" s="1" t="s">
        <v>534</v>
      </c>
      <c r="K2" s="1" t="s">
        <v>535</v>
      </c>
      <c r="L2" s="1" t="s">
        <v>536</v>
      </c>
      <c r="M2" s="1" t="s">
        <v>537</v>
      </c>
      <c r="N2" s="1" t="s">
        <v>538</v>
      </c>
      <c r="O2" s="1" t="s">
        <v>539</v>
      </c>
      <c r="P2" s="1" t="s">
        <v>540</v>
      </c>
      <c r="Q2" s="1" t="s">
        <v>541</v>
      </c>
      <c r="R2" s="1" t="s">
        <v>542</v>
      </c>
      <c r="S2" s="1" t="s">
        <v>543</v>
      </c>
      <c r="T2" s="1" t="s">
        <v>544</v>
      </c>
      <c r="U2" s="1" t="s">
        <v>545</v>
      </c>
      <c r="V2" s="1" t="s">
        <v>546</v>
      </c>
      <c r="W2" s="1" t="s">
        <v>547</v>
      </c>
      <c r="X2" s="1" t="s">
        <v>548</v>
      </c>
      <c r="Y2" s="1" t="s">
        <v>549</v>
      </c>
      <c r="Z2" s="1" t="s">
        <v>550</v>
      </c>
    </row>
    <row r="3" spans="1:26">
      <c r="A3" s="3" t="s">
        <v>26</v>
      </c>
      <c r="C3" s="1" t="s">
        <v>476</v>
      </c>
      <c r="G3" s="1" t="s">
        <v>551</v>
      </c>
      <c r="H3" s="3" t="s">
        <v>19</v>
      </c>
    </row>
    <row r="4" spans="1:26">
      <c r="A4" s="3" t="s">
        <v>35</v>
      </c>
      <c r="B4" s="3" t="s">
        <v>35</v>
      </c>
      <c r="C4" s="1" t="s">
        <v>552</v>
      </c>
      <c r="G4" s="1" t="s">
        <v>553</v>
      </c>
      <c r="H4" s="3" t="s">
        <v>26</v>
      </c>
    </row>
    <row r="5" spans="1:26">
      <c r="A5" s="3" t="s">
        <v>40</v>
      </c>
      <c r="B5" s="3" t="s">
        <v>40</v>
      </c>
      <c r="C5" s="1" t="s">
        <v>554</v>
      </c>
      <c r="G5" s="1" t="s">
        <v>555</v>
      </c>
    </row>
    <row r="6" spans="1:26">
      <c r="A6" s="3" t="s">
        <v>49</v>
      </c>
      <c r="B6" s="3" t="s">
        <v>49</v>
      </c>
      <c r="C6" s="1" t="s">
        <v>556</v>
      </c>
      <c r="G6" s="1" t="s">
        <v>557</v>
      </c>
    </row>
    <row r="7" spans="1:26">
      <c r="A7" s="3" t="s">
        <v>58</v>
      </c>
      <c r="B7" s="3" t="s">
        <v>58</v>
      </c>
      <c r="C7" s="1" t="s">
        <v>558</v>
      </c>
      <c r="G7" s="1" t="s">
        <v>559</v>
      </c>
    </row>
    <row r="8" spans="1:26">
      <c r="A8" s="3" t="s">
        <v>65</v>
      </c>
      <c r="B8" s="3" t="s">
        <v>65</v>
      </c>
      <c r="C8" s="1" t="s">
        <v>552</v>
      </c>
      <c r="G8" s="1" t="s">
        <v>560</v>
      </c>
    </row>
    <row r="9" spans="1:26">
      <c r="A9" s="3" t="s">
        <v>74</v>
      </c>
      <c r="B9" s="3" t="s">
        <v>74</v>
      </c>
      <c r="C9" s="1" t="s">
        <v>561</v>
      </c>
      <c r="G9" s="1" t="s">
        <v>562</v>
      </c>
    </row>
    <row r="10" spans="1:26">
      <c r="A10" s="3" t="s">
        <v>82</v>
      </c>
      <c r="B10" s="3" t="s">
        <v>82</v>
      </c>
      <c r="C10" s="1" t="s">
        <v>563</v>
      </c>
      <c r="G10" s="1" t="s">
        <v>564</v>
      </c>
    </row>
    <row r="11" spans="1:26">
      <c r="A11" s="3" t="s">
        <v>87</v>
      </c>
      <c r="B11" s="3" t="s">
        <v>87</v>
      </c>
      <c r="C11" s="1" t="s">
        <v>565</v>
      </c>
      <c r="G11" s="1" t="s">
        <v>566</v>
      </c>
    </row>
    <row r="12" spans="1:26">
      <c r="A12" s="4" t="s">
        <v>91</v>
      </c>
      <c r="B12" s="4" t="s">
        <v>91</v>
      </c>
      <c r="C12" s="1" t="s">
        <v>567</v>
      </c>
      <c r="G12" s="1" t="s">
        <v>568</v>
      </c>
    </row>
    <row r="13" spans="1:26">
      <c r="A13" s="4" t="s">
        <v>96</v>
      </c>
      <c r="B13" s="4" t="s">
        <v>96</v>
      </c>
      <c r="C13" s="1" t="s">
        <v>569</v>
      </c>
      <c r="G13" s="1" t="s">
        <v>570</v>
      </c>
    </row>
    <row r="14" spans="1:26">
      <c r="A14" s="4" t="s">
        <v>103</v>
      </c>
      <c r="B14" s="4" t="s">
        <v>103</v>
      </c>
      <c r="C14" s="1" t="s">
        <v>571</v>
      </c>
      <c r="G14" s="1" t="s">
        <v>572</v>
      </c>
    </row>
    <row r="15" spans="1:26">
      <c r="A15" s="4" t="s">
        <v>111</v>
      </c>
      <c r="B15" s="4" t="s">
        <v>111</v>
      </c>
      <c r="C15" s="1" t="s">
        <v>573</v>
      </c>
      <c r="G15" s="1" t="s">
        <v>574</v>
      </c>
    </row>
    <row r="16" spans="1:26">
      <c r="A16" s="4" t="s">
        <v>119</v>
      </c>
      <c r="B16" s="4" t="s">
        <v>119</v>
      </c>
      <c r="C16" s="1" t="s">
        <v>575</v>
      </c>
      <c r="G16" s="1" t="s">
        <v>576</v>
      </c>
    </row>
    <row r="17" spans="1:12">
      <c r="A17" s="4" t="s">
        <v>128</v>
      </c>
      <c r="B17" s="4" t="s">
        <v>128</v>
      </c>
      <c r="C17" s="1" t="s">
        <v>577</v>
      </c>
      <c r="G17" s="1" t="s">
        <v>578</v>
      </c>
    </row>
    <row r="18" spans="1:12">
      <c r="A18" s="4" t="s">
        <v>135</v>
      </c>
      <c r="B18" s="4" t="s">
        <v>135</v>
      </c>
      <c r="C18" s="1" t="s">
        <v>579</v>
      </c>
      <c r="G18" s="1" t="s">
        <v>580</v>
      </c>
    </row>
    <row r="19" spans="1:12">
      <c r="A19" s="4" t="s">
        <v>143</v>
      </c>
      <c r="B19" s="4" t="s">
        <v>143</v>
      </c>
      <c r="C19" s="1" t="s">
        <v>581</v>
      </c>
      <c r="G19" s="1" t="s">
        <v>582</v>
      </c>
    </row>
    <row r="20" spans="1:12">
      <c r="A20" s="4" t="s">
        <v>150</v>
      </c>
      <c r="B20" s="4" t="s">
        <v>150</v>
      </c>
      <c r="C20" s="1" t="s">
        <v>476</v>
      </c>
      <c r="G20" s="1" t="s">
        <v>583</v>
      </c>
    </row>
    <row r="21" spans="1:12">
      <c r="A21" s="5" t="s">
        <v>158</v>
      </c>
      <c r="B21" s="5" t="s">
        <v>158</v>
      </c>
      <c r="C21" s="1" t="s">
        <v>584</v>
      </c>
      <c r="G21" s="1" t="s">
        <v>585</v>
      </c>
    </row>
    <row r="22" spans="1:12">
      <c r="A22" s="5" t="s">
        <v>163</v>
      </c>
      <c r="B22" s="5" t="s">
        <v>163</v>
      </c>
      <c r="C22" s="1" t="s">
        <v>586</v>
      </c>
      <c r="G22" s="1" t="s">
        <v>587</v>
      </c>
    </row>
    <row r="23" spans="1:12">
      <c r="A23" s="5" t="s">
        <v>171</v>
      </c>
      <c r="B23" s="5" t="s">
        <v>171</v>
      </c>
      <c r="C23" s="1" t="s">
        <v>588</v>
      </c>
      <c r="G23" s="1" t="s">
        <v>589</v>
      </c>
    </row>
    <row r="24" spans="1:12">
      <c r="A24" s="5" t="s">
        <v>178</v>
      </c>
      <c r="B24" s="5" t="s">
        <v>178</v>
      </c>
      <c r="C24" s="1" t="s">
        <v>590</v>
      </c>
      <c r="G24" s="1" t="s">
        <v>591</v>
      </c>
    </row>
    <row r="25" spans="1:12">
      <c r="A25" s="5" t="s">
        <v>186</v>
      </c>
      <c r="B25" s="5" t="s">
        <v>186</v>
      </c>
      <c r="C25" s="1" t="s">
        <v>592</v>
      </c>
      <c r="G25" s="1" t="s">
        <v>593</v>
      </c>
    </row>
    <row r="26" spans="1:12">
      <c r="A26" s="5" t="s">
        <v>194</v>
      </c>
      <c r="B26" s="5" t="s">
        <v>194</v>
      </c>
    </row>
    <row r="27" spans="1:12">
      <c r="A27" s="5" t="s">
        <v>201</v>
      </c>
      <c r="B27" s="5" t="s">
        <v>201</v>
      </c>
      <c r="C27" s="1" t="s">
        <v>594</v>
      </c>
    </row>
    <row r="28" spans="1:12">
      <c r="A28" s="5" t="s">
        <v>208</v>
      </c>
      <c r="B28" s="5" t="s">
        <v>208</v>
      </c>
      <c r="C28" s="1" t="s">
        <v>595</v>
      </c>
      <c r="F28" s="6" t="s">
        <v>473</v>
      </c>
      <c r="G28" s="6" t="s">
        <v>596</v>
      </c>
      <c r="H28" s="6" t="s">
        <v>597</v>
      </c>
      <c r="I28" s="6" t="s">
        <v>598</v>
      </c>
      <c r="J28" s="6" t="s">
        <v>599</v>
      </c>
      <c r="K28" s="6" t="s">
        <v>600</v>
      </c>
      <c r="L28" s="6" t="s">
        <v>601</v>
      </c>
    </row>
    <row r="29" spans="1:12">
      <c r="A29" s="5" t="s">
        <v>215</v>
      </c>
      <c r="B29" s="5" t="s">
        <v>215</v>
      </c>
      <c r="C29" s="1" t="s">
        <v>602</v>
      </c>
      <c r="F29" s="6">
        <v>2</v>
      </c>
      <c r="G29" s="6"/>
      <c r="H29" s="6">
        <v>1</v>
      </c>
      <c r="I29" s="6">
        <v>5</v>
      </c>
      <c r="J29" s="6">
        <v>2</v>
      </c>
      <c r="K29" s="6">
        <v>1.5</v>
      </c>
      <c r="L29" s="7"/>
    </row>
    <row r="30" spans="1:12">
      <c r="A30" s="5" t="s">
        <v>223</v>
      </c>
      <c r="B30" s="5" t="s">
        <v>223</v>
      </c>
      <c r="F30" s="6">
        <v>3</v>
      </c>
      <c r="G30" s="6" t="s">
        <v>603</v>
      </c>
      <c r="H30" s="6">
        <v>1</v>
      </c>
      <c r="I30" s="6">
        <v>5</v>
      </c>
      <c r="J30" s="6">
        <v>3.5</v>
      </c>
      <c r="K30" s="6">
        <v>1.5</v>
      </c>
      <c r="L30" s="7"/>
    </row>
    <row r="31" spans="1:12">
      <c r="A31" s="5" t="s">
        <v>228</v>
      </c>
      <c r="B31" s="5" t="s">
        <v>228</v>
      </c>
      <c r="C31" s="1" t="s">
        <v>604</v>
      </c>
      <c r="F31" s="6">
        <v>3</v>
      </c>
      <c r="G31" s="6" t="s">
        <v>605</v>
      </c>
      <c r="H31" s="6">
        <v>2</v>
      </c>
      <c r="I31" s="6">
        <v>6</v>
      </c>
      <c r="J31" s="6">
        <v>2</v>
      </c>
      <c r="K31" s="6">
        <v>1.5</v>
      </c>
      <c r="L31" s="7"/>
    </row>
    <row r="32" spans="1:12">
      <c r="A32" s="5" t="s">
        <v>235</v>
      </c>
      <c r="B32" s="5" t="s">
        <v>235</v>
      </c>
      <c r="C32" s="1" t="s">
        <v>476</v>
      </c>
      <c r="F32" s="6">
        <v>3</v>
      </c>
      <c r="G32" s="6" t="s">
        <v>606</v>
      </c>
      <c r="H32" s="6">
        <v>1</v>
      </c>
      <c r="I32" s="6">
        <v>7</v>
      </c>
      <c r="J32" s="6">
        <v>2</v>
      </c>
      <c r="K32" s="6">
        <v>1.5</v>
      </c>
      <c r="L32" s="7" t="s">
        <v>606</v>
      </c>
    </row>
    <row r="33" spans="1:12">
      <c r="A33" s="5" t="s">
        <v>242</v>
      </c>
      <c r="B33" s="5" t="s">
        <v>242</v>
      </c>
      <c r="C33" s="1" t="s">
        <v>607</v>
      </c>
      <c r="F33" s="6">
        <v>4</v>
      </c>
      <c r="G33" s="6" t="s">
        <v>608</v>
      </c>
      <c r="H33" s="6">
        <v>1</v>
      </c>
      <c r="I33" s="6">
        <v>6</v>
      </c>
      <c r="J33" s="6">
        <v>2</v>
      </c>
      <c r="K33" s="6">
        <v>0.5</v>
      </c>
      <c r="L33" s="7"/>
    </row>
    <row r="34" spans="1:12">
      <c r="A34" s="5" t="s">
        <v>249</v>
      </c>
      <c r="B34" s="5" t="s">
        <v>249</v>
      </c>
      <c r="C34" s="1" t="s">
        <v>609</v>
      </c>
      <c r="F34" s="6">
        <v>4</v>
      </c>
      <c r="G34" s="6" t="s">
        <v>610</v>
      </c>
      <c r="H34" s="6">
        <v>1</v>
      </c>
      <c r="I34" s="6">
        <v>21</v>
      </c>
      <c r="J34" s="6">
        <v>2</v>
      </c>
      <c r="K34" s="6">
        <v>1.5</v>
      </c>
      <c r="L34" s="7"/>
    </row>
    <row r="35" spans="1:12">
      <c r="A35" s="5" t="s">
        <v>256</v>
      </c>
      <c r="B35" s="5" t="s">
        <v>256</v>
      </c>
      <c r="C35" s="1" t="s">
        <v>611</v>
      </c>
      <c r="F35" s="6">
        <v>4</v>
      </c>
      <c r="G35" s="6" t="s">
        <v>612</v>
      </c>
      <c r="H35" s="6">
        <v>1</v>
      </c>
      <c r="I35" s="6">
        <v>10</v>
      </c>
      <c r="J35" s="6">
        <v>3</v>
      </c>
      <c r="K35" s="6">
        <v>1.5</v>
      </c>
      <c r="L35" s="7" t="s">
        <v>613</v>
      </c>
    </row>
    <row r="36" spans="1:12">
      <c r="A36" s="5" t="s">
        <v>263</v>
      </c>
      <c r="B36" s="5" t="s">
        <v>263</v>
      </c>
      <c r="C36" s="1" t="s">
        <v>614</v>
      </c>
      <c r="F36" s="6">
        <v>5</v>
      </c>
      <c r="G36" s="6" t="s">
        <v>615</v>
      </c>
      <c r="H36" s="6">
        <v>3</v>
      </c>
      <c r="I36" s="6">
        <v>12</v>
      </c>
      <c r="J36" s="6">
        <v>2</v>
      </c>
      <c r="K36" s="6">
        <v>1.5</v>
      </c>
      <c r="L36" s="7" t="s">
        <v>616</v>
      </c>
    </row>
    <row r="37" spans="1:12">
      <c r="A37" s="5" t="s">
        <v>271</v>
      </c>
      <c r="B37" s="5" t="s">
        <v>271</v>
      </c>
      <c r="F37" s="6">
        <v>5</v>
      </c>
      <c r="G37" s="6" t="s">
        <v>617</v>
      </c>
      <c r="H37" s="6">
        <v>1</v>
      </c>
      <c r="I37" s="6">
        <v>12</v>
      </c>
      <c r="J37" s="6">
        <v>2</v>
      </c>
      <c r="K37" s="6">
        <v>1.5</v>
      </c>
      <c r="L37" s="7" t="s">
        <v>617</v>
      </c>
    </row>
    <row r="38" spans="1:12">
      <c r="A38" s="5" t="s">
        <v>278</v>
      </c>
      <c r="B38" s="5" t="s">
        <v>278</v>
      </c>
      <c r="C38" s="1" t="s">
        <v>607</v>
      </c>
      <c r="F38" s="6">
        <v>5</v>
      </c>
      <c r="G38" s="6" t="s">
        <v>618</v>
      </c>
      <c r="H38" s="6">
        <v>1</v>
      </c>
      <c r="I38" s="6">
        <v>12</v>
      </c>
      <c r="J38" s="6">
        <v>2</v>
      </c>
      <c r="K38" s="6">
        <v>5</v>
      </c>
      <c r="L38" s="7" t="s">
        <v>618</v>
      </c>
    </row>
    <row r="39" spans="1:12">
      <c r="A39" s="5" t="s">
        <v>285</v>
      </c>
      <c r="B39" s="5" t="s">
        <v>285</v>
      </c>
      <c r="C39" s="1" t="s">
        <v>619</v>
      </c>
    </row>
    <row r="40" spans="1:12">
      <c r="A40" s="5" t="s">
        <v>293</v>
      </c>
      <c r="B40" s="5" t="s">
        <v>293</v>
      </c>
      <c r="C40" s="1" t="s">
        <v>620</v>
      </c>
    </row>
    <row r="41" spans="1:12">
      <c r="A41" s="5" t="s">
        <v>300</v>
      </c>
      <c r="B41" s="5" t="s">
        <v>300</v>
      </c>
    </row>
    <row r="42" spans="1:12">
      <c r="A42" s="8" t="s">
        <v>305</v>
      </c>
      <c r="B42" s="8" t="s">
        <v>305</v>
      </c>
      <c r="C42" s="1" t="s">
        <v>621</v>
      </c>
    </row>
    <row r="43" spans="1:12">
      <c r="A43" s="8" t="s">
        <v>313</v>
      </c>
      <c r="B43" s="8" t="s">
        <v>313</v>
      </c>
      <c r="C43" s="1" t="s">
        <v>622</v>
      </c>
    </row>
    <row r="44" spans="1:12">
      <c r="A44" s="8" t="s">
        <v>320</v>
      </c>
      <c r="B44" s="8" t="s">
        <v>320</v>
      </c>
      <c r="C44" s="1" t="s">
        <v>623</v>
      </c>
    </row>
    <row r="45" spans="1:12">
      <c r="A45" s="8" t="s">
        <v>327</v>
      </c>
      <c r="B45" s="8" t="s">
        <v>327</v>
      </c>
      <c r="C45" s="1" t="s">
        <v>624</v>
      </c>
    </row>
    <row r="46" spans="1:12">
      <c r="A46" s="8" t="s">
        <v>334</v>
      </c>
      <c r="B46" s="8" t="s">
        <v>334</v>
      </c>
    </row>
    <row r="47" spans="1:12">
      <c r="A47" s="8" t="s">
        <v>339</v>
      </c>
      <c r="B47" s="8" t="s">
        <v>339</v>
      </c>
    </row>
    <row r="48" spans="1:12">
      <c r="A48" s="8" t="s">
        <v>346</v>
      </c>
      <c r="B48" s="8" t="s">
        <v>346</v>
      </c>
      <c r="C48" s="1" t="s">
        <v>514</v>
      </c>
    </row>
    <row r="49" spans="1:3">
      <c r="A49" s="8" t="s">
        <v>353</v>
      </c>
      <c r="B49" s="8" t="s">
        <v>353</v>
      </c>
    </row>
    <row r="50" spans="1:3">
      <c r="A50" s="8" t="s">
        <v>358</v>
      </c>
      <c r="B50" s="8" t="s">
        <v>358</v>
      </c>
    </row>
    <row r="51" spans="1:3">
      <c r="A51" s="8" t="s">
        <v>366</v>
      </c>
      <c r="B51" s="8" t="s">
        <v>366</v>
      </c>
    </row>
    <row r="52" spans="1:3">
      <c r="A52" s="8" t="s">
        <v>373</v>
      </c>
      <c r="B52" s="8" t="s">
        <v>373</v>
      </c>
    </row>
    <row r="53" spans="1:3">
      <c r="A53" s="8" t="s">
        <v>381</v>
      </c>
      <c r="B53" s="8" t="s">
        <v>381</v>
      </c>
    </row>
    <row r="54" spans="1:3">
      <c r="A54" s="8" t="s">
        <v>388</v>
      </c>
      <c r="B54" s="8" t="s">
        <v>388</v>
      </c>
    </row>
    <row r="55" spans="1:3">
      <c r="A55" s="8" t="s">
        <v>395</v>
      </c>
      <c r="B55" s="8" t="s">
        <v>395</v>
      </c>
    </row>
    <row r="56" spans="1:3">
      <c r="A56" s="8" t="s">
        <v>400</v>
      </c>
      <c r="B56" s="8" t="s">
        <v>400</v>
      </c>
    </row>
    <row r="57" spans="1:3">
      <c r="A57" s="8" t="s">
        <v>407</v>
      </c>
      <c r="B57" s="8" t="s">
        <v>407</v>
      </c>
    </row>
    <row r="58" spans="1:3">
      <c r="A58" s="8" t="s">
        <v>414</v>
      </c>
      <c r="B58" s="8" t="s">
        <v>414</v>
      </c>
    </row>
    <row r="59" spans="1:3">
      <c r="A59" s="8" t="s">
        <v>421</v>
      </c>
      <c r="B59" s="8" t="s">
        <v>421</v>
      </c>
      <c r="C59" s="1" t="s">
        <v>476</v>
      </c>
    </row>
    <row r="60" spans="1:3">
      <c r="A60" s="8" t="s">
        <v>428</v>
      </c>
      <c r="B60" s="8" t="s">
        <v>428</v>
      </c>
    </row>
    <row r="61" spans="1:3">
      <c r="A61" s="8" t="s">
        <v>435</v>
      </c>
      <c r="B61" s="8" t="s">
        <v>435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y y tian</dc:creator>
  <cp:lastModifiedBy>冷冷的天</cp:lastModifiedBy>
  <dcterms:created xsi:type="dcterms:W3CDTF">2023-05-12T11:15:00Z</dcterms:created>
  <dcterms:modified xsi:type="dcterms:W3CDTF">2026-09-02T11:02:19Z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D3F8080317A14531863A1D6C4130C540_12</vt:lpwstr>
  </property>
  <property fmtid="{D5CDD505-2E9C-101B-9397-08002B2CF9AE}" pid="4" name="CalculationRule">
    <vt:i4>0</vt:i4>
  </property>
</Properties>
</file>