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cda290956341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ine Dimensions" sheetId="1" r:id="R4c42214f50fb4e06"/>
    <x:sheet xmlns:r="http://schemas.openxmlformats.org/officeDocument/2006/relationships" name="Overview" sheetId="2" r:id="Ra917492d25de45c7"/>
    <x:sheet xmlns:r="http://schemas.openxmlformats.org/officeDocument/2006/relationships" name="Active Batch" sheetId="3" r:id="R3913ec37d764425b"/>
    <x:sheet xmlns:r="http://schemas.openxmlformats.org/officeDocument/2006/relationships" name="Role Capacity" sheetId="4" r:id="R7f249c308d8a4d5f"/>
    <x:sheet xmlns:r="http://schemas.openxmlformats.org/officeDocument/2006/relationships" name="Update Rules" sheetId="5" r:id="R47976c76984c4371"/>
  </x:sheets>
  <x:calcPr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20"/>
      <x:color rgb="FFFFFFFF"/>
      <x:name val="Carlito"/>
    </x:font>
    <x:font>
      <x:sz val="11"/>
      <x:color rgb="FF63727B"/>
      <x:name val="Carlito"/>
    </x:font>
    <x:font>
      <x:b/>
      <x:sz val="11"/>
      <x:color rgb="FFFFFFFF"/>
      <x:name val="Carlito"/>
    </x:font>
    <x:font>
      <x:sz val="11"/>
      <x:color rgb="FF26343D"/>
      <x:name val="Carlito"/>
    </x:font>
    <x:font>
      <x:b/>
      <x:sz val="18"/>
      <x:color rgb="FFFFFFFF"/>
      <x:name val="Carlito"/>
    </x:font>
    <x:font>
      <x:b/>
      <x:sz val="11"/>
      <x:color rgb="FF2634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03448"/>
      </x:patternFill>
    </x:fill>
    <x:fill>
      <x:patternFill patternType="solid">
        <x:fgColor rgb="FFE8F0F3"/>
      </x:patternFill>
    </x:fill>
    <x:fill>
      <x:patternFill patternType="solid">
        <x:fgColor rgb="FF188596"/>
      </x:patternFill>
    </x:fill>
  </x:fills>
  <x:borders count="2">
    <x:border/>
    <x:border>
      <x:left style="thin">
        <x:color rgb="FFD6E0E5"/>
      </x:left>
      <x:right style="thin">
        <x:color rgb="FFD6E0E5"/>
      </x:right>
      <x:top style="thin">
        <x:color rgb="FFD6E0E5"/>
      </x:top>
      <x:bottom style="thin">
        <x:color rgb="FFD6E0E5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23307a8c3b4bc2" /><Relationship Type="http://schemas.openxmlformats.org/officeDocument/2006/relationships/theme" Target="/xl/theme/theme1.xml" Id="Rbc029ea3d768441b" /><Relationship Type="http://schemas.openxmlformats.org/officeDocument/2006/relationships/sharedStrings" Target="/xl/sharedStrings.xml" Id="R60258bb4d0ac4719" /><Relationship Type="http://schemas.openxmlformats.org/officeDocument/2006/relationships/worksheet" Target="/xl/worksheets/sheet1.xml" Id="R4c42214f50fb4e06" /><Relationship Type="http://schemas.openxmlformats.org/officeDocument/2006/relationships/worksheet" Target="/xl/worksheets/sheet2.xml" Id="Ra917492d25de45c7" /><Relationship Type="http://schemas.openxmlformats.org/officeDocument/2006/relationships/worksheet" Target="/xl/worksheets/sheet3.xml" Id="R3913ec37d764425b" /><Relationship Type="http://schemas.openxmlformats.org/officeDocument/2006/relationships/worksheet" Target="/xl/worksheets/sheet4.xml" Id="R7f249c308d8a4d5f" /><Relationship Type="http://schemas.openxmlformats.org/officeDocument/2006/relationships/worksheet" Target="/xl/worksheets/sheet5.xml" Id="R47976c76984c43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8" hidden="0" customWidth="1"/>
    <x:col min="3" max="3" width="20" hidden="0" customWidth="1"/>
    <x:col min="4" max="4" width="27" hidden="0" customWidth="1"/>
    <x:col min="5" max="5" width="25" hidden="0" customWidth="1"/>
    <x:col min="6" max="6" width="34" hidden="0" customWidth="1"/>
    <x:col min="7" max="7" width="12" hidden="0" customWidth="1"/>
    <x:col min="8" max="8" width="11" hidden="0" customWidth="1"/>
    <x:col min="9" max="9" width="11" hidden="0" customWidth="1"/>
    <x:col min="10" max="10" width="10" hidden="0" customWidth="1"/>
    <x:col min="11" max="11" width="10" hidden="0" customWidth="1"/>
    <x:col min="12" max="12" width="10" hidden="0" customWidth="1"/>
    <x:col min="13" max="13" width="12" hidden="0" customWidth="1"/>
    <x:col min="14" max="14" width="13" hidden="0" customWidth="1"/>
    <x:col min="15" max="15" width="13" hidden="0" customWidth="1"/>
    <x:col min="16" max="16" width="12" hidden="0" customWidth="1"/>
    <x:col min="17" max="17" width="11" hidden="0" customWidth="1"/>
    <x:col min="18" max="18" width="28" hidden="0" customWidth="1"/>
    <x:col min="19" max="19" width="19" hidden="0" customWidth="1"/>
    <x:col min="20" max="20" width="28" hidden="0" customWidth="1"/>
    <x:col min="21" max="21" width="32" hidden="0" customWidth="1"/>
  </x:cols>
  <x:sheetData>
    <x:row r="1" ht="30" customHeight="1">
      <x:c r="A1" s="3" t="str">
        <x:v>Feature Nine-Dimension Progress Matrix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0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 ht="30" customHeight="1">
      <x:c r="A3" s="6" t="str">
        <x:v>One row is one complete feature. Sort by priority, then feature ID; completed rows go last. Non-applicable dimensions display Not needed and are excluded from averages.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</x:row>
    <x:row r="5">
      <x:c r="A5" s="10" t="str">
        <x:v>Dimension</x:v>
      </x:c>
      <x:c r="B5" s="10" t="str">
        <x:v>Average</x:v>
      </x:c>
      <x:c r="C5" s="10" t="str">
        <x:v>100% features</x:v>
      </x:c>
      <x:c r="D5" s="10" t="str">
        <x:v>Applicable features</x:v>
      </x:c>
      <x:c r="E5" s="10" t="str">
        <x:v>Primary gap</x:v>
      </x:c>
    </x:row>
    <x:row r="6">
      <x:c r="A6" s="12" t="str">
        <x:v>Design doc</x:v>
      </x:c>
      <x:c r="B6" s="13" t="n">
        <x:f>IFERROR(AVERAGE($H$18:$H$117),0)</x:f>
        <x:v>1</x:v>
      </x:c>
      <x:c r="C6" s="12" t="n">
        <x:f>COUNTIF($H$18:$H$117,1)</x:f>
        <x:v>6</x:v>
      </x:c>
      <x:c r="D6" s="12" t="n">
        <x:f>COUNT($H$18:$H$117)</x:f>
        <x:v>6</x:v>
      </x:c>
      <x:c r="E6" s="12" t="str">
        <x:v>File behavior changes into a functional source</x:v>
      </x:c>
    </x:row>
    <x:row r="7">
      <x:c r="A7" s="12" t="str">
        <x:v>Numeric table</x:v>
      </x:c>
      <x:c r="B7" s="13" t="n">
        <x:f>IFERROR(AVERAGE($I$18:$I$117),0)</x:f>
        <x:v>0.86</x:v>
      </x:c>
      <x:c r="C7" s="12" t="n">
        <x:f>COUNTIF($I$18:$I$117,1)</x:f>
        <x:v>3</x:v>
      </x:c>
      <x:c r="D7" s="12" t="n">
        <x:f>COUNT($I$18:$I$117)</x:f>
        <x:v>5</x:v>
      </x:c>
      <x:c r="E7" s="12" t="str">
        <x:v>Resolve values that would force implementation guesses</x:v>
      </x:c>
    </x:row>
    <x:row r="8">
      <x:c r="A8" s="12" t="str">
        <x:v>Code</x:v>
      </x:c>
      <x:c r="B8" s="13" t="n">
        <x:f>IFERROR(AVERAGE($J$18:$J$117),0)</x:f>
        <x:v>0.30833333333333335</x:v>
      </x:c>
      <x:c r="C8" s="12" t="n">
        <x:f>COUNTIF($J$18:$J$117,1)</x:f>
        <x:v>1</x:v>
      </x:c>
      <x:c r="D8" s="12" t="n">
        <x:f>COUNT($J$18:$J$117)</x:f>
        <x:v>6</x:v>
      </x:c>
      <x:c r="E8" s="12" t="str">
        <x:v>Implement the real behavior path</x:v>
      </x:c>
    </x:row>
    <x:row r="9">
      <x:c r="A9" s="12" t="str">
        <x:v>Scene</x:v>
      </x:c>
      <x:c r="B9" s="13" t="n">
        <x:f>IFERROR(AVERAGE($K$18:$K$117),0)</x:f>
        <x:v>0.21666666666666667</x:v>
      </x:c>
      <x:c r="C9" s="12" t="n">
        <x:f>COUNTIF($K$18:$K$117,1)</x:f>
        <x:v>0</x:v>
      </x:c>
      <x:c r="D9" s="12" t="n">
        <x:f>COUNT($K$18:$K$117)</x:f>
        <x:v>3</x:v>
      </x:c>
      <x:c r="E9" s="12" t="str">
        <x:v>Produce or configure required scenes</x:v>
      </x:c>
    </x:row>
    <x:row r="10">
      <x:c r="A10" s="12" t="str">
        <x:v>UI</x:v>
      </x:c>
      <x:c r="B10" s="13" t="n">
        <x:f>IFERROR(AVERAGE($L$18:$L$117),0)</x:f>
        <x:v>0.43</x:v>
      </x:c>
      <x:c r="C10" s="12" t="n">
        <x:f>COUNTIF($L$18:$L$117,1)</x:f>
        <x:v>1</x:v>
      </x:c>
      <x:c r="D10" s="12" t="n">
        <x:f>COUNT($L$18:$L$117)</x:f>
        <x:v>5</x:v>
      </x:c>
      <x:c r="E10" s="12" t="str">
        <x:v>Define required interaction and feedback</x:v>
      </x:c>
    </x:row>
    <x:row r="11">
      <x:c r="A11" s="12" t="str">
        <x:v>Icon/image</x:v>
      </x:c>
      <x:c r="B11" s="13" t="n">
        <x:f>IFERROR(AVERAGE($M$18:$M$117),0)</x:f>
        <x:v>0.51</x:v>
      </x:c>
      <x:c r="C11" s="12" t="n">
        <x:f>COUNTIF($M$18:$M$117,1)</x:f>
        <x:v>0</x:v>
      </x:c>
      <x:c r="D11" s="12" t="n">
        <x:f>COUNT($M$18:$M$117)</x:f>
        <x:v>5</x:v>
      </x:c>
      <x:c r="E11" s="12" t="str">
        <x:v>Produce final-quality visual assets</x:v>
      </x:c>
    </x:row>
    <x:row r="12">
      <x:c r="A12" s="12" t="str">
        <x:v>Scene integration</x:v>
      </x:c>
      <x:c r="B12" s="13" t="n">
        <x:f>IFERROR(AVERAGE($N$18:$N$117),0)</x:f>
        <x:v>0.08333333333333333</x:v>
      </x:c>
      <x:c r="C12" s="12" t="n">
        <x:f>COUNTIF($N$18:$N$117,1)</x:f>
        <x:v>0</x:v>
      </x:c>
      <x:c r="D12" s="12" t="n">
        <x:f>COUNT($N$18:$N$117)</x:f>
        <x:v>3</x:v>
      </x:c>
      <x:c r="E12" s="12" t="str">
        <x:v>Place approved scenes in runtime</x:v>
      </x:c>
    </x:row>
    <x:row r="13">
      <x:c r="A13" s="12" t="str">
        <x:v>Image integration</x:v>
      </x:c>
      <x:c r="B13" s="13" t="n">
        <x:f>IFERROR(AVERAGE($O$18:$O$117),0)</x:f>
        <x:v>0.16999999999999998</x:v>
      </x:c>
      <x:c r="C13" s="12" t="n">
        <x:f>COUNTIF($O$18:$O$117,1)</x:f>
        <x:v>0</x:v>
      </x:c>
      <x:c r="D13" s="12" t="n">
        <x:f>COUNT($O$18:$O$117)</x:f>
        <x:v>5</x:v>
      </x:c>
      <x:c r="E13" s="12" t="str">
        <x:v>Bind approved images to runtime behavior</x:v>
      </x:c>
    </x:row>
    <x:row r="14">
      <x:c r="A14" s="12" t="str">
        <x:v>UI integration</x:v>
      </x:c>
      <x:c r="B14" s="13" t="n">
        <x:f>IFERROR(AVERAGE($P$18:$P$117),0)</x:f>
        <x:v>0.33999999999999997</x:v>
      </x:c>
      <x:c r="C14" s="12" t="n">
        <x:f>COUNTIF($P$18:$P$117,1)</x:f>
        <x:v>1</x:v>
      </x:c>
      <x:c r="D14" s="12" t="n">
        <x:f>COUNT($P$18:$P$117)</x:f>
        <x:v>5</x:v>
      </x:c>
      <x:c r="E14" s="12" t="str">
        <x:v>Complete functional UI behavior</x:v>
      </x:c>
    </x:row>
    <x:row r="15">
      <x:c r="A15" s="12" t="str">
        <x:v>Feature total</x:v>
      </x:c>
      <x:c r="B15" s="12" t="n">
        <x:f>COUNTA($A$18:$A$117)</x:f>
        <x:v>6</x:v>
      </x:c>
      <x:c r="C15" s="12" t="n">
        <x:f>COUNTIF($Q$18:$Q$117,1)</x:f>
        <x:v>0</x:v>
      </x:c>
      <x:c r="D15" s="13" t="n">
        <x:f>IFERROR(AVERAGE($Q$18:$Q$117),0)</x:f>
        <x:v>0.49166666666666664</x:v>
      </x:c>
      <x:c r="E15" s="12" t="str">
        <x:v>Overall averages applicable dimensions per feature</x:v>
      </x:c>
    </x:row>
    <x:row r="17" ht="38" customHeight="1">
      <x:c r="A17" s="16" t="str">
        <x:v>Feature ID</x:v>
      </x:c>
      <x:c r="B17" s="16" t="str">
        <x:v>Complete feature</x:v>
      </x:c>
      <x:c r="C17" s="16" t="str">
        <x:v>Source type</x:v>
      </x:c>
      <x:c r="D17" s="16" t="str">
        <x:v>Functional source</x:v>
      </x:c>
      <x:c r="E17" s="16" t="str">
        <x:v>Numeric/config source</x:v>
      </x:c>
      <x:c r="F17" s="16" t="str">
        <x:v>Producer directive</x:v>
      </x:c>
      <x:c r="G17" s="16" t="str">
        <x:v>Priority</x:v>
      </x:c>
      <x:c r="H17" s="16" t="str">
        <x:v>Design doc</x:v>
      </x:c>
      <x:c r="I17" s="16" t="str">
        <x:v>Numeric table</x:v>
      </x:c>
      <x:c r="J17" s="16" t="str">
        <x:v>Code</x:v>
      </x:c>
      <x:c r="K17" s="16" t="str">
        <x:v>Scene</x:v>
      </x:c>
      <x:c r="L17" s="16" t="str">
        <x:v>UI</x:v>
      </x:c>
      <x:c r="M17" s="16" t="str">
        <x:v>Icon/image</x:v>
      </x:c>
      <x:c r="N17" s="16" t="str">
        <x:v>Scene integration</x:v>
      </x:c>
      <x:c r="O17" s="16" t="str">
        <x:v>Image integration</x:v>
      </x:c>
      <x:c r="P17" s="16" t="str">
        <x:v>UI integration</x:v>
      </x:c>
      <x:c r="Q17" s="16" t="str">
        <x:v>Overall</x:v>
      </x:c>
      <x:c r="R17" s="16" t="str">
        <x:v>Current stage</x:v>
      </x:c>
      <x:c r="S17" s="16" t="str">
        <x:v>Owner</x:v>
      </x:c>
      <x:c r="T17" s="16" t="str">
        <x:v>Next milestone</x:v>
      </x:c>
      <x:c r="U17" s="16" t="str">
        <x:v>Blocker/dependency</x:v>
      </x:c>
    </x:row>
    <x:row r="18" ht="64" customHeight="1">
      <x:c r="A18" s="21" t="str">
        <x:v>F-001</x:v>
      </x:c>
      <x:c r="B18" s="21" t="str">
        <x:v>Core movement loop</x:v>
      </x:c>
      <x:c r="C18" s="21" t="str">
        <x:v>Document + config</x:v>
      </x:c>
      <x:c r="D18" s="21" t="str">
        <x:v>docs/features/F-001.md</x:v>
      </x:c>
      <x:c r="E18" s="21" t="str">
        <x:v>config/F-001.csv</x:v>
      </x:c>
      <x:c r="F18" s="21" t="str">
        <x:v>Playable through the normal entry path</x:v>
      </x:c>
      <x:c r="G18" s="21" t="str">
        <x:v>P0</x:v>
      </x:c>
      <x:c r="H18" s="22" t="n">
        <x:v>1</x:v>
      </x:c>
      <x:c r="I18" s="22" t="n">
        <x:v>1</x:v>
      </x:c>
      <x:c r="J18" s="22" t="n">
        <x:v>0.65</x:v>
      </x:c>
      <x:c r="K18" s="22" t="n">
        <x:v>0.25</x:v>
      </x:c>
      <x:c r="L18" s="22" t="n">
        <x:v>0.5</x:v>
      </x:c>
      <x:c r="M18" s="22" t="str">
        <x:v>Not needed</x:v>
      </x:c>
      <x:c r="N18" s="22" t="n">
        <x:v>0.25</x:v>
      </x:c>
      <x:c r="O18" s="22" t="str">
        <x:v>Not needed</x:v>
      </x:c>
      <x:c r="P18" s="22" t="n">
        <x:v>0.5</x:v>
      </x:c>
      <x:c r="Q18" s="22" t="n">
        <x:f>AVERAGE(H18:P18)</x:f>
        <x:v>0.5928571428571429</x:v>
      </x:c>
      <x:c r="R18" s="21" t="str">
        <x:v>Playable framework</x:v>
      </x:c>
      <x:c r="S18" s="21" t="str">
        <x:v>Engineering</x:v>
      </x:c>
      <x:c r="T18" s="21" t="str">
        <x:v>Normal gameplay acceptance</x:v>
      </x:c>
      <x:c r="U18" s="21" t="str">
        <x:v>Final scene pending</x:v>
      </x:c>
    </x:row>
    <x:row r="19" ht="64" customHeight="1">
      <x:c r="A19" s="21" t="str">
        <x:v>F-002</x:v>
      </x:c>
      <x:c r="B19" s="21" t="str">
        <x:v>Inventory pickup feedback</x:v>
      </x:c>
      <x:c r="C19" s="21" t="str">
        <x:v>Document + config</x:v>
      </x:c>
      <x:c r="D19" s="21" t="str">
        <x:v>docs/features/F-002.md</x:v>
      </x:c>
      <x:c r="E19" s="21" t="str">
        <x:v>config/F-002.csv</x:v>
      </x:c>
      <x:c r="F19" s="21" t="str">
        <x:v>Use final icon when available</x:v>
      </x:c>
      <x:c r="G19" s="21" t="str">
        <x:v>P1</x:v>
      </x:c>
      <x:c r="H19" s="22" t="n">
        <x:v>1</x:v>
      </x:c>
      <x:c r="I19" s="22" t="n">
        <x:v>1</x:v>
      </x:c>
      <x:c r="J19" s="22" t="n">
        <x:v>0.2</x:v>
      </x:c>
      <x:c r="K19" s="22" t="str">
        <x:v>Not needed</x:v>
      </x:c>
      <x:c r="L19" s="22" t="n">
        <x:v>0.4</x:v>
      </x:c>
      <x:c r="M19" s="22" t="n">
        <x:v>0.7</x:v>
      </x:c>
      <x:c r="N19" s="22" t="str">
        <x:v>Not needed</x:v>
      </x:c>
      <x:c r="O19" s="22" t="n">
        <x:v>0.1</x:v>
      </x:c>
      <x:c r="P19" s="22" t="n">
        <x:v>0.2</x:v>
      </x:c>
      <x:c r="Q19" s="22" t="n">
        <x:f>AVERAGE(H19:P19)</x:f>
        <x:v>0.5142857142857143</x:v>
      </x:c>
      <x:c r="R19" s="21" t="str">
        <x:v>Contract ready</x:v>
      </x:c>
      <x:c r="S19" s="21" t="str">
        <x:v>Design / Engineering</x:v>
      </x:c>
      <x:c r="T19" s="21" t="str">
        <x:v>Implement real pickup chain</x:v>
      </x:c>
      <x:c r="U19" s="21" t="str">
        <x:v>Shared HUD window</x:v>
      </x:c>
    </x:row>
    <x:row r="20" ht="64" customHeight="1">
      <x:c r="A20" s="21" t="str">
        <x:v>F-003</x:v>
      </x:c>
      <x:c r="B20" s="21" t="str">
        <x:v>First combat slice</x:v>
      </x:c>
      <x:c r="C20" s="21" t="str">
        <x:v>Document + config</x:v>
      </x:c>
      <x:c r="D20" s="21" t="str">
        <x:v>docs/features/F-003.md</x:v>
      </x:c>
      <x:c r="E20" s="21" t="str">
        <x:v>config/F-003.csv</x:v>
      </x:c>
      <x:c r="F20" s="21" t="str">
        <x:v>Engineering may use dev-only UI placeholders</x:v>
      </x:c>
      <x:c r="G20" s="21" t="str">
        <x:v>P2</x:v>
      </x:c>
      <x:c r="H20" s="22" t="n">
        <x:v>1</x:v>
      </x:c>
      <x:c r="I20" s="22" t="n">
        <x:v>0.8</x:v>
      </x:c>
      <x:c r="J20" s="22" t="n">
        <x:v>0</x:v>
      </x:c>
      <x:c r="K20" s="22" t="n">
        <x:v>0</x:v>
      </x:c>
      <x:c r="L20" s="22" t="n">
        <x:v>0.25</x:v>
      </x:c>
      <x:c r="M20" s="22" t="n">
        <x:v>0.5</x:v>
      </x:c>
      <x:c r="N20" s="22" t="n">
        <x:v>0</x:v>
      </x:c>
      <x:c r="O20" s="22" t="n">
        <x:v>0</x:v>
      </x:c>
      <x:c r="P20" s="22" t="n">
        <x:v>0</x:v>
      </x:c>
      <x:c r="Q20" s="22" t="n">
        <x:f>AVERAGE(H20:P20)</x:f>
        <x:v>0.2833333333333333</x:v>
      </x:c>
      <x:c r="R20" s="21" t="str">
        <x:v>Design complete</x:v>
      </x:c>
      <x:c r="S20" s="21" t="str">
        <x:v>Design / Engineering / Art</x:v>
      </x:c>
      <x:c r="T20" s="21" t="str">
        <x:v>Create implementation task</x:v>
      </x:c>
      <x:c r="U20" s="21" t="str">
        <x:v>Combat runtime not started</x:v>
      </x:c>
    </x:row>
    <x:row r="21" ht="64" customHeight="1">
      <x:c r="A21" s="21" t="str">
        <x:v>F-004</x:v>
      </x:c>
      <x:c r="B21" s="21" t="str">
        <x:v>Final environment art integration</x:v>
      </x:c>
      <x:c r="C21" s="21" t="str">
        <x:v>Filed producer directive</x:v>
      </x:c>
      <x:c r="D21" s="21" t="str">
        <x:v>docs/features/F-004.md</x:v>
      </x:c>
      <x:c r="E21" s="21" t="str">
        <x:v>config/environment-map.csv</x:v>
      </x:c>
      <x:c r="F21" s="21" t="str">
        <x:v>Mechanical pass goes directly to development preview</x:v>
      </x:c>
      <x:c r="G21" s="21" t="str">
        <x:v>P2</x:v>
      </x:c>
      <x:c r="H21" s="22" t="n">
        <x:v>1</x:v>
      </x:c>
      <x:c r="I21" s="22" t="n">
        <x:v>0.5</x:v>
      </x:c>
      <x:c r="J21" s="22" t="n">
        <x:v>0</x:v>
      </x:c>
      <x:c r="K21" s="22" t="n">
        <x:v>0.4</x:v>
      </x:c>
      <x:c r="L21" s="22" t="str">
        <x:v>Not needed</x:v>
      </x:c>
      <x:c r="M21" s="22" t="n">
        <x:v>0.6</x:v>
      </x:c>
      <x:c r="N21" s="22" t="n">
        <x:v>0</x:v>
      </x:c>
      <x:c r="O21" s="22" t="n">
        <x:v>0</x:v>
      </x:c>
      <x:c r="P21" s="22" t="str">
        <x:v>Not needed</x:v>
      </x:c>
      <x:c r="Q21" s="22" t="n">
        <x:f>AVERAGE(H21:P21)</x:f>
        <x:v>0.35714285714285715</x:v>
      </x:c>
      <x:c r="R21" s="21" t="str">
        <x:v>Art production</x:v>
      </x:c>
      <x:c r="S21" s="21" t="str">
        <x:v>Art / Engineering</x:v>
      </x:c>
      <x:c r="T21" s="21" t="str">
        <x:v>Playable scene preview</x:v>
      </x:c>
      <x:c r="U21" s="21" t="str">
        <x:v>Looping master not approved</x:v>
      </x:c>
    </x:row>
    <x:row r="22" ht="64" customHeight="1">
      <x:c r="A22" s="21" t="str">
        <x:v>F-005</x:v>
      </x:c>
      <x:c r="B22" s="21" t="str">
        <x:v>Release placeholder cleanup</x:v>
      </x:c>
      <x:c r="C22" s="21" t="str">
        <x:v>Workflow rule</x:v>
      </x:c>
      <x:c r="D22" s="21" t="str">
        <x:v>docs/WORKFLOW.md</x:v>
      </x:c>
      <x:c r="E22" s="21" t="str">
        <x:v>asset manifest</x:v>
      </x:c>
      <x:c r="F22" s="21" t="str">
        <x:v>No dev-only assets in release</x:v>
      </x:c>
      <x:c r="G22" s="21" t="str">
        <x:v>P3</x:v>
      </x:c>
      <x:c r="H22" s="22" t="n">
        <x:v>1</x:v>
      </x:c>
      <x:c r="I22" s="22" t="n">
        <x:v>1</x:v>
      </x:c>
      <x:c r="J22" s="22" t="n">
        <x:v>0</x:v>
      </x:c>
      <x:c r="K22" s="22" t="str">
        <x:v>Not needed</x:v>
      </x:c>
      <x:c r="L22" s="22" t="n">
        <x:v>0</x:v>
      </x:c>
      <x:c r="M22" s="22" t="n">
        <x:v>0</x:v>
      </x:c>
      <x:c r="N22" s="22" t="str">
        <x:v>Not needed</x:v>
      </x:c>
      <x:c r="O22" s="22" t="n">
        <x:v>0</x:v>
      </x:c>
      <x:c r="P22" s="22" t="n">
        <x:v>0</x:v>
      </x:c>
      <x:c r="Q22" s="22" t="n">
        <x:f>AVERAGE(H22:P22)</x:f>
        <x:v>0.2857142857142857</x:v>
      </x:c>
      <x:c r="R22" s="21" t="str">
        <x:v>Queued</x:v>
      </x:c>
      <x:c r="S22" s="21" t="str">
        <x:v>Engineering / Art</x:v>
      </x:c>
      <x:c r="T22" s="21" t="str">
        <x:v>Run release scan</x:v>
      </x:c>
      <x:c r="U22" s="21" t="str">
        <x:v>Final assets incomplete</x:v>
      </x:c>
    </x:row>
    <x:row r="23" ht="118" customHeight="1">
      <x:c r="A23" s="32" t="str">
        <x:v>F-ZC-AUTH-001</x:v>
      </x:c>
      <x:c r="B23" s="32" t="str">
        <x:v>Player account identity, username, avatar and credential copy</x:v>
      </x:c>
      <x:c r="C23" s="32" t="str">
        <x:v>General design DOCX + runtime code + review board</x:v>
      </x:c>
      <x:c r="D23" s="32" t="str">
        <x:v>docs/PLAYER_ACCOUNT_IDENTITY_AVATAR_DESIGN_v2.0.docx</x:v>
      </x:c>
      <x:c r="E23" s="32" t="str">
        <x:v>Not needed</x:v>
      </x:c>
      <x:c r="F23" s="32" t="str">
        <x:v>Keep account ID stable; username is an independent display name; retain direct login and three credential copy actions</x:v>
      </x:c>
      <x:c r="G23" s="32" t="str">
        <x:v>P0</x:v>
      </x:c>
      <x:c r="H23" s="32" t="n">
        <x:v>1</x:v>
      </x:c>
      <x:c r="I23" s="32" t="str">
        <x:v>Not needed</x:v>
      </x:c>
      <x:c r="J23" s="32" t="n">
        <x:v>1</x:v>
      </x:c>
      <x:c r="K23" s="32" t="str">
        <x:v>Not needed</x:v>
      </x:c>
      <x:c r="L23" s="32" t="n">
        <x:v>1</x:v>
      </x:c>
      <x:c r="M23" s="32" t="n">
        <x:v>0.75</x:v>
      </x:c>
      <x:c r="N23" s="32" t="str">
        <x:v>Not needed</x:v>
      </x:c>
      <x:c r="O23" s="32" t="n">
        <x:v>0.75</x:v>
      </x:c>
      <x:c r="P23" s="32" t="n">
        <x:v>1</x:v>
      </x:c>
      <x:c r="Q23" s="32" t="n">
        <x:f>AVERAGE(H23:P23)</x:f>
        <x:v>0.9166666666666666</x:v>
      </x:c>
      <x:c r="R23" s="32" t="str">
        <x:v>Local implementation complete</x:v>
      </x:c>
      <x:c r="S23" s="32" t="str">
        <x:v>Design / Engineering / Art</x:v>
      </x:c>
      <x:c r="T23" s="32" t="str">
        <x:v>Producer approval for the human avatar board; production auth hardening</x:v>
      </x:c>
      <x:c r="U23" s="32" t="str">
        <x:v>FigJam unavailable; human portraits NOT_RUNTIME; KDF/TLS/rate-limit/Aliyun authorization pending</x:v>
      </x:c>
    </x:row>
    <x:row r="24" ht="75" customHeight="1">
      <x:c r="A24" s="32" t="inlineStr">
        <x:is>
          <x:t>F-ZC-HOME-001</x:t>
        </x:is>
      </x:c>
      <x:c r="B24" s="32" t="inlineStr">
        <x:is>
          <x:t>动物家园与每日收益</x:t>
        </x:is>
      </x:c>
      <x:c r="C24" s="32" t="inlineStr">
        <x:is>
          <x:t>Filed producer request + DOCX + CSV</x:t>
        </x:is>
      </x:c>
      <x:c r="D24" s="32" t="inlineStr">
        <x:is>
          <x:t>docs/HOMESTEAD_DESIGN_v1.1.docx</x:t>
        </x:is>
      </x:c>
      <x:c r="E24" s="32" t="inlineStr">
        <x:is>
          <x:t>config/tables/home_economy.csv; config/tables/home_buildings.csv</x:t>
        </x:is>
      </x:c>
      <x:c r="F24" s="32" t="inlineStr">
        <x:is>
          <x:t>无建筑升级；按圈数固定外观；足额点击解锁；最多补领3天；解锁赠1券</x:t>
        </x:is>
      </x:c>
      <x:c r="G24" s="32" t="inlineStr">
        <x:is>
          <x:t>P1</x:t>
        </x:is>
      </x:c>
      <x:c r="H24" s="32">
        <x:v>0.9</x:v>
      </x:c>
      <x:c r="I24" s="32">
        <x:v>1</x:v>
      </x:c>
      <x:c r="J24" s="32">
        <x:v>1</x:v>
      </x:c>
      <x:c r="K24" s="32" t="inlineStr">
        <x:is>
          <x:t>Not needed</x:t>
        </x:is>
      </x:c>
      <x:c r="L24" s="32">
        <x:v>1</x:v>
      </x:c>
      <x:c r="M24" s="32">
        <x:v>1</x:v>
      </x:c>
      <x:c r="N24" s="32" t="inlineStr">
        <x:is>
          <x:t>Not needed</x:t>
        </x:is>
      </x:c>
      <x:c r="O24" s="32">
        <x:v>1</x:v>
      </x:c>
      <x:c r="P24" s="32">
        <x:v>1</x:v>
      </x:c>
      <x:c r="Q24" s="32">
        <x:f>AVERAGE(H24:P24)</x:f>
        <x:v>0.9857142857142858</x:v>
      </x:c>
      <x:c r="R24" s="32" t="inlineStr">
        <x:is>
          <x:t>Staging home deployed; local UI validated</x:t>
        </x:is>
      </x:c>
      <x:c r="S24" s="32" t="inlineStr">
        <x:is>
          <x:t>codex-primary</x:t>
        </x:is>
      </x:c>
      <x:c r="T24" s="32" t="inlineStr">
        <x:is>
          <x:t>External authenticated end-to-end acceptance; Android device acceptance</x:t>
        </x:is>
      </x:c>
      <x:c r="U24" s="32" t="inlineStr">
        <x:is>
          <x:t>No real-account writes; external authenticated probe blocked by policy; Figma pending; Android not run</x:t>
        </x:is>
      </x:c>
    </x:row>
    <x:row r="25" ht="75" customHeight="1">
      <x:c r="A25" s="32" t="inlineStr">
        <x:is>
          <x:t>F-ZC-GACHA-NEW-001</x:t>
        </x:is>
      </x:c>
      <x:c r="B25" s="32" t="inlineStr">
        <x:is>
          <x:t>新动物品质揭晓与特写</x:t>
        </x:is>
      </x:c>
      <x:c r="C25" s="32" t="inlineStr">
        <x:is>
          <x:t>Filed producer request + DOCX + code</x:t>
        </x:is>
      </x:c>
      <x:c r="D25" s="32" t="inlineStr">
        <x:is>
          <x:t>docs/HOMESTEAD_DESIGN_v1.1.docx</x:t>
        </x:is>
      </x:c>
      <x:c r="E25" s="32" t="inlineStr">
        <x:is>
          <x:t>Existing card rarity definitions</x:t>
        </x:is>
      </x:c>
      <x:c r="F25" s="32" t="inlineStr">
        <x:is>
          <x:t>全品质首次获得演出；柔和惊喜音；抽卡不显示等级和升级信息</x:t>
        </x:is>
      </x:c>
      <x:c r="G25" s="32" t="inlineStr">
        <x:is>
          <x:t>P1</x:t>
        </x:is>
      </x:c>
      <x:c r="H25" s="32">
        <x:v>0.9</x:v>
      </x:c>
      <x:c r="I25" s="32" t="inlineStr">
        <x:is>
          <x:t>Not needed</x:t>
        </x:is>
      </x:c>
      <x:c r="J25" s="32">
        <x:v>1</x:v>
      </x:c>
      <x:c r="K25" s="32" t="inlineStr">
        <x:is>
          <x:t>Not needed</x:t>
        </x:is>
      </x:c>
      <x:c r="L25" s="32">
        <x:v>1</x:v>
      </x:c>
      <x:c r="M25" s="32">
        <x:v>1</x:v>
      </x:c>
      <x:c r="N25" s="32" t="inlineStr">
        <x:is>
          <x:t>Not needed</x:t>
        </x:is>
      </x:c>
      <x:c r="O25" s="32">
        <x:v>1</x:v>
      </x:c>
      <x:c r="P25" s="32">
        <x:v>1</x:v>
      </x:c>
      <x:c r="Q25" s="32">
        <x:f>AVERAGE(H25:P25)</x:f>
        <x:v>0.9833333333333334</x:v>
      </x:c>
      <x:c r="R25" s="32" t="inlineStr">
        <x:is>
          <x:t>Local runtime validated</x:t>
        </x:is>
      </x:c>
      <x:c r="S25" s="32" t="inlineStr">
        <x:is>
          <x:t>codex-primary</x:t>
        </x:is>
      </x:c>
      <x:c r="T25" s="32" t="inlineStr">
        <x:is>
          <x:t>Android export/device acceptance</x:t>
        </x:is>
      </x:c>
      <x:c r="U25" s="32" t="inlineStr">
        <x:is>
          <x:t>All 4 qualities and 60 heroes verified; owned duplicates do not trigger new-hero reveal; Figma pending; Android not run</x:t>
        </x:is>
      </x:c>
    </x:row>
  </x:sheetData>
  <x:mergeCells>
    <x:mergeCell ref="A1:U2"/>
    <x:mergeCell ref="A3:U3"/>
  </x:mergeCells>
  <x:conditionalFormatting sqref="H18:P22">
    <x:cfRule type="dataBar" priority="1">
      <x:dataBar>
        <x:cfvo type="min"/>
        <x:cfvo type="max"/>
        <x:color rgb="FF188596"/>
      </x:dataBar>
      <x:extLst>
        <x:ext xmlns:x14="http://schemas.microsoft.com/office/spreadsheetml/2009/9/main" uri="{B025F937-C7B1-47D3-B67F-A62EFF666E3E}">
          <x14:id>{04956145-D2CA-E77F-CA36-5D49981E6536}</x14:id>
        </x:ext>
      </x:extLst>
    </x:cfRule>
  </x:conditionalFormatting>
  <x:conditionalFormatting sqref="Q18:Q22">
    <x:cfRule type="dataBar" priority="2">
      <x:dataBar>
        <x:cfvo type="min"/>
        <x:cfvo type="max"/>
        <x:color rgb="FF4A90A4"/>
      </x:dataBar>
      <x:extLst>
        <x:ext xmlns:x14="http://schemas.microsoft.com/office/spreadsheetml/2009/9/main" uri="{B025F937-C7B1-47D3-B67F-A62EFF666E3E}">
          <x14:id>{B26916E9-7478-C422-DF12-23D31BDF4535}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4956145-D2CA-E77F-CA36-5D49981E6536}">
            <x14:dataBar gradient="1">
              <x14:cfvo type="min"/>
              <x14:cfvo type="max"/>
              <x14:fillColor rgb="FF188596"/>
            </x14:dataBar>
          </x14:cfRule>
          <xm:sqref>H18:P22</xm:sqref>
        </x14:conditionalFormatting>
        <x14:conditionalFormatting>
          <x14:cfRule type="dataBar" priority="2" id="{B26916E9-7478-C422-DF12-23D31BDF4535}">
            <x14:dataBar gradient="1">
              <x14:cfvo type="min"/>
              <x14:cfvo type="max"/>
              <x14:fillColor rgb="FF4A90A4"/>
            </x14:dataBar>
          </x14:cfRule>
          <xm:sqref>Q18:Q22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24" t="str">
        <x:v>Project Progress Overview</x:v>
      </x:c>
    </x:row>
    <x:row r="4">
      <x:c r="A4" s="25" t="str">
        <x:v>Active features</x:v>
      </x:c>
      <x:c r="B4" s="25" t="str">
        <x:v>Exceptions</x:v>
      </x:c>
      <x:c r="C4" s="25" t="str">
        <x:v>Ready roles</x:v>
      </x:c>
      <x:c r="D4" s="25" t="str">
        <x:v>Next work</x:v>
      </x:c>
    </x:row>
    <x:row r="5">
      <x:c r="A5" s="27" t="n">
        <x:f>COUNTA('Nine Dimensions'!$A$18:$A$117)</x:f>
        <x:v>8</x:v>
      </x:c>
      <x:c r="B5" s="27" t="n">
        <x:v>0</x:v>
      </x:c>
      <x:c r="C5" s="27" t="n">
        <x:v>1</x:v>
      </x:c>
      <x:c r="D5" s="27" t="str">
        <x:v>Use Nine Dimensions sheet order</x:v>
      </x:c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24" t="str">
        <x:v>Active Batch</x:v>
      </x:c>
    </x:row>
    <x:row r="4">
      <x:c r="A4" s="25" t="str">
        <x:v>Priority</x:v>
      </x:c>
      <x:c r="B4" s="25" t="str">
        <x:v>Task</x:v>
      </x:c>
      <x:c r="C4" s="25" t="str">
        <x:v>Task ID</x:v>
      </x:c>
      <x:c r="D4" s="25" t="str">
        <x:v>Owner</x:v>
      </x:c>
      <x:c r="E4" s="25" t="str">
        <x:v>State</x:v>
      </x:c>
      <x:c r="F4" s="25" t="str">
        <x:v>Last verified progress</x:v>
      </x:c>
      <x:c r="G4" s="25" t="str">
        <x:v>Next milestone</x:v>
      </x:c>
      <x:c r="H4" s="25" t="str">
        <x:v>Exception</x:v>
      </x:c>
    </x:row>
  </x:sheetData>
  <x:mergeCells>
    <x:mergeCell ref="A1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24" t="str">
        <x:v>Role Capacity</x:v>
      </x:c>
    </x:row>
    <x:row r="4">
      <x:c r="A4" s="25" t="str">
        <x:v>Role</x:v>
      </x:c>
      <x:c r="B4" s="25" t="str">
        <x:v>Role ID</x:v>
      </x:c>
      <x:c r="C4" s="25" t="str">
        <x:v>Load</x:v>
      </x:c>
      <x:c r="D4" s="25" t="str">
        <x:v>Availability</x:v>
      </x:c>
      <x:c r="E4" s="25" t="str">
        <x:v>Next assignment</x:v>
      </x:c>
      <x:c r="F4" s="25" t="str">
        <x:v>Producer action</x:v>
      </x:c>
    </x:row>
  </x:sheetData>
  <x:mergeCells>
    <x:mergeCell ref="A1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24" t="str">
        <x:v>Update Rules</x:v>
      </x:c>
    </x:row>
    <x:row r="4">
      <x:c r="A4" s="25" t="str">
        <x:v>Rule</x:v>
      </x:c>
      <x:c r="B4" s="25" t="str">
        <x:v>Current behavior</x:v>
      </x:c>
      <x:c r="C4" s="25" t="str">
        <x:v>Owner</x:v>
      </x:c>
      <x:c r="D4" s="25" t="str">
        <x:v>Formal source</x:v>
      </x:c>
    </x:row>
    <x:row r="5">
      <x:c r="A5" s="30" t="str">
        <x:v>Exception check</x:v>
      </x:c>
      <x:c r="B5" s="30" t="str">
        <x:v>Short interval; current batch only; healthy checks quiet</x:v>
      </x:c>
      <x:c r="C5" s="30" t="str">
        <x:v>PM execution operator</x:v>
      </x:c>
      <x:c r="D5" s="30" t="str">
        <x:v>docs/active_scope.yaml</x:v>
      </x:c>
    </x:row>
    <x:row r="6">
      <x:c r="A6" s="30" t="str">
        <x:v>Workbook refresh</x:v>
      </x:c>
      <x:c r="B6" s="30" t="str">
        <x:v>Every 6 hours or on producer request; save only changes</x:v>
      </x:c>
      <x:c r="C6" s="30" t="str">
        <x:v>PM execution operator</x:v>
      </x:c>
      <x:c r="D6" s="30" t="str">
        <x:v>docs/active_scope.yaml</x:v>
      </x:c>
    </x:row>
    <x:row r="7">
      <x:c r="A7" s="30" t="str">
        <x:v>Work order</x:v>
      </x:c>
      <x:c r="B7" s="30" t="str">
        <x:v>Priority first; same priority by feature ID; completed last</x:v>
      </x:c>
      <x:c r="C7" s="30" t="str">
        <x:v>Producer</x:v>
      </x:c>
      <x:c r="D7" s="30" t="str">
        <x:v>PM/feature_progress.xlsx</x:v>
      </x:c>
    </x:row>
    <x:row r="8">
      <x:c r="A8" s="30" t="str">
        <x:v>Not applicable</x:v>
      </x:c>
      <x:c r="B8" s="30" t="str">
        <x:v>Display Not needed and exclude from averages</x:v>
      </x:c>
      <x:c r="C8" s="30" t="str">
        <x:v>PM execution operator</x:v>
      </x:c>
      <x:c r="D8" s="30" t="str">
        <x:v>Nine Dimensions</x:v>
      </x:c>
    </x:row>
    <x:row r="9">
      <x:c r="A9" s="30" t="str">
        <x:v>Write boundary</x:v>
      </x:c>
      <x:c r="B9" s="30" t="str">
        <x:v>Operator writes only this workbook</x:v>
      </x:c>
      <x:c r="C9" s="30" t="str">
        <x:v>PM execution operator</x:v>
      </x:c>
      <x:c r="D9" s="30" t="str">
        <x:v>docs/WORKFLOW.md</x:v>
      </x:c>
    </x:row>
  </x:sheetData>
  <x:mergeCells>
    <x:mergeCell ref="A1:H2"/>
  </x:mergeCells>
  <x:pageMargins left="0.7" right="0.7" top="0.75" bottom="0.75" header="0.3" footer="0.3"/>
</x:worksheet>
</file>